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2.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showInkAnnotation="0" defaultThemeVersion="166925"/>
  <mc:AlternateContent xmlns:mc="http://schemas.openxmlformats.org/markup-compatibility/2006">
    <mc:Choice Requires="x15">
      <x15ac:absPath xmlns:x15ac="http://schemas.microsoft.com/office/spreadsheetml/2010/11/ac" url="T:\個人\ONE PIECE\データベース用\作業中\"/>
    </mc:Choice>
  </mc:AlternateContent>
  <xr:revisionPtr revIDLastSave="0" documentId="13_ncr:1_{05BD863F-E72D-4F32-ADA6-7621AB480137}" xr6:coauthVersionLast="36" xr6:coauthVersionMax="47" xr10:uidLastSave="{00000000-0000-0000-0000-000000000000}"/>
  <bookViews>
    <workbookView xWindow="0" yWindow="0" windowWidth="28770" windowHeight="13335" firstSheet="2" activeTab="4" xr2:uid="{FAE77F2B-4BE6-48D6-AE7F-41F222CF6481}"/>
  </bookViews>
  <sheets>
    <sheet name="キャラクターマスタ" sheetId="59" r:id="rId1"/>
    <sheet name="悪魔の実マスタ" sheetId="69" r:id="rId2"/>
    <sheet name="刀・武器マスタ" sheetId="57" r:id="rId3"/>
    <sheet name="船マスタ" sheetId="70" r:id="rId4"/>
    <sheet name="場所マスタ" sheetId="63" r:id="rId5"/>
    <sheet name="技マスタ" sheetId="72" r:id="rId6"/>
    <sheet name="勢力マスタ" sheetId="67" r:id="rId7"/>
    <sheet name="懸賞金・肩書ログ" sheetId="53" r:id="rId8"/>
    <sheet name="航海日誌" sheetId="54" r:id="rId9"/>
    <sheet name="戦闘ログ" sheetId="65" r:id="rId10"/>
    <sheet name="技ログ" sheetId="55" r:id="rId11"/>
    <sheet name="所属ログ" sheetId="60" r:id="rId12"/>
    <sheet name="悪魔の実ログ" sheetId="68" r:id="rId13"/>
    <sheet name="巻数対応表" sheetId="61" r:id="rId14"/>
    <sheet name="サブタイトルデータ" sheetId="62" r:id="rId15"/>
    <sheet name="座標変換シート" sheetId="73" r:id="rId16"/>
  </sheets>
  <definedNames>
    <definedName name="_xlnm._FilterDatabase" localSheetId="0" hidden="1">キャラクターマスタ!$A$1:$AP$145</definedName>
    <definedName name="データリスト" localSheetId="1">#REF!</definedName>
    <definedName name="データリスト" localSheetId="5">#REF!</definedName>
    <definedName name="データリスト" localSheetId="3">#REF!</definedName>
    <definedName name="データリスト">#REF!</definedName>
    <definedName name="懸賞金リスト" localSheetId="1">#REF!</definedName>
    <definedName name="懸賞金リスト" localSheetId="5">#REF!</definedName>
    <definedName name="懸賞金リスト" localSheetId="3">#REF!</definedName>
    <definedName name="懸賞金リスト">#REF!</definedName>
    <definedName name="所属ログ">テーブル7[]</definedName>
  </definedNames>
  <calcPr calcId="191029"/>
</workbook>
</file>

<file path=xl/calcChain.xml><?xml version="1.0" encoding="utf-8"?>
<calcChain xmlns="http://schemas.openxmlformats.org/spreadsheetml/2006/main">
  <c r="I30" i="63" l="1"/>
  <c r="H30" i="63"/>
  <c r="E30" i="73"/>
  <c r="D30" i="73"/>
  <c r="A30" i="73"/>
  <c r="K72" i="60"/>
  <c r="K71" i="60"/>
  <c r="E29" i="73"/>
  <c r="D29" i="73"/>
  <c r="H29" i="63" s="1"/>
  <c r="I29" i="63"/>
  <c r="A29" i="73"/>
  <c r="B225" i="54"/>
  <c r="B226" i="54"/>
  <c r="B227" i="54"/>
  <c r="B228" i="54"/>
  <c r="B229" i="54"/>
  <c r="B230" i="54"/>
  <c r="B231" i="54"/>
  <c r="B232" i="54"/>
  <c r="B233" i="54"/>
  <c r="B234" i="54"/>
  <c r="H225" i="54"/>
  <c r="H226" i="54"/>
  <c r="H227" i="54"/>
  <c r="H228" i="54"/>
  <c r="H229" i="54"/>
  <c r="H230" i="54"/>
  <c r="H231" i="54"/>
  <c r="H232" i="54"/>
  <c r="H233" i="54"/>
  <c r="H234" i="54"/>
  <c r="L225" i="54"/>
  <c r="L226" i="54"/>
  <c r="L227" i="54"/>
  <c r="L228" i="54"/>
  <c r="L229" i="54"/>
  <c r="L230" i="54"/>
  <c r="L231" i="54"/>
  <c r="L232" i="54"/>
  <c r="L233" i="54"/>
  <c r="L234" i="54"/>
  <c r="K70" i="60"/>
  <c r="B72" i="60"/>
  <c r="B73" i="60"/>
  <c r="B74" i="60"/>
  <c r="B75" i="60"/>
  <c r="B76" i="60"/>
  <c r="B77" i="60"/>
  <c r="D72" i="60"/>
  <c r="D73" i="60"/>
  <c r="D74" i="60"/>
  <c r="D75" i="60"/>
  <c r="D76" i="60"/>
  <c r="D77" i="60"/>
  <c r="K73" i="60"/>
  <c r="K74" i="60"/>
  <c r="K75" i="60"/>
  <c r="K76" i="60"/>
  <c r="K77" i="60"/>
  <c r="K69" i="60"/>
  <c r="K68" i="60"/>
  <c r="I34" i="65"/>
  <c r="I35" i="65"/>
  <c r="I36" i="65"/>
  <c r="S32" i="65"/>
  <c r="S33" i="65"/>
  <c r="S34" i="65"/>
  <c r="S35" i="65"/>
  <c r="S36" i="65"/>
  <c r="S31" i="65"/>
  <c r="R32" i="65"/>
  <c r="R33" i="65"/>
  <c r="R34" i="65"/>
  <c r="R35" i="65"/>
  <c r="R36" i="65"/>
  <c r="I33" i="65"/>
  <c r="I32" i="65"/>
  <c r="G32" i="65"/>
  <c r="G33" i="65"/>
  <c r="G34" i="65"/>
  <c r="G35" i="65"/>
  <c r="G36" i="65"/>
  <c r="L32" i="65"/>
  <c r="L33" i="65"/>
  <c r="L34" i="65"/>
  <c r="L35" i="65"/>
  <c r="L36" i="65"/>
  <c r="M32" i="65"/>
  <c r="M33" i="65"/>
  <c r="M34" i="65"/>
  <c r="M35" i="65"/>
  <c r="M36" i="65"/>
  <c r="O32" i="65"/>
  <c r="O33" i="65"/>
  <c r="O34" i="65"/>
  <c r="O35" i="65"/>
  <c r="O36" i="65"/>
  <c r="U32" i="65"/>
  <c r="U33" i="65"/>
  <c r="U34" i="65"/>
  <c r="U35" i="65"/>
  <c r="U36" i="65"/>
  <c r="K2" i="72" l="1"/>
  <c r="K3" i="72"/>
  <c r="K4" i="72"/>
  <c r="K5" i="72"/>
  <c r="K6" i="72"/>
  <c r="K7" i="72"/>
  <c r="K8" i="72"/>
  <c r="K9" i="72"/>
  <c r="K10" i="72"/>
  <c r="K11" i="72"/>
  <c r="K12" i="72"/>
  <c r="K13" i="72"/>
  <c r="K14" i="72"/>
  <c r="K15" i="72"/>
  <c r="K16" i="72"/>
  <c r="K17" i="72"/>
  <c r="K18" i="72"/>
  <c r="K19" i="72"/>
  <c r="K20" i="72"/>
  <c r="K21" i="72"/>
  <c r="K22" i="72"/>
  <c r="K23" i="72"/>
  <c r="K24" i="72"/>
  <c r="K25" i="72"/>
  <c r="K26" i="72"/>
  <c r="K27" i="72"/>
  <c r="K28" i="72"/>
  <c r="K29" i="72"/>
  <c r="K30" i="72"/>
  <c r="K31" i="72"/>
  <c r="K32" i="72"/>
  <c r="K33" i="72"/>
  <c r="K34" i="72"/>
  <c r="K35" i="72"/>
  <c r="K36" i="72"/>
  <c r="K37" i="72"/>
  <c r="K38" i="72"/>
  <c r="K39" i="72"/>
  <c r="K40" i="72"/>
  <c r="K41" i="72"/>
  <c r="K42" i="72"/>
  <c r="K43" i="72"/>
  <c r="K44" i="72"/>
  <c r="K45" i="72"/>
  <c r="K46" i="72"/>
  <c r="K47" i="72"/>
  <c r="K48" i="72"/>
  <c r="K49" i="72"/>
  <c r="K50" i="72"/>
  <c r="K51" i="72"/>
  <c r="K52" i="72"/>
  <c r="K53" i="72"/>
  <c r="K54" i="72"/>
  <c r="K55" i="72"/>
  <c r="K56" i="72"/>
  <c r="K57" i="72"/>
  <c r="K58" i="72"/>
  <c r="K59" i="72"/>
  <c r="K60" i="72"/>
  <c r="K61" i="72"/>
  <c r="K62" i="72"/>
  <c r="K63" i="72"/>
  <c r="K64" i="72"/>
  <c r="K65" i="72"/>
  <c r="K66" i="72"/>
  <c r="K67" i="72"/>
  <c r="K68" i="72"/>
  <c r="K69" i="72"/>
  <c r="K70" i="72"/>
  <c r="K71" i="72"/>
  <c r="K72" i="72"/>
  <c r="K73" i="72"/>
  <c r="K74" i="72"/>
  <c r="K75" i="72"/>
  <c r="K76" i="72"/>
  <c r="K77" i="72"/>
  <c r="K78" i="72"/>
  <c r="K79" i="72"/>
  <c r="K80" i="72"/>
  <c r="K81" i="72"/>
  <c r="K82" i="72"/>
  <c r="K83" i="72"/>
  <c r="K84" i="72"/>
  <c r="K85" i="72"/>
  <c r="K86" i="72"/>
  <c r="K87" i="72"/>
  <c r="K88" i="72"/>
  <c r="K89" i="72"/>
  <c r="K90" i="72"/>
  <c r="K91" i="72"/>
  <c r="K92" i="72"/>
  <c r="K93" i="72"/>
  <c r="K94" i="72"/>
  <c r="K95" i="72"/>
  <c r="K96" i="72"/>
  <c r="K97" i="72"/>
  <c r="K98" i="72"/>
  <c r="K99" i="72"/>
  <c r="K100" i="72"/>
  <c r="K101" i="72"/>
  <c r="K102" i="72"/>
  <c r="K103" i="72"/>
  <c r="K104" i="72"/>
  <c r="K105" i="72"/>
  <c r="K106" i="72"/>
  <c r="K107" i="72"/>
  <c r="K108" i="72"/>
  <c r="K109" i="72"/>
  <c r="K110" i="72"/>
  <c r="K111" i="72"/>
  <c r="K112" i="72"/>
  <c r="K113" i="72"/>
  <c r="K114" i="72"/>
  <c r="K115" i="72"/>
  <c r="K116" i="72"/>
  <c r="K117" i="72"/>
  <c r="K118" i="72"/>
  <c r="K119" i="72"/>
  <c r="K120" i="72"/>
  <c r="K121" i="72"/>
  <c r="H183" i="55"/>
  <c r="D183" i="55"/>
  <c r="B183" i="55"/>
  <c r="H181" i="55"/>
  <c r="D181" i="55"/>
  <c r="B181" i="55"/>
  <c r="H180" i="55"/>
  <c r="D180" i="55"/>
  <c r="B180" i="55"/>
  <c r="H177" i="55"/>
  <c r="D177" i="55"/>
  <c r="B177" i="55"/>
  <c r="H173" i="55"/>
  <c r="D173" i="55"/>
  <c r="B173" i="55"/>
  <c r="D112" i="72"/>
  <c r="D113" i="72"/>
  <c r="D114" i="72"/>
  <c r="D115" i="72"/>
  <c r="D116" i="72"/>
  <c r="D117" i="72"/>
  <c r="D118" i="72"/>
  <c r="D119" i="72"/>
  <c r="D120" i="72"/>
  <c r="D121" i="72"/>
  <c r="J112" i="72"/>
  <c r="J113" i="72"/>
  <c r="J114" i="72"/>
  <c r="J115" i="72"/>
  <c r="J116" i="72"/>
  <c r="J117" i="72"/>
  <c r="J118" i="72"/>
  <c r="J119" i="72"/>
  <c r="J120" i="72"/>
  <c r="J121" i="72"/>
  <c r="B6" i="68"/>
  <c r="B7" i="68"/>
  <c r="B8" i="68"/>
  <c r="B9" i="68"/>
  <c r="C6" i="68"/>
  <c r="C7" i="68"/>
  <c r="C8" i="68"/>
  <c r="C9" i="68"/>
  <c r="E6" i="68"/>
  <c r="E7" i="68"/>
  <c r="E8" i="68"/>
  <c r="E9" i="68"/>
  <c r="Z133" i="59"/>
  <c r="Z134" i="59"/>
  <c r="Z135" i="59"/>
  <c r="Z136" i="59"/>
  <c r="Z137" i="59"/>
  <c r="Z138" i="59"/>
  <c r="Z139" i="59"/>
  <c r="Z140" i="59"/>
  <c r="Z141" i="59"/>
  <c r="Z142" i="59"/>
  <c r="Z143" i="59"/>
  <c r="Z144" i="59"/>
  <c r="I28" i="63"/>
  <c r="I27" i="63"/>
  <c r="H28" i="63"/>
  <c r="H27" i="63"/>
  <c r="E28" i="73"/>
  <c r="D28" i="73"/>
  <c r="A28" i="73"/>
  <c r="E7" i="69" l="1"/>
  <c r="E8" i="69"/>
  <c r="E9" i="69"/>
  <c r="E10" i="69"/>
  <c r="E11" i="69"/>
  <c r="H133" i="59"/>
  <c r="H134" i="59"/>
  <c r="H135" i="59"/>
  <c r="H136" i="59"/>
  <c r="H137" i="59"/>
  <c r="H138" i="59"/>
  <c r="H139" i="59"/>
  <c r="H140" i="59"/>
  <c r="H141" i="59"/>
  <c r="H142" i="59"/>
  <c r="H143" i="59"/>
  <c r="H144" i="59"/>
  <c r="D137" i="59"/>
  <c r="D133" i="59"/>
  <c r="D134" i="59"/>
  <c r="D135" i="59"/>
  <c r="D136" i="59"/>
  <c r="D138" i="59"/>
  <c r="D139" i="59"/>
  <c r="D140" i="59"/>
  <c r="D141" i="59"/>
  <c r="D142" i="59"/>
  <c r="D143" i="59"/>
  <c r="D144" i="59"/>
  <c r="K67" i="60" l="1"/>
  <c r="K66" i="60"/>
  <c r="K65" i="60"/>
  <c r="D166" i="55"/>
  <c r="B166" i="55"/>
  <c r="H165" i="55"/>
  <c r="D165" i="55"/>
  <c r="B165" i="55"/>
  <c r="H162" i="55"/>
  <c r="D162" i="55"/>
  <c r="B162" i="55"/>
  <c r="H163" i="55"/>
  <c r="H164" i="55"/>
  <c r="H167" i="55"/>
  <c r="H168" i="55"/>
  <c r="H169" i="55"/>
  <c r="H170" i="55"/>
  <c r="H171" i="55"/>
  <c r="H172" i="55"/>
  <c r="H174" i="55"/>
  <c r="H175" i="55"/>
  <c r="H176" i="55"/>
  <c r="H178" i="55"/>
  <c r="H179" i="55"/>
  <c r="H182" i="55"/>
  <c r="H184" i="55"/>
  <c r="H185" i="55"/>
  <c r="H186" i="55"/>
  <c r="H187" i="55"/>
  <c r="H188" i="55"/>
  <c r="H189" i="55"/>
  <c r="H190" i="55"/>
  <c r="H191" i="55"/>
  <c r="H158" i="55"/>
  <c r="H159" i="55"/>
  <c r="H160" i="55"/>
  <c r="H161" i="55"/>
  <c r="D163" i="55"/>
  <c r="D164" i="55"/>
  <c r="D167" i="55"/>
  <c r="D168" i="55"/>
  <c r="D169" i="55"/>
  <c r="D170" i="55"/>
  <c r="D171" i="55"/>
  <c r="D172" i="55"/>
  <c r="D174" i="55"/>
  <c r="D175" i="55"/>
  <c r="D176" i="55"/>
  <c r="D178" i="55"/>
  <c r="D179" i="55"/>
  <c r="D182" i="55"/>
  <c r="D184" i="55"/>
  <c r="D185" i="55"/>
  <c r="D186" i="55"/>
  <c r="D187" i="55"/>
  <c r="D188" i="55"/>
  <c r="D189" i="55"/>
  <c r="D190" i="55"/>
  <c r="D191" i="55"/>
  <c r="B163" i="55"/>
  <c r="B164" i="55"/>
  <c r="B167" i="55"/>
  <c r="B168" i="55"/>
  <c r="B169" i="55"/>
  <c r="B170" i="55"/>
  <c r="B171" i="55"/>
  <c r="B172" i="55"/>
  <c r="B174" i="55"/>
  <c r="B175" i="55"/>
  <c r="B176" i="55"/>
  <c r="B178" i="55"/>
  <c r="B179" i="55"/>
  <c r="B182" i="55"/>
  <c r="B184" i="55"/>
  <c r="B185" i="55"/>
  <c r="B186" i="55"/>
  <c r="B187" i="55"/>
  <c r="B188" i="55"/>
  <c r="B189" i="55"/>
  <c r="B190" i="55"/>
  <c r="B191" i="55"/>
  <c r="B217" i="54"/>
  <c r="B218" i="54"/>
  <c r="B219" i="54"/>
  <c r="B220" i="54"/>
  <c r="B221" i="54"/>
  <c r="B222" i="54"/>
  <c r="B223" i="54"/>
  <c r="B224" i="54"/>
  <c r="H217" i="54"/>
  <c r="H218" i="54"/>
  <c r="H219" i="54"/>
  <c r="H220" i="54"/>
  <c r="H221" i="54"/>
  <c r="H222" i="54"/>
  <c r="H223" i="54"/>
  <c r="H224" i="54"/>
  <c r="L217" i="54"/>
  <c r="L218" i="54"/>
  <c r="L219" i="54"/>
  <c r="L220" i="54"/>
  <c r="L221" i="54"/>
  <c r="L222" i="54"/>
  <c r="L223" i="54"/>
  <c r="L224" i="54"/>
  <c r="B215" i="54"/>
  <c r="B216" i="54"/>
  <c r="H215" i="54"/>
  <c r="H216" i="54"/>
  <c r="L215" i="54"/>
  <c r="L216" i="54"/>
  <c r="K64" i="60"/>
  <c r="B64" i="60"/>
  <c r="B65" i="60"/>
  <c r="B66" i="60"/>
  <c r="B67" i="60"/>
  <c r="B68" i="60"/>
  <c r="B69" i="60"/>
  <c r="B70" i="60"/>
  <c r="B71" i="60"/>
  <c r="D64" i="60"/>
  <c r="D65" i="60"/>
  <c r="D66" i="60"/>
  <c r="D67" i="60"/>
  <c r="D68" i="60"/>
  <c r="D69" i="60"/>
  <c r="D70" i="60"/>
  <c r="D71" i="60"/>
  <c r="E27" i="73"/>
  <c r="D27" i="73"/>
  <c r="A3" i="73"/>
  <c r="A4" i="73"/>
  <c r="A5" i="73"/>
  <c r="A6" i="73"/>
  <c r="A7" i="73"/>
  <c r="A8" i="73"/>
  <c r="A9" i="73"/>
  <c r="A10" i="73"/>
  <c r="A11" i="73"/>
  <c r="A12" i="73"/>
  <c r="A13" i="73"/>
  <c r="A14" i="73"/>
  <c r="A15" i="73"/>
  <c r="A16" i="73"/>
  <c r="A17" i="73"/>
  <c r="A18" i="73"/>
  <c r="A19" i="73"/>
  <c r="A20" i="73"/>
  <c r="A21" i="73"/>
  <c r="A22" i="73"/>
  <c r="A23" i="73"/>
  <c r="A24" i="73"/>
  <c r="A25" i="73"/>
  <c r="A26" i="73"/>
  <c r="A27" i="73"/>
  <c r="A2" i="73"/>
  <c r="D9" i="73" l="1"/>
  <c r="H9" i="63" s="1"/>
  <c r="E9" i="73"/>
  <c r="D10" i="73"/>
  <c r="H10" i="63" s="1"/>
  <c r="E10" i="73"/>
  <c r="I10" i="63" s="1"/>
  <c r="D11" i="73"/>
  <c r="H11" i="63" s="1"/>
  <c r="E11" i="73"/>
  <c r="I11" i="63" s="1"/>
  <c r="D12" i="73"/>
  <c r="H12" i="63" s="1"/>
  <c r="E12" i="73"/>
  <c r="I12" i="63" s="1"/>
  <c r="D13" i="73"/>
  <c r="H13" i="63" s="1"/>
  <c r="E13" i="73"/>
  <c r="I13" i="63" s="1"/>
  <c r="D14" i="73"/>
  <c r="H14" i="63" s="1"/>
  <c r="E14" i="73"/>
  <c r="I14" i="63" s="1"/>
  <c r="D15" i="73"/>
  <c r="H15" i="63" s="1"/>
  <c r="E15" i="73"/>
  <c r="I15" i="63" s="1"/>
  <c r="D16" i="73"/>
  <c r="H16" i="63" s="1"/>
  <c r="E16" i="73"/>
  <c r="I16" i="63" s="1"/>
  <c r="D17" i="73"/>
  <c r="H17" i="63" s="1"/>
  <c r="E17" i="73"/>
  <c r="I17" i="63" s="1"/>
  <c r="D18" i="73"/>
  <c r="H18" i="63" s="1"/>
  <c r="E18" i="73"/>
  <c r="I18" i="63" s="1"/>
  <c r="D19" i="73"/>
  <c r="H19" i="63" s="1"/>
  <c r="E19" i="73"/>
  <c r="I19" i="63" s="1"/>
  <c r="D20" i="73"/>
  <c r="H20" i="63" s="1"/>
  <c r="E20" i="73"/>
  <c r="I20" i="63" s="1"/>
  <c r="D21" i="73"/>
  <c r="H21" i="63" s="1"/>
  <c r="E21" i="73"/>
  <c r="D22" i="73"/>
  <c r="E22" i="73"/>
  <c r="I22" i="63" s="1"/>
  <c r="D23" i="73"/>
  <c r="E23" i="73"/>
  <c r="D24" i="73"/>
  <c r="E24" i="73"/>
  <c r="D25" i="73"/>
  <c r="H25" i="63" s="1"/>
  <c r="E25" i="73"/>
  <c r="I25" i="63" s="1"/>
  <c r="D26" i="73"/>
  <c r="H26" i="63" s="1"/>
  <c r="E26" i="73"/>
  <c r="I26" i="63" s="1"/>
  <c r="I8" i="63"/>
  <c r="I9" i="63"/>
  <c r="I21" i="63"/>
  <c r="H22" i="63"/>
  <c r="H23" i="63"/>
  <c r="I23" i="63"/>
  <c r="H24" i="63"/>
  <c r="I24" i="63"/>
  <c r="D3" i="73"/>
  <c r="H3" i="63" s="1"/>
  <c r="E3" i="73"/>
  <c r="I3" i="63" s="1"/>
  <c r="D4" i="73"/>
  <c r="H4" i="63" s="1"/>
  <c r="E4" i="73"/>
  <c r="I4" i="63" s="1"/>
  <c r="D5" i="73"/>
  <c r="H5" i="63" s="1"/>
  <c r="E5" i="73"/>
  <c r="I5" i="63" s="1"/>
  <c r="D6" i="73"/>
  <c r="H6" i="63" s="1"/>
  <c r="E6" i="73"/>
  <c r="I6" i="63" s="1"/>
  <c r="D7" i="73"/>
  <c r="H7" i="63" s="1"/>
  <c r="E7" i="73"/>
  <c r="I7" i="63" s="1"/>
  <c r="D8" i="73"/>
  <c r="H8" i="63" s="1"/>
  <c r="E8" i="73"/>
  <c r="E2" i="73"/>
  <c r="I2" i="63" s="1"/>
  <c r="D2" i="73"/>
  <c r="H2" i="63" s="1"/>
  <c r="B205" i="54" l="1"/>
  <c r="B206" i="54"/>
  <c r="B207" i="54"/>
  <c r="B208" i="54"/>
  <c r="B209" i="54"/>
  <c r="B210" i="54"/>
  <c r="B211" i="54"/>
  <c r="B212" i="54"/>
  <c r="B213" i="54"/>
  <c r="B214" i="54"/>
  <c r="H205" i="54"/>
  <c r="H206" i="54"/>
  <c r="H207" i="54"/>
  <c r="H208" i="54"/>
  <c r="H209" i="54"/>
  <c r="H210" i="54"/>
  <c r="H211" i="54"/>
  <c r="H212" i="54"/>
  <c r="H213" i="54"/>
  <c r="H214" i="54"/>
  <c r="L205" i="54"/>
  <c r="L206" i="54"/>
  <c r="L207" i="54"/>
  <c r="L208" i="54"/>
  <c r="L209" i="54"/>
  <c r="L210" i="54"/>
  <c r="L211" i="54"/>
  <c r="L212" i="54"/>
  <c r="L213" i="54"/>
  <c r="L214" i="54"/>
  <c r="B189" i="54"/>
  <c r="H189" i="54"/>
  <c r="L189" i="54"/>
  <c r="Z119" i="59"/>
  <c r="Z120" i="59"/>
  <c r="Z121" i="59"/>
  <c r="Z122" i="59"/>
  <c r="Z123" i="59"/>
  <c r="Z124" i="59"/>
  <c r="Z125" i="59"/>
  <c r="Z126" i="59"/>
  <c r="Z127" i="59"/>
  <c r="Z128" i="59"/>
  <c r="Z129" i="59"/>
  <c r="Z130" i="59"/>
  <c r="Z131" i="59"/>
  <c r="Z132" i="59"/>
  <c r="B195" i="54"/>
  <c r="B196" i="54"/>
  <c r="B197" i="54"/>
  <c r="B198" i="54"/>
  <c r="B199" i="54"/>
  <c r="B200" i="54"/>
  <c r="B201" i="54"/>
  <c r="B202" i="54"/>
  <c r="B203" i="54"/>
  <c r="B204" i="54"/>
  <c r="H195" i="54"/>
  <c r="H196" i="54"/>
  <c r="H197" i="54"/>
  <c r="H198" i="54"/>
  <c r="H199" i="54"/>
  <c r="H200" i="54"/>
  <c r="H201" i="54"/>
  <c r="H202" i="54"/>
  <c r="H203" i="54"/>
  <c r="H204" i="54"/>
  <c r="L195" i="54"/>
  <c r="L196" i="54"/>
  <c r="L197" i="54"/>
  <c r="L198" i="54"/>
  <c r="L199" i="54"/>
  <c r="L200" i="54"/>
  <c r="L201" i="54"/>
  <c r="L202" i="54"/>
  <c r="L203" i="54"/>
  <c r="L204" i="54"/>
  <c r="D102" i="72" l="1"/>
  <c r="D103" i="72"/>
  <c r="D104" i="72"/>
  <c r="D105" i="72"/>
  <c r="D106" i="72"/>
  <c r="D107" i="72"/>
  <c r="D108" i="72"/>
  <c r="D109" i="72"/>
  <c r="D110" i="72"/>
  <c r="D111" i="72"/>
  <c r="J102" i="72"/>
  <c r="J103" i="72"/>
  <c r="J104" i="72"/>
  <c r="J105" i="72"/>
  <c r="J106" i="72"/>
  <c r="J107" i="72"/>
  <c r="J108" i="72"/>
  <c r="J109" i="72"/>
  <c r="J110" i="72"/>
  <c r="J111" i="72"/>
  <c r="H119" i="59"/>
  <c r="H120" i="59"/>
  <c r="H121" i="59"/>
  <c r="H122" i="59"/>
  <c r="H123" i="59"/>
  <c r="H124" i="59"/>
  <c r="H125" i="59"/>
  <c r="H126" i="59"/>
  <c r="H127" i="59"/>
  <c r="H128" i="59"/>
  <c r="H129" i="59"/>
  <c r="H130" i="59"/>
  <c r="H131" i="59"/>
  <c r="H132" i="59"/>
  <c r="D119" i="59"/>
  <c r="D120" i="59"/>
  <c r="D121" i="59"/>
  <c r="D122" i="59"/>
  <c r="D123" i="59"/>
  <c r="D124" i="59"/>
  <c r="D125" i="59"/>
  <c r="D126" i="59"/>
  <c r="D127" i="59"/>
  <c r="D128" i="59"/>
  <c r="D129" i="59"/>
  <c r="D130" i="59"/>
  <c r="D131" i="59"/>
  <c r="D132" i="59"/>
  <c r="K63" i="60" l="1"/>
  <c r="Z145" i="59"/>
  <c r="H145" i="59"/>
  <c r="D145" i="59"/>
  <c r="B187" i="54"/>
  <c r="B188" i="54"/>
  <c r="B190" i="54"/>
  <c r="B191" i="54"/>
  <c r="B192" i="54"/>
  <c r="B193" i="54"/>
  <c r="B194" i="54"/>
  <c r="H187" i="54"/>
  <c r="H188" i="54"/>
  <c r="H190" i="54"/>
  <c r="H191" i="54"/>
  <c r="H192" i="54"/>
  <c r="H193" i="54"/>
  <c r="H194" i="54"/>
  <c r="L187" i="54"/>
  <c r="L188" i="54"/>
  <c r="L190" i="54"/>
  <c r="L191" i="54"/>
  <c r="L192" i="54"/>
  <c r="L193" i="54"/>
  <c r="L194" i="54"/>
  <c r="L181" i="54"/>
  <c r="H181" i="54"/>
  <c r="B181" i="54"/>
  <c r="L180" i="54"/>
  <c r="H180" i="54"/>
  <c r="B180" i="54"/>
  <c r="L6" i="54"/>
  <c r="H6" i="54"/>
  <c r="D6" i="54"/>
  <c r="B6" i="54"/>
  <c r="L4" i="54"/>
  <c r="H4" i="54"/>
  <c r="D4" i="54"/>
  <c r="B4" i="54"/>
  <c r="L13" i="54"/>
  <c r="H13" i="54"/>
  <c r="B13" i="54"/>
  <c r="L11" i="54"/>
  <c r="H11" i="54"/>
  <c r="B11" i="54"/>
  <c r="K62" i="60"/>
  <c r="K61" i="60"/>
  <c r="E12" i="57"/>
  <c r="E13" i="57"/>
  <c r="E14" i="57"/>
  <c r="E15" i="57"/>
  <c r="E16" i="57"/>
  <c r="E17" i="57"/>
  <c r="E18" i="57"/>
  <c r="E19" i="57"/>
  <c r="E20" i="57"/>
  <c r="E21" i="57"/>
  <c r="K60" i="60"/>
  <c r="D60" i="60"/>
  <c r="B60" i="60"/>
  <c r="B176" i="54"/>
  <c r="B177" i="54"/>
  <c r="B178" i="54"/>
  <c r="B179" i="54"/>
  <c r="B182" i="54"/>
  <c r="B183" i="54"/>
  <c r="B184" i="54"/>
  <c r="B185" i="54"/>
  <c r="B186" i="54"/>
  <c r="H176" i="54"/>
  <c r="H177" i="54"/>
  <c r="H178" i="54"/>
  <c r="H179" i="54"/>
  <c r="H182" i="54"/>
  <c r="H183" i="54"/>
  <c r="H184" i="54"/>
  <c r="H185" i="54"/>
  <c r="H186" i="54"/>
  <c r="L176" i="54"/>
  <c r="L177" i="54"/>
  <c r="L178" i="54"/>
  <c r="L179" i="54"/>
  <c r="L182" i="54"/>
  <c r="L183" i="54"/>
  <c r="L184" i="54"/>
  <c r="L185" i="54"/>
  <c r="L186" i="54"/>
  <c r="B26" i="53"/>
  <c r="B27" i="53"/>
  <c r="B28" i="53"/>
  <c r="B29" i="53"/>
  <c r="B30" i="53"/>
  <c r="K59" i="60"/>
  <c r="K58" i="60"/>
  <c r="B59" i="60"/>
  <c r="B61" i="60"/>
  <c r="B62" i="60"/>
  <c r="B63" i="60"/>
  <c r="D59" i="60"/>
  <c r="D61" i="60"/>
  <c r="D62" i="60"/>
  <c r="D63" i="60"/>
  <c r="B58" i="60"/>
  <c r="D58" i="60"/>
  <c r="H157" i="55"/>
  <c r="D157" i="55"/>
  <c r="B157" i="55"/>
  <c r="B156" i="55"/>
  <c r="H156" i="55"/>
  <c r="H155" i="55"/>
  <c r="D155" i="55"/>
  <c r="B155" i="55"/>
  <c r="H154" i="55"/>
  <c r="B154" i="55"/>
  <c r="B151" i="55"/>
  <c r="D154" i="55"/>
  <c r="D156" i="55"/>
  <c r="H153" i="55"/>
  <c r="D153" i="55"/>
  <c r="B153" i="55"/>
  <c r="H151" i="55"/>
  <c r="H152" i="55"/>
  <c r="D152" i="55"/>
  <c r="B152" i="55"/>
  <c r="D151" i="55"/>
  <c r="H150" i="55"/>
  <c r="D150" i="55"/>
  <c r="B150" i="55"/>
  <c r="H149" i="55"/>
  <c r="D149" i="55"/>
  <c r="B149" i="55"/>
  <c r="B148" i="55"/>
  <c r="D148" i="55"/>
  <c r="H148" i="55"/>
  <c r="H147" i="55"/>
  <c r="D147" i="55"/>
  <c r="B147" i="55"/>
  <c r="H146" i="55"/>
  <c r="D146" i="55"/>
  <c r="B146" i="55"/>
  <c r="B158" i="55"/>
  <c r="B159" i="55"/>
  <c r="B160" i="55"/>
  <c r="B161" i="55"/>
  <c r="D158" i="55"/>
  <c r="D159" i="55"/>
  <c r="D160" i="55"/>
  <c r="D161" i="55"/>
  <c r="E4" i="68"/>
  <c r="E5" i="68"/>
  <c r="B4" i="68"/>
  <c r="C4" i="68"/>
  <c r="B5" i="68"/>
  <c r="C5" i="68"/>
  <c r="Z104" i="59"/>
  <c r="Z105" i="59"/>
  <c r="Z106" i="59"/>
  <c r="Z107" i="59"/>
  <c r="Z108" i="59"/>
  <c r="Z109" i="59"/>
  <c r="Z110" i="59"/>
  <c r="Z111" i="59"/>
  <c r="Z112" i="59"/>
  <c r="Z113" i="59"/>
  <c r="Z114" i="59"/>
  <c r="Z115" i="59"/>
  <c r="Z116" i="59"/>
  <c r="Z117" i="59"/>
  <c r="Z118" i="59"/>
  <c r="E4" i="69" l="1"/>
  <c r="E5" i="69"/>
  <c r="E6" i="69"/>
  <c r="H104" i="59"/>
  <c r="H105" i="59"/>
  <c r="H106" i="59"/>
  <c r="H107" i="59"/>
  <c r="H108" i="59"/>
  <c r="H109" i="59"/>
  <c r="H110" i="59"/>
  <c r="H111" i="59"/>
  <c r="H112" i="59"/>
  <c r="H113" i="59"/>
  <c r="H114" i="59"/>
  <c r="H115" i="59"/>
  <c r="H116" i="59"/>
  <c r="H117" i="59"/>
  <c r="H118" i="59"/>
  <c r="H103" i="59"/>
  <c r="D104" i="59"/>
  <c r="D105" i="59"/>
  <c r="D106" i="59"/>
  <c r="D107" i="59"/>
  <c r="D108" i="59"/>
  <c r="D109" i="59"/>
  <c r="D110" i="59"/>
  <c r="D111" i="59"/>
  <c r="D112" i="59"/>
  <c r="D113" i="59"/>
  <c r="D114" i="59"/>
  <c r="D115" i="59"/>
  <c r="D116" i="59"/>
  <c r="D117" i="59"/>
  <c r="D118" i="59"/>
  <c r="B172" i="54" l="1"/>
  <c r="B173" i="54"/>
  <c r="B174" i="54"/>
  <c r="B175" i="54"/>
  <c r="H172" i="54"/>
  <c r="H173" i="54"/>
  <c r="H174" i="54"/>
  <c r="H175" i="54"/>
  <c r="L172" i="54"/>
  <c r="L173" i="54"/>
  <c r="L174" i="54"/>
  <c r="L175" i="54"/>
  <c r="R25" i="65"/>
  <c r="R26" i="65"/>
  <c r="R27" i="65"/>
  <c r="R28" i="65"/>
  <c r="R29" i="65"/>
  <c r="R30" i="65"/>
  <c r="R31" i="65"/>
  <c r="B167" i="54"/>
  <c r="B168" i="54"/>
  <c r="B169" i="54"/>
  <c r="B170" i="54"/>
  <c r="B171" i="54"/>
  <c r="H167" i="54"/>
  <c r="H168" i="54"/>
  <c r="H169" i="54"/>
  <c r="H170" i="54"/>
  <c r="H171" i="54"/>
  <c r="L167" i="54"/>
  <c r="L168" i="54"/>
  <c r="L169" i="54"/>
  <c r="L170" i="54"/>
  <c r="L171" i="54"/>
  <c r="H144" i="55" l="1"/>
  <c r="D144" i="55"/>
  <c r="B144" i="55"/>
  <c r="H143" i="55"/>
  <c r="D143" i="55"/>
  <c r="B143" i="55"/>
  <c r="H142" i="55"/>
  <c r="D142" i="55"/>
  <c r="B142" i="55"/>
  <c r="H141" i="55"/>
  <c r="D141" i="55"/>
  <c r="B141" i="55"/>
  <c r="H140" i="55"/>
  <c r="D140" i="55"/>
  <c r="B140" i="55"/>
  <c r="H139" i="55"/>
  <c r="D139" i="55"/>
  <c r="B139" i="55"/>
  <c r="H138" i="55"/>
  <c r="D138" i="55"/>
  <c r="B138" i="55"/>
  <c r="H135" i="55"/>
  <c r="D135" i="55"/>
  <c r="B135" i="55"/>
  <c r="H136" i="55"/>
  <c r="D136" i="55"/>
  <c r="B136" i="55"/>
  <c r="H134" i="55"/>
  <c r="D134" i="55"/>
  <c r="B134" i="55"/>
  <c r="H133" i="55"/>
  <c r="D133" i="55"/>
  <c r="B133" i="55"/>
  <c r="H132" i="55"/>
  <c r="D132" i="55"/>
  <c r="B132" i="55"/>
  <c r="H131" i="55"/>
  <c r="D131" i="55"/>
  <c r="B131" i="55"/>
  <c r="H129" i="55"/>
  <c r="D129" i="55"/>
  <c r="B129" i="55"/>
  <c r="H126" i="55"/>
  <c r="D126" i="55"/>
  <c r="B126" i="55"/>
  <c r="H106" i="55"/>
  <c r="D106" i="55"/>
  <c r="B106" i="55"/>
  <c r="H98" i="55"/>
  <c r="D98" i="55"/>
  <c r="B98" i="55"/>
  <c r="H97" i="55"/>
  <c r="D97" i="55"/>
  <c r="B97" i="55"/>
  <c r="H103" i="55"/>
  <c r="H104" i="55"/>
  <c r="H105" i="55"/>
  <c r="H107" i="55"/>
  <c r="H108" i="55"/>
  <c r="H109" i="55"/>
  <c r="H110" i="55"/>
  <c r="H111" i="55"/>
  <c r="H112" i="55"/>
  <c r="H113" i="55"/>
  <c r="H114" i="55"/>
  <c r="H115" i="55"/>
  <c r="H116" i="55"/>
  <c r="H117" i="55"/>
  <c r="H118" i="55"/>
  <c r="H119" i="55"/>
  <c r="H120" i="55"/>
  <c r="H121" i="55"/>
  <c r="H122" i="55"/>
  <c r="H123" i="55"/>
  <c r="H124" i="55"/>
  <c r="H125" i="55"/>
  <c r="H127" i="55"/>
  <c r="H128" i="55"/>
  <c r="H130" i="55"/>
  <c r="H137" i="55"/>
  <c r="H145" i="55"/>
  <c r="D103" i="55"/>
  <c r="D104" i="55"/>
  <c r="D105" i="55"/>
  <c r="D107" i="55"/>
  <c r="D108" i="55"/>
  <c r="D109" i="55"/>
  <c r="D110" i="55"/>
  <c r="D111" i="55"/>
  <c r="D112" i="55"/>
  <c r="D113" i="55"/>
  <c r="D114" i="55"/>
  <c r="D115" i="55"/>
  <c r="D116" i="55"/>
  <c r="D117" i="55"/>
  <c r="D118" i="55"/>
  <c r="D119" i="55"/>
  <c r="D120" i="55"/>
  <c r="D121" i="55"/>
  <c r="D122" i="55"/>
  <c r="D123" i="55"/>
  <c r="D124" i="55"/>
  <c r="D125" i="55"/>
  <c r="D127" i="55"/>
  <c r="D128" i="55"/>
  <c r="D130" i="55"/>
  <c r="D137" i="55"/>
  <c r="D145" i="55"/>
  <c r="B103" i="55"/>
  <c r="B104" i="55"/>
  <c r="B105" i="55"/>
  <c r="B107" i="55"/>
  <c r="B108" i="55"/>
  <c r="B109" i="55"/>
  <c r="B110" i="55"/>
  <c r="B111" i="55"/>
  <c r="B112" i="55"/>
  <c r="B113" i="55"/>
  <c r="B114" i="55"/>
  <c r="B115" i="55"/>
  <c r="B116" i="55"/>
  <c r="B117" i="55"/>
  <c r="B118" i="55"/>
  <c r="B119" i="55"/>
  <c r="B120" i="55"/>
  <c r="B121" i="55"/>
  <c r="B122" i="55"/>
  <c r="B123" i="55"/>
  <c r="B124" i="55"/>
  <c r="B125" i="55"/>
  <c r="B127" i="55"/>
  <c r="B128" i="55"/>
  <c r="B130" i="55"/>
  <c r="B137" i="55"/>
  <c r="B145" i="55"/>
  <c r="D82" i="72"/>
  <c r="D83" i="72"/>
  <c r="D84" i="72"/>
  <c r="D85" i="72"/>
  <c r="D86" i="72"/>
  <c r="D87" i="72"/>
  <c r="D88" i="72"/>
  <c r="D89" i="72"/>
  <c r="D90" i="72"/>
  <c r="D91" i="72"/>
  <c r="D92" i="72"/>
  <c r="D93" i="72"/>
  <c r="D94" i="72"/>
  <c r="D95" i="72"/>
  <c r="D96" i="72"/>
  <c r="D97" i="72"/>
  <c r="D98" i="72"/>
  <c r="D99" i="72"/>
  <c r="D100" i="72"/>
  <c r="D101" i="72"/>
  <c r="J82" i="72"/>
  <c r="J83" i="72"/>
  <c r="J84" i="72"/>
  <c r="J85" i="72"/>
  <c r="J86" i="72"/>
  <c r="J87" i="72"/>
  <c r="J88" i="72"/>
  <c r="J89" i="72"/>
  <c r="J90" i="72"/>
  <c r="J91" i="72"/>
  <c r="J92" i="72"/>
  <c r="J93" i="72"/>
  <c r="J94" i="72"/>
  <c r="J95" i="72"/>
  <c r="J96" i="72"/>
  <c r="J97" i="72"/>
  <c r="J98" i="72"/>
  <c r="J99" i="72"/>
  <c r="J100" i="72"/>
  <c r="J101" i="72"/>
  <c r="D72" i="72"/>
  <c r="D73" i="72"/>
  <c r="D74" i="72"/>
  <c r="D75" i="72"/>
  <c r="D76" i="72"/>
  <c r="D77" i="72"/>
  <c r="D78" i="72"/>
  <c r="D79" i="72"/>
  <c r="D80" i="72"/>
  <c r="D81" i="72"/>
  <c r="J72" i="72"/>
  <c r="J73" i="72"/>
  <c r="J74" i="72"/>
  <c r="J75" i="72"/>
  <c r="J76" i="72"/>
  <c r="J77" i="72"/>
  <c r="J78" i="72"/>
  <c r="J79" i="72"/>
  <c r="J80" i="72"/>
  <c r="J81" i="72"/>
  <c r="D62" i="72"/>
  <c r="D63" i="72"/>
  <c r="D64" i="72"/>
  <c r="D65" i="72"/>
  <c r="D66" i="72"/>
  <c r="D67" i="72"/>
  <c r="D68" i="72"/>
  <c r="D69" i="72"/>
  <c r="D70" i="72"/>
  <c r="D71" i="72"/>
  <c r="J62" i="72"/>
  <c r="J63" i="72"/>
  <c r="J64" i="72"/>
  <c r="J65" i="72"/>
  <c r="J66" i="72"/>
  <c r="J67" i="72"/>
  <c r="J68" i="72"/>
  <c r="J69" i="72"/>
  <c r="J70" i="72"/>
  <c r="J71" i="72"/>
  <c r="K57" i="60" l="1"/>
  <c r="B57" i="60"/>
  <c r="D57" i="60"/>
  <c r="K56" i="60" l="1"/>
  <c r="B56" i="60"/>
  <c r="D56" i="60"/>
  <c r="B158" i="54"/>
  <c r="H158" i="54"/>
  <c r="L158" i="54"/>
  <c r="B24" i="53"/>
  <c r="B25" i="53"/>
  <c r="B156" i="54"/>
  <c r="B157" i="54"/>
  <c r="B159" i="54"/>
  <c r="B160" i="54"/>
  <c r="B161" i="54"/>
  <c r="B162" i="54"/>
  <c r="B163" i="54"/>
  <c r="B164" i="54"/>
  <c r="B165" i="54"/>
  <c r="B166" i="54"/>
  <c r="H156" i="54"/>
  <c r="H157" i="54"/>
  <c r="H159" i="54"/>
  <c r="H160" i="54"/>
  <c r="H161" i="54"/>
  <c r="H162" i="54"/>
  <c r="H163" i="54"/>
  <c r="H164" i="54"/>
  <c r="H165" i="54"/>
  <c r="H166" i="54"/>
  <c r="L156" i="54"/>
  <c r="L157" i="54"/>
  <c r="L159" i="54"/>
  <c r="L160" i="54"/>
  <c r="L161" i="54"/>
  <c r="L162" i="54"/>
  <c r="L163" i="54"/>
  <c r="L164" i="54"/>
  <c r="L165" i="54"/>
  <c r="L166" i="54"/>
  <c r="S22" i="65"/>
  <c r="S23" i="65"/>
  <c r="S24" i="65"/>
  <c r="S25" i="65"/>
  <c r="S26" i="65"/>
  <c r="S27" i="65"/>
  <c r="S28" i="65"/>
  <c r="S29" i="65"/>
  <c r="S30" i="65"/>
  <c r="R22" i="65"/>
  <c r="R23" i="65"/>
  <c r="R24" i="65"/>
  <c r="I22" i="65"/>
  <c r="I23" i="65"/>
  <c r="I24" i="65"/>
  <c r="I25" i="65"/>
  <c r="I26" i="65"/>
  <c r="I27" i="65"/>
  <c r="I28" i="65"/>
  <c r="I29" i="65"/>
  <c r="I30" i="65"/>
  <c r="I31" i="65"/>
  <c r="G22" i="65"/>
  <c r="G23" i="65"/>
  <c r="G24" i="65"/>
  <c r="G25" i="65"/>
  <c r="G26" i="65"/>
  <c r="G27" i="65"/>
  <c r="G28" i="65"/>
  <c r="G29" i="65"/>
  <c r="G30" i="65"/>
  <c r="G31" i="65"/>
  <c r="L22" i="65"/>
  <c r="L23" i="65"/>
  <c r="L24" i="65"/>
  <c r="L25" i="65"/>
  <c r="L26" i="65"/>
  <c r="L27" i="65"/>
  <c r="L28" i="65"/>
  <c r="L29" i="65"/>
  <c r="L30" i="65"/>
  <c r="L31" i="65"/>
  <c r="M22" i="65"/>
  <c r="M23" i="65"/>
  <c r="M24" i="65"/>
  <c r="M25" i="65"/>
  <c r="M26" i="65"/>
  <c r="M27" i="65"/>
  <c r="M28" i="65"/>
  <c r="M29" i="65"/>
  <c r="M30" i="65"/>
  <c r="M31" i="65"/>
  <c r="O22" i="65"/>
  <c r="O23" i="65"/>
  <c r="O24" i="65"/>
  <c r="O25" i="65"/>
  <c r="O26" i="65"/>
  <c r="O27" i="65"/>
  <c r="O28" i="65"/>
  <c r="O29" i="65"/>
  <c r="O30" i="65"/>
  <c r="O31" i="65"/>
  <c r="U22" i="65"/>
  <c r="U23" i="65"/>
  <c r="U24" i="65"/>
  <c r="U25" i="65"/>
  <c r="U26" i="65"/>
  <c r="U27" i="65"/>
  <c r="U28" i="65"/>
  <c r="U29" i="65"/>
  <c r="U30" i="65"/>
  <c r="U31" i="65"/>
  <c r="B144" i="54"/>
  <c r="H144" i="54"/>
  <c r="L144" i="54"/>
  <c r="B143" i="54"/>
  <c r="H143" i="54"/>
  <c r="L143" i="54"/>
  <c r="K55" i="60"/>
  <c r="B55" i="60"/>
  <c r="D55" i="60"/>
  <c r="B148" i="54"/>
  <c r="B149" i="54"/>
  <c r="B150" i="54"/>
  <c r="B151" i="54"/>
  <c r="B152" i="54"/>
  <c r="B153" i="54"/>
  <c r="B154" i="54"/>
  <c r="B155" i="54"/>
  <c r="H148" i="54"/>
  <c r="H149" i="54"/>
  <c r="H150" i="54"/>
  <c r="H151" i="54"/>
  <c r="H152" i="54"/>
  <c r="H153" i="54"/>
  <c r="H154" i="54"/>
  <c r="H155" i="54"/>
  <c r="L148" i="54"/>
  <c r="L149" i="54"/>
  <c r="L150" i="54"/>
  <c r="L151" i="54"/>
  <c r="L152" i="54"/>
  <c r="L153" i="54"/>
  <c r="L154" i="54"/>
  <c r="L155" i="54"/>
  <c r="H88" i="55"/>
  <c r="H89" i="55"/>
  <c r="H90" i="55"/>
  <c r="H91" i="55"/>
  <c r="H92" i="55"/>
  <c r="H93" i="55"/>
  <c r="H94" i="55"/>
  <c r="H95" i="55"/>
  <c r="H96" i="55"/>
  <c r="H99" i="55"/>
  <c r="H100" i="55"/>
  <c r="H101" i="55"/>
  <c r="H102" i="55"/>
  <c r="D88" i="55"/>
  <c r="D89" i="55"/>
  <c r="D90" i="55"/>
  <c r="D91" i="55"/>
  <c r="D92" i="55"/>
  <c r="D93" i="55"/>
  <c r="D94" i="55"/>
  <c r="D95" i="55"/>
  <c r="D96" i="55"/>
  <c r="D99" i="55"/>
  <c r="D100" i="55"/>
  <c r="D101" i="55"/>
  <c r="D102" i="55"/>
  <c r="B88" i="55"/>
  <c r="B89" i="55"/>
  <c r="B90" i="55"/>
  <c r="B91" i="55"/>
  <c r="B92" i="55"/>
  <c r="B93" i="55"/>
  <c r="B94" i="55"/>
  <c r="B95" i="55"/>
  <c r="B96" i="55"/>
  <c r="B99" i="55"/>
  <c r="B100" i="55"/>
  <c r="B101" i="55"/>
  <c r="B102" i="55"/>
  <c r="Z93" i="59"/>
  <c r="Z94" i="59"/>
  <c r="Z95" i="59"/>
  <c r="Z96" i="59"/>
  <c r="Z97" i="59"/>
  <c r="Z98" i="59"/>
  <c r="Z99" i="59"/>
  <c r="Z100" i="59"/>
  <c r="Z101" i="59"/>
  <c r="Z102" i="59"/>
  <c r="Z103" i="59"/>
  <c r="Z91" i="59"/>
  <c r="Z92" i="59"/>
  <c r="H93" i="59"/>
  <c r="H94" i="59"/>
  <c r="H95" i="59"/>
  <c r="H96" i="59"/>
  <c r="H97" i="59"/>
  <c r="H98" i="59"/>
  <c r="H99" i="59"/>
  <c r="H100" i="59"/>
  <c r="H101" i="59"/>
  <c r="H102" i="59"/>
  <c r="D93" i="59"/>
  <c r="D94" i="59"/>
  <c r="D95" i="59"/>
  <c r="D96" i="59"/>
  <c r="D97" i="59"/>
  <c r="D98" i="59"/>
  <c r="D99" i="59"/>
  <c r="D100" i="59"/>
  <c r="D101" i="59"/>
  <c r="D102" i="59"/>
  <c r="D103" i="59"/>
  <c r="E3" i="57" l="1"/>
  <c r="E4" i="57"/>
  <c r="E5" i="57"/>
  <c r="E6" i="57"/>
  <c r="B106" i="54"/>
  <c r="H106" i="54"/>
  <c r="L106" i="54"/>
  <c r="H136" i="54"/>
  <c r="B136" i="54"/>
  <c r="B137" i="54"/>
  <c r="B138" i="54"/>
  <c r="B139" i="54"/>
  <c r="B140" i="54"/>
  <c r="B141" i="54"/>
  <c r="B142" i="54"/>
  <c r="B145" i="54"/>
  <c r="B146" i="54"/>
  <c r="B147" i="54"/>
  <c r="H137" i="54"/>
  <c r="H138" i="54"/>
  <c r="H139" i="54"/>
  <c r="H140" i="54"/>
  <c r="H141" i="54"/>
  <c r="H142" i="54"/>
  <c r="H145" i="54"/>
  <c r="H146" i="54"/>
  <c r="H147" i="54"/>
  <c r="L136" i="54"/>
  <c r="L137" i="54"/>
  <c r="L138" i="54"/>
  <c r="L139" i="54"/>
  <c r="L140" i="54"/>
  <c r="L141" i="54"/>
  <c r="L142" i="54"/>
  <c r="L145" i="54"/>
  <c r="L146" i="54"/>
  <c r="L147" i="54"/>
  <c r="B135" i="54"/>
  <c r="H135" i="54"/>
  <c r="L135" i="54"/>
  <c r="K54" i="60"/>
  <c r="B54" i="60"/>
  <c r="D54" i="60"/>
  <c r="B23" i="53"/>
  <c r="K53" i="60"/>
  <c r="B53" i="60"/>
  <c r="D53" i="60"/>
  <c r="B22" i="53"/>
  <c r="K52" i="60"/>
  <c r="B52" i="60"/>
  <c r="D52" i="60"/>
  <c r="K51" i="60"/>
  <c r="B51" i="60"/>
  <c r="D51" i="60"/>
  <c r="K50" i="60"/>
  <c r="B50" i="60"/>
  <c r="D50" i="60"/>
  <c r="K49" i="60"/>
  <c r="B49" i="60"/>
  <c r="D49" i="60"/>
  <c r="B126" i="54"/>
  <c r="B127" i="54"/>
  <c r="B128" i="54"/>
  <c r="B129" i="54"/>
  <c r="B130" i="54"/>
  <c r="B131" i="54"/>
  <c r="B132" i="54"/>
  <c r="B133" i="54"/>
  <c r="B134" i="54"/>
  <c r="H126" i="54"/>
  <c r="H127" i="54"/>
  <c r="H128" i="54"/>
  <c r="H129" i="54"/>
  <c r="H130" i="54"/>
  <c r="H131" i="54"/>
  <c r="H132" i="54"/>
  <c r="H133" i="54"/>
  <c r="H134" i="54"/>
  <c r="L126" i="54"/>
  <c r="L127" i="54"/>
  <c r="L128" i="54"/>
  <c r="L129" i="54"/>
  <c r="L130" i="54"/>
  <c r="L131" i="54"/>
  <c r="L132" i="54"/>
  <c r="L133" i="54"/>
  <c r="L134" i="54"/>
  <c r="H78" i="55"/>
  <c r="H79" i="55"/>
  <c r="H80" i="55"/>
  <c r="H81" i="55"/>
  <c r="H82" i="55"/>
  <c r="H83" i="55"/>
  <c r="H84" i="55"/>
  <c r="H85" i="55"/>
  <c r="H86" i="55"/>
  <c r="H87" i="55"/>
  <c r="D78" i="55"/>
  <c r="D79" i="55"/>
  <c r="D80" i="55"/>
  <c r="D81" i="55"/>
  <c r="D82" i="55"/>
  <c r="D83" i="55"/>
  <c r="D84" i="55"/>
  <c r="D85" i="55"/>
  <c r="D86" i="55"/>
  <c r="D87" i="55"/>
  <c r="B78" i="55"/>
  <c r="B79" i="55"/>
  <c r="B80" i="55"/>
  <c r="B81" i="55"/>
  <c r="B82" i="55"/>
  <c r="B83" i="55"/>
  <c r="B84" i="55"/>
  <c r="B85" i="55"/>
  <c r="B86" i="55"/>
  <c r="B87" i="55"/>
  <c r="D47" i="55"/>
  <c r="B47" i="55"/>
  <c r="D52" i="72"/>
  <c r="D53" i="72"/>
  <c r="D54" i="72"/>
  <c r="D55" i="72"/>
  <c r="D56" i="72"/>
  <c r="D57" i="72"/>
  <c r="D58" i="72"/>
  <c r="D59" i="72"/>
  <c r="D60" i="72"/>
  <c r="D61" i="72"/>
  <c r="J52" i="72"/>
  <c r="J53" i="72"/>
  <c r="J54" i="72"/>
  <c r="J55" i="72"/>
  <c r="J56" i="72"/>
  <c r="J57" i="72"/>
  <c r="J58" i="72"/>
  <c r="J59" i="72"/>
  <c r="J60" i="72"/>
  <c r="J61" i="72"/>
  <c r="Z59" i="59"/>
  <c r="Z60" i="59"/>
  <c r="Z61" i="59"/>
  <c r="Z62" i="59"/>
  <c r="Z63" i="59"/>
  <c r="Z64" i="59"/>
  <c r="Z65" i="59"/>
  <c r="Z66" i="59"/>
  <c r="Z67" i="59"/>
  <c r="Z68" i="59"/>
  <c r="Z69" i="59"/>
  <c r="Z70" i="59"/>
  <c r="Z71" i="59"/>
  <c r="Z72" i="59"/>
  <c r="Z73" i="59"/>
  <c r="Z74" i="59"/>
  <c r="Z75" i="59"/>
  <c r="Z76" i="59"/>
  <c r="Z77" i="59"/>
  <c r="Z78" i="59"/>
  <c r="Z79" i="59"/>
  <c r="Z80" i="59"/>
  <c r="Z81" i="59"/>
  <c r="Z82" i="59"/>
  <c r="Z83" i="59"/>
  <c r="Z84" i="59"/>
  <c r="Z85" i="59"/>
  <c r="Z86" i="59"/>
  <c r="Z87" i="59"/>
  <c r="Z88" i="59"/>
  <c r="Z89" i="59"/>
  <c r="Z90" i="59"/>
  <c r="H85" i="59"/>
  <c r="H86" i="59"/>
  <c r="H87" i="59"/>
  <c r="H88" i="59"/>
  <c r="H89" i="59"/>
  <c r="H90" i="59"/>
  <c r="H91" i="59"/>
  <c r="H92" i="59"/>
  <c r="D85" i="59"/>
  <c r="D86" i="59"/>
  <c r="D87" i="59"/>
  <c r="D88" i="59"/>
  <c r="D89" i="59"/>
  <c r="D90" i="59"/>
  <c r="D91" i="59"/>
  <c r="D92" i="59"/>
  <c r="B21" i="53" l="1"/>
  <c r="H121" i="54"/>
  <c r="B121" i="54"/>
  <c r="H120" i="54"/>
  <c r="B120" i="54"/>
  <c r="K48" i="60"/>
  <c r="B48" i="60"/>
  <c r="D48" i="60"/>
  <c r="B115" i="54" l="1"/>
  <c r="B116" i="54"/>
  <c r="B117" i="54"/>
  <c r="B118" i="54"/>
  <c r="B119" i="54"/>
  <c r="B122" i="54"/>
  <c r="B123" i="54"/>
  <c r="B124" i="54"/>
  <c r="B125" i="54"/>
  <c r="H115" i="54"/>
  <c r="H116" i="54"/>
  <c r="H117" i="54"/>
  <c r="H118" i="54"/>
  <c r="H119" i="54"/>
  <c r="H122" i="54"/>
  <c r="H123" i="54"/>
  <c r="H124" i="54"/>
  <c r="H125" i="54"/>
  <c r="L115" i="54"/>
  <c r="L116" i="54"/>
  <c r="L117" i="54"/>
  <c r="L118" i="54"/>
  <c r="L119" i="54"/>
  <c r="L120" i="54"/>
  <c r="L121" i="54"/>
  <c r="L122" i="54"/>
  <c r="L123" i="54"/>
  <c r="L124" i="54"/>
  <c r="L125" i="54"/>
  <c r="K47" i="60"/>
  <c r="B47" i="60"/>
  <c r="D47" i="60"/>
  <c r="H66" i="55"/>
  <c r="H67" i="55"/>
  <c r="H68" i="55"/>
  <c r="H69" i="55"/>
  <c r="H70" i="55"/>
  <c r="H71" i="55"/>
  <c r="H72" i="55"/>
  <c r="H73" i="55"/>
  <c r="H74" i="55"/>
  <c r="H75" i="55"/>
  <c r="H76" i="55"/>
  <c r="H77" i="55"/>
  <c r="D68" i="55"/>
  <c r="D69" i="55"/>
  <c r="D70" i="55"/>
  <c r="D71" i="55"/>
  <c r="D72" i="55"/>
  <c r="D73" i="55"/>
  <c r="D74" i="55"/>
  <c r="D75" i="55"/>
  <c r="D76" i="55"/>
  <c r="D77" i="55"/>
  <c r="B68" i="55"/>
  <c r="B69" i="55"/>
  <c r="B70" i="55"/>
  <c r="B71" i="55"/>
  <c r="B72" i="55"/>
  <c r="B73" i="55"/>
  <c r="B74" i="55"/>
  <c r="B75" i="55"/>
  <c r="B76" i="55"/>
  <c r="B77" i="55"/>
  <c r="D47" i="72"/>
  <c r="D48" i="72"/>
  <c r="D49" i="72"/>
  <c r="D50" i="72"/>
  <c r="D51" i="72"/>
  <c r="J47" i="72"/>
  <c r="J48" i="72"/>
  <c r="J49" i="72"/>
  <c r="J50" i="72"/>
  <c r="J51" i="72"/>
  <c r="H80" i="59"/>
  <c r="H81" i="59"/>
  <c r="H82" i="59"/>
  <c r="H83" i="59"/>
  <c r="H84" i="59"/>
  <c r="D81" i="59"/>
  <c r="D82" i="59"/>
  <c r="D83" i="59"/>
  <c r="D84" i="59"/>
  <c r="D80" i="59"/>
  <c r="B107" i="54" l="1"/>
  <c r="B108" i="54"/>
  <c r="B109" i="54"/>
  <c r="B110" i="54"/>
  <c r="B111" i="54"/>
  <c r="B112" i="54"/>
  <c r="B113" i="54"/>
  <c r="B114" i="54"/>
  <c r="H107" i="54"/>
  <c r="H108" i="54"/>
  <c r="H109" i="54"/>
  <c r="H110" i="54"/>
  <c r="H111" i="54"/>
  <c r="H112" i="54"/>
  <c r="H113" i="54"/>
  <c r="H114" i="54"/>
  <c r="L107" i="54"/>
  <c r="L108" i="54"/>
  <c r="L109" i="54"/>
  <c r="L110" i="54"/>
  <c r="L111" i="54"/>
  <c r="L112" i="54"/>
  <c r="L113" i="54"/>
  <c r="L114" i="54"/>
  <c r="B20" i="53"/>
  <c r="K46" i="60"/>
  <c r="B46" i="60"/>
  <c r="D46" i="60"/>
  <c r="R17" i="65"/>
  <c r="S17" i="65"/>
  <c r="R18" i="65"/>
  <c r="S18" i="65"/>
  <c r="R19" i="65"/>
  <c r="S19" i="65"/>
  <c r="R20" i="65"/>
  <c r="S20" i="65"/>
  <c r="R21" i="65"/>
  <c r="S21" i="65"/>
  <c r="I17" i="65"/>
  <c r="I18" i="65"/>
  <c r="I19" i="65"/>
  <c r="I20" i="65"/>
  <c r="I21" i="65"/>
  <c r="G17" i="65"/>
  <c r="G18" i="65"/>
  <c r="G19" i="65"/>
  <c r="G20" i="65"/>
  <c r="G21" i="65"/>
  <c r="L17" i="65"/>
  <c r="L18" i="65"/>
  <c r="L19" i="65"/>
  <c r="L20" i="65"/>
  <c r="L21" i="65"/>
  <c r="M17" i="65"/>
  <c r="M18" i="65"/>
  <c r="M19" i="65"/>
  <c r="M20" i="65"/>
  <c r="M21" i="65"/>
  <c r="O17" i="65"/>
  <c r="O18" i="65"/>
  <c r="O19" i="65"/>
  <c r="O20" i="65"/>
  <c r="O21" i="65"/>
  <c r="U17" i="65"/>
  <c r="U18" i="65"/>
  <c r="U19" i="65"/>
  <c r="U20" i="65"/>
  <c r="U21" i="65"/>
  <c r="B100" i="54"/>
  <c r="B101" i="54"/>
  <c r="B102" i="54"/>
  <c r="B103" i="54"/>
  <c r="B104" i="54"/>
  <c r="B105" i="54"/>
  <c r="H100" i="54"/>
  <c r="H101" i="54"/>
  <c r="H102" i="54"/>
  <c r="H103" i="54"/>
  <c r="H104" i="54"/>
  <c r="H105" i="54"/>
  <c r="L100" i="54"/>
  <c r="L101" i="54"/>
  <c r="L102" i="54"/>
  <c r="L103" i="54"/>
  <c r="L104" i="54"/>
  <c r="L105" i="54"/>
  <c r="B99" i="54"/>
  <c r="H99" i="54"/>
  <c r="L99" i="54"/>
  <c r="K45" i="60"/>
  <c r="B98" i="54"/>
  <c r="H98" i="54"/>
  <c r="L98" i="54"/>
  <c r="B97" i="54"/>
  <c r="H97" i="54"/>
  <c r="L97" i="54"/>
  <c r="B19" i="53"/>
  <c r="K44" i="60"/>
  <c r="K43" i="60"/>
  <c r="K42" i="60"/>
  <c r="D67" i="55"/>
  <c r="B67" i="55"/>
  <c r="D66" i="55"/>
  <c r="B66" i="55"/>
  <c r="H65" i="55"/>
  <c r="H64" i="55"/>
  <c r="H63" i="55"/>
  <c r="D65" i="55"/>
  <c r="B65" i="55"/>
  <c r="D64" i="55"/>
  <c r="D63" i="55"/>
  <c r="B64" i="55"/>
  <c r="B63" i="55"/>
  <c r="H62" i="55"/>
  <c r="D62" i="55"/>
  <c r="B62" i="55"/>
  <c r="D41" i="72"/>
  <c r="D42" i="72"/>
  <c r="D43" i="72"/>
  <c r="D44" i="72"/>
  <c r="D45" i="72"/>
  <c r="D46" i="72"/>
  <c r="J41" i="72"/>
  <c r="J42" i="72"/>
  <c r="J43" i="72"/>
  <c r="J44" i="72"/>
  <c r="J45" i="72"/>
  <c r="J46" i="72"/>
  <c r="E2" i="57"/>
  <c r="E7" i="57"/>
  <c r="E8" i="57"/>
  <c r="E9" i="57"/>
  <c r="E10" i="57"/>
  <c r="E11" i="57"/>
  <c r="H76" i="59" l="1"/>
  <c r="H77" i="59"/>
  <c r="H78" i="59"/>
  <c r="H79" i="59"/>
  <c r="D79" i="59" l="1"/>
  <c r="D78" i="59"/>
  <c r="D77" i="59"/>
  <c r="D76" i="59"/>
  <c r="D63" i="59" l="1"/>
  <c r="B31" i="60" l="1"/>
  <c r="D31" i="60"/>
  <c r="K31" i="60"/>
  <c r="B96" i="54"/>
  <c r="H96" i="54"/>
  <c r="L96" i="54"/>
  <c r="B95" i="54"/>
  <c r="H95" i="54"/>
  <c r="L95" i="54"/>
  <c r="S13" i="65"/>
  <c r="S14" i="65"/>
  <c r="S15" i="65"/>
  <c r="S16" i="65"/>
  <c r="S12" i="65"/>
  <c r="R14" i="65"/>
  <c r="R15" i="65"/>
  <c r="R16" i="65"/>
  <c r="K41" i="60"/>
  <c r="B88" i="54"/>
  <c r="B89" i="54"/>
  <c r="B90" i="54"/>
  <c r="B91" i="54"/>
  <c r="B92" i="54"/>
  <c r="B93" i="54"/>
  <c r="B94" i="54"/>
  <c r="H88" i="54"/>
  <c r="H89" i="54"/>
  <c r="H90" i="54"/>
  <c r="H91" i="54"/>
  <c r="H92" i="54"/>
  <c r="H93" i="54"/>
  <c r="H94" i="54"/>
  <c r="L88" i="54"/>
  <c r="L89" i="54"/>
  <c r="L90" i="54"/>
  <c r="L91" i="54"/>
  <c r="L92" i="54"/>
  <c r="L93" i="54"/>
  <c r="L94" i="54"/>
  <c r="K36" i="60"/>
  <c r="B36" i="60"/>
  <c r="B37" i="60"/>
  <c r="B38" i="60"/>
  <c r="B39" i="60"/>
  <c r="B40" i="60"/>
  <c r="B41" i="60"/>
  <c r="B42" i="60"/>
  <c r="B43" i="60"/>
  <c r="B44" i="60"/>
  <c r="B45" i="60"/>
  <c r="D36" i="60"/>
  <c r="D37" i="60"/>
  <c r="D38" i="60"/>
  <c r="D39" i="60"/>
  <c r="D40" i="60"/>
  <c r="D41" i="60"/>
  <c r="D42" i="60"/>
  <c r="D43" i="60"/>
  <c r="D44" i="60"/>
  <c r="D45" i="60"/>
  <c r="K37" i="60"/>
  <c r="K38" i="60"/>
  <c r="K39" i="60"/>
  <c r="K40" i="60"/>
  <c r="B81" i="54"/>
  <c r="B82" i="54"/>
  <c r="B83" i="54"/>
  <c r="B84" i="54"/>
  <c r="B85" i="54"/>
  <c r="B86" i="54"/>
  <c r="B87" i="54"/>
  <c r="H81" i="54"/>
  <c r="H82" i="54"/>
  <c r="H83" i="54"/>
  <c r="H84" i="54"/>
  <c r="H85" i="54"/>
  <c r="H86" i="54"/>
  <c r="H87" i="54"/>
  <c r="L81" i="54"/>
  <c r="L82" i="54"/>
  <c r="L83" i="54"/>
  <c r="L84" i="54"/>
  <c r="L85" i="54"/>
  <c r="L86" i="54"/>
  <c r="L87" i="54"/>
  <c r="L74" i="54"/>
  <c r="L75" i="54"/>
  <c r="L76" i="54"/>
  <c r="L77" i="54"/>
  <c r="L78" i="54"/>
  <c r="L79" i="54"/>
  <c r="L80" i="54"/>
  <c r="B73" i="54"/>
  <c r="B74" i="54"/>
  <c r="B75" i="54"/>
  <c r="B76" i="54"/>
  <c r="B77" i="54"/>
  <c r="B78" i="54"/>
  <c r="B79" i="54"/>
  <c r="B80" i="54"/>
  <c r="H73" i="54"/>
  <c r="H74" i="54"/>
  <c r="H75" i="54"/>
  <c r="H76" i="54"/>
  <c r="H77" i="54"/>
  <c r="H78" i="54"/>
  <c r="H79" i="54"/>
  <c r="H80" i="54"/>
  <c r="L73" i="54"/>
  <c r="I13" i="65"/>
  <c r="I14" i="65"/>
  <c r="I15" i="65"/>
  <c r="I16" i="65"/>
  <c r="R13" i="65"/>
  <c r="G13" i="65"/>
  <c r="G14" i="65"/>
  <c r="G15" i="65"/>
  <c r="G16" i="65"/>
  <c r="L13" i="65"/>
  <c r="L14" i="65"/>
  <c r="L15" i="65"/>
  <c r="L16" i="65"/>
  <c r="M13" i="65"/>
  <c r="M14" i="65"/>
  <c r="M15" i="65"/>
  <c r="M16" i="65"/>
  <c r="O13" i="65"/>
  <c r="O14" i="65"/>
  <c r="O15" i="65"/>
  <c r="O16" i="65"/>
  <c r="U13" i="65"/>
  <c r="U14" i="65"/>
  <c r="U15" i="65"/>
  <c r="U16" i="65"/>
  <c r="S9" i="65"/>
  <c r="S10" i="65"/>
  <c r="S11" i="65"/>
  <c r="R11" i="65"/>
  <c r="R12" i="65"/>
  <c r="I10" i="65"/>
  <c r="I11" i="65"/>
  <c r="I12" i="65"/>
  <c r="H57" i="55"/>
  <c r="H58" i="55"/>
  <c r="H59" i="55"/>
  <c r="H60" i="55"/>
  <c r="H61" i="55"/>
  <c r="D57" i="55"/>
  <c r="D58" i="55"/>
  <c r="D59" i="55"/>
  <c r="D60" i="55"/>
  <c r="D61" i="55"/>
  <c r="B57" i="55"/>
  <c r="B58" i="55"/>
  <c r="B59" i="55"/>
  <c r="B60" i="55"/>
  <c r="B61" i="55"/>
  <c r="B55" i="55"/>
  <c r="B56" i="55"/>
  <c r="D2" i="72"/>
  <c r="J2" i="72"/>
  <c r="D3" i="72"/>
  <c r="J3" i="72"/>
  <c r="D4" i="72"/>
  <c r="J4" i="72"/>
  <c r="D5" i="72"/>
  <c r="J5" i="72"/>
  <c r="D6" i="72"/>
  <c r="J6" i="72"/>
  <c r="D7" i="72"/>
  <c r="J7" i="72"/>
  <c r="D8" i="72"/>
  <c r="J8" i="72"/>
  <c r="D9" i="72"/>
  <c r="J9" i="72"/>
  <c r="D10" i="72"/>
  <c r="J10" i="72"/>
  <c r="D11" i="72"/>
  <c r="J11" i="72"/>
  <c r="D12" i="72"/>
  <c r="J12" i="72"/>
  <c r="D13" i="72"/>
  <c r="J13" i="72"/>
  <c r="D14" i="72"/>
  <c r="J14" i="72"/>
  <c r="D15" i="72"/>
  <c r="J15" i="72"/>
  <c r="D16" i="72"/>
  <c r="J16" i="72"/>
  <c r="D17" i="72"/>
  <c r="J17" i="72"/>
  <c r="D18" i="72"/>
  <c r="J18" i="72"/>
  <c r="D19" i="72"/>
  <c r="J19" i="72"/>
  <c r="D20" i="72"/>
  <c r="J20" i="72"/>
  <c r="D21" i="72"/>
  <c r="J21" i="72"/>
  <c r="D22" i="72"/>
  <c r="J22" i="72"/>
  <c r="D23" i="72"/>
  <c r="J23" i="72"/>
  <c r="D24" i="72"/>
  <c r="J24" i="72"/>
  <c r="D25" i="72"/>
  <c r="J25" i="72"/>
  <c r="D26" i="72"/>
  <c r="J26" i="72"/>
  <c r="D27" i="72"/>
  <c r="J27" i="72"/>
  <c r="D28" i="72"/>
  <c r="J28" i="72"/>
  <c r="D29" i="72"/>
  <c r="J29" i="72"/>
  <c r="D30" i="72"/>
  <c r="J30" i="72"/>
  <c r="D31" i="72"/>
  <c r="J31" i="72"/>
  <c r="D32" i="72"/>
  <c r="J32" i="72"/>
  <c r="D33" i="72"/>
  <c r="J33" i="72"/>
  <c r="D34" i="72"/>
  <c r="J34" i="72"/>
  <c r="D35" i="72"/>
  <c r="J35" i="72"/>
  <c r="D36" i="72"/>
  <c r="J36" i="72"/>
  <c r="D37" i="72"/>
  <c r="J37" i="72"/>
  <c r="D38" i="72"/>
  <c r="J38" i="72"/>
  <c r="D39" i="72"/>
  <c r="J39" i="72"/>
  <c r="D40" i="72"/>
  <c r="J40" i="72"/>
  <c r="B17" i="53"/>
  <c r="B18" i="53"/>
  <c r="E2" i="69"/>
  <c r="E3" i="69"/>
  <c r="H61" i="59"/>
  <c r="H62" i="59"/>
  <c r="H64" i="59"/>
  <c r="H65" i="59"/>
  <c r="H66" i="59"/>
  <c r="H67" i="59"/>
  <c r="H68" i="59"/>
  <c r="H69" i="59"/>
  <c r="H70" i="59"/>
  <c r="H71" i="59"/>
  <c r="H72" i="59"/>
  <c r="H73" i="59"/>
  <c r="H74" i="59"/>
  <c r="H75" i="59"/>
  <c r="D61" i="59"/>
  <c r="D62" i="59"/>
  <c r="D64" i="59"/>
  <c r="D65" i="59"/>
  <c r="D66" i="59"/>
  <c r="D67" i="59"/>
  <c r="D68" i="59"/>
  <c r="D69" i="59"/>
  <c r="D70" i="59"/>
  <c r="D71" i="59"/>
  <c r="D72" i="59"/>
  <c r="D73" i="59"/>
  <c r="D74" i="59"/>
  <c r="D75" i="59"/>
  <c r="K29" i="60"/>
  <c r="B29" i="60"/>
  <c r="D29" i="60"/>
  <c r="B35" i="60"/>
  <c r="D35" i="60"/>
  <c r="K35" i="60"/>
  <c r="K33" i="60"/>
  <c r="B34" i="60"/>
  <c r="D34" i="60"/>
  <c r="K34" i="60"/>
  <c r="B33" i="60"/>
  <c r="D33" i="60"/>
  <c r="H47" i="55"/>
  <c r="B16" i="53"/>
  <c r="B15" i="53"/>
  <c r="D51" i="55"/>
  <c r="B51" i="55"/>
  <c r="B50" i="55"/>
  <c r="H48" i="55"/>
  <c r="H49" i="55"/>
  <c r="H50" i="55"/>
  <c r="H51" i="55"/>
  <c r="H52" i="55"/>
  <c r="H53" i="55"/>
  <c r="H54" i="55"/>
  <c r="H55" i="55"/>
  <c r="H56" i="55"/>
  <c r="D48" i="55"/>
  <c r="D49" i="55"/>
  <c r="D50" i="55"/>
  <c r="D52" i="55"/>
  <c r="D53" i="55"/>
  <c r="D54" i="55"/>
  <c r="D55" i="55"/>
  <c r="D56" i="55"/>
  <c r="B48" i="55"/>
  <c r="B49" i="55"/>
  <c r="B52" i="55"/>
  <c r="B53" i="55"/>
  <c r="B54" i="55"/>
  <c r="D45" i="55"/>
  <c r="B45" i="55"/>
  <c r="D43" i="55"/>
  <c r="D44" i="55"/>
  <c r="D46" i="55"/>
  <c r="B43" i="55"/>
  <c r="B44" i="55"/>
  <c r="B46" i="55"/>
  <c r="H35" i="55"/>
  <c r="H36" i="55"/>
  <c r="H37" i="55"/>
  <c r="H38" i="55"/>
  <c r="H39" i="55"/>
  <c r="H40" i="55"/>
  <c r="H41" i="55"/>
  <c r="H42" i="55"/>
  <c r="H43" i="55"/>
  <c r="H44" i="55"/>
  <c r="H45" i="55"/>
  <c r="H46" i="55"/>
  <c r="D40" i="55"/>
  <c r="B40" i="55"/>
  <c r="D38" i="55"/>
  <c r="B38" i="55"/>
  <c r="D36" i="55"/>
  <c r="D37" i="55"/>
  <c r="D39" i="55"/>
  <c r="D41" i="55"/>
  <c r="D42" i="55"/>
  <c r="D35" i="55"/>
  <c r="G11" i="65"/>
  <c r="G12" i="65"/>
  <c r="L11" i="65"/>
  <c r="L12" i="65"/>
  <c r="M11" i="65"/>
  <c r="M12" i="65"/>
  <c r="O11" i="65"/>
  <c r="O12" i="65"/>
  <c r="U11" i="65"/>
  <c r="U12" i="65"/>
  <c r="H69" i="54"/>
  <c r="H70" i="54"/>
  <c r="H71" i="54"/>
  <c r="H72" i="54"/>
  <c r="L69" i="54"/>
  <c r="L70" i="54"/>
  <c r="L71" i="54"/>
  <c r="L72" i="54"/>
  <c r="B69" i="54"/>
  <c r="B70" i="54"/>
  <c r="B71" i="54"/>
  <c r="B72" i="54"/>
  <c r="B68" i="54"/>
  <c r="H68" i="54"/>
  <c r="L68" i="54"/>
  <c r="B66" i="54"/>
  <c r="B67" i="54"/>
  <c r="H66" i="54"/>
  <c r="H67" i="54"/>
  <c r="L66" i="54"/>
  <c r="L67" i="54"/>
  <c r="B65" i="54"/>
  <c r="H65" i="54"/>
  <c r="L65" i="54"/>
  <c r="B44" i="54"/>
  <c r="H44" i="54"/>
  <c r="L44" i="54"/>
  <c r="B45" i="54"/>
  <c r="H45" i="54"/>
  <c r="L45" i="54"/>
  <c r="B46" i="54"/>
  <c r="H46" i="54"/>
  <c r="L46" i="54"/>
  <c r="B35" i="55"/>
  <c r="B36" i="55"/>
  <c r="B37" i="55"/>
  <c r="B39" i="55"/>
  <c r="B41" i="55"/>
  <c r="B42" i="55"/>
  <c r="R10" i="65"/>
  <c r="H60" i="59"/>
  <c r="H59" i="59"/>
  <c r="D60" i="59"/>
  <c r="D59" i="59"/>
  <c r="B32" i="60" l="1"/>
  <c r="D32" i="60"/>
  <c r="K32" i="60"/>
  <c r="B63" i="54"/>
  <c r="H63" i="54"/>
  <c r="L63" i="54"/>
  <c r="B62" i="54"/>
  <c r="H62" i="54"/>
  <c r="L62" i="54"/>
  <c r="B64" i="54"/>
  <c r="H64" i="54"/>
  <c r="L64" i="54"/>
  <c r="B48" i="54"/>
  <c r="H48" i="54"/>
  <c r="L48" i="54"/>
  <c r="B49" i="54"/>
  <c r="H49" i="54"/>
  <c r="L49" i="54"/>
  <c r="B50" i="54"/>
  <c r="H50" i="54"/>
  <c r="L50" i="54"/>
  <c r="B51" i="54"/>
  <c r="H51" i="54"/>
  <c r="L51" i="54"/>
  <c r="B52" i="54"/>
  <c r="H52" i="54"/>
  <c r="L52" i="54"/>
  <c r="B53" i="54"/>
  <c r="H53" i="54"/>
  <c r="L53" i="54"/>
  <c r="B54" i="54"/>
  <c r="H54" i="54"/>
  <c r="L54" i="54"/>
  <c r="B55" i="54"/>
  <c r="H55" i="54"/>
  <c r="L55" i="54"/>
  <c r="B56" i="54"/>
  <c r="H56" i="54"/>
  <c r="L56" i="54"/>
  <c r="B57" i="54"/>
  <c r="H57" i="54"/>
  <c r="L57" i="54"/>
  <c r="B58" i="54"/>
  <c r="H58" i="54"/>
  <c r="L58" i="54"/>
  <c r="B59" i="54"/>
  <c r="H59" i="54"/>
  <c r="L59" i="54"/>
  <c r="B60" i="54"/>
  <c r="H60" i="54"/>
  <c r="L60" i="54"/>
  <c r="B61" i="54"/>
  <c r="H61" i="54"/>
  <c r="L61" i="54"/>
  <c r="R9" i="65"/>
  <c r="B14" i="53" l="1"/>
  <c r="B13" i="53"/>
  <c r="H34" i="55" l="1"/>
  <c r="D34" i="55"/>
  <c r="B34" i="55"/>
  <c r="B30" i="60"/>
  <c r="D30" i="60"/>
  <c r="K30" i="60"/>
  <c r="K28" i="60"/>
  <c r="B28" i="60"/>
  <c r="D28" i="60"/>
  <c r="H2" i="54" l="1"/>
  <c r="H3" i="54"/>
  <c r="H5" i="54"/>
  <c r="H7" i="54"/>
  <c r="H8" i="54"/>
  <c r="H9" i="54"/>
  <c r="H10" i="54"/>
  <c r="H12" i="54"/>
  <c r="H14" i="54"/>
  <c r="H15" i="54"/>
  <c r="H16" i="54"/>
  <c r="H17" i="54"/>
  <c r="H18" i="54"/>
  <c r="H19" i="54"/>
  <c r="H20" i="54"/>
  <c r="H21" i="54"/>
  <c r="H22" i="54"/>
  <c r="H23" i="54"/>
  <c r="H24" i="54"/>
  <c r="H25" i="54"/>
  <c r="H26" i="54"/>
  <c r="H27" i="54"/>
  <c r="H28" i="54"/>
  <c r="H29" i="54"/>
  <c r="H30" i="54"/>
  <c r="H31" i="54"/>
  <c r="H32" i="54"/>
  <c r="H33" i="54"/>
  <c r="H34" i="54"/>
  <c r="H35" i="54"/>
  <c r="H36" i="54"/>
  <c r="H37" i="54"/>
  <c r="H38" i="54"/>
  <c r="H39" i="54"/>
  <c r="H40" i="54"/>
  <c r="H41" i="54"/>
  <c r="H42" i="54"/>
  <c r="H43" i="54"/>
  <c r="H47" i="54"/>
  <c r="K27" i="60"/>
  <c r="K26" i="60"/>
  <c r="B27" i="60"/>
  <c r="D27" i="60"/>
  <c r="B26" i="60"/>
  <c r="D26" i="60"/>
  <c r="H33" i="55"/>
  <c r="D33" i="55"/>
  <c r="B33" i="55"/>
  <c r="H28" i="55"/>
  <c r="H29" i="55"/>
  <c r="H30" i="55"/>
  <c r="H31" i="55"/>
  <c r="H32" i="55"/>
  <c r="D28" i="55"/>
  <c r="D29" i="55"/>
  <c r="D30" i="55"/>
  <c r="D31" i="55"/>
  <c r="D32" i="55"/>
  <c r="B28" i="55"/>
  <c r="B29" i="55"/>
  <c r="B30" i="55"/>
  <c r="B31" i="55"/>
  <c r="B32" i="55"/>
  <c r="H27" i="55"/>
  <c r="D27" i="55"/>
  <c r="B27" i="55"/>
  <c r="H22" i="55"/>
  <c r="H23" i="55"/>
  <c r="H24" i="55"/>
  <c r="H25" i="55"/>
  <c r="H26" i="55"/>
  <c r="D23" i="55"/>
  <c r="D24" i="55"/>
  <c r="D25" i="55"/>
  <c r="D26" i="55"/>
  <c r="B23" i="55"/>
  <c r="B24" i="55"/>
  <c r="B25" i="55"/>
  <c r="B26" i="55"/>
  <c r="D22" i="55"/>
  <c r="B22" i="55"/>
  <c r="Z37" i="59" l="1"/>
  <c r="Z38" i="59"/>
  <c r="Z39" i="59"/>
  <c r="Z40" i="59"/>
  <c r="Z41" i="59"/>
  <c r="Z42" i="59"/>
  <c r="Z43" i="59"/>
  <c r="Z44" i="59"/>
  <c r="Z45" i="59"/>
  <c r="Z46" i="59"/>
  <c r="Z47" i="59"/>
  <c r="Z48" i="59"/>
  <c r="Z49" i="59"/>
  <c r="Z50" i="59"/>
  <c r="Z51" i="59"/>
  <c r="Z52" i="59"/>
  <c r="Z53" i="59"/>
  <c r="Z54" i="59"/>
  <c r="Z55" i="59"/>
  <c r="Z56" i="59"/>
  <c r="Z57" i="59"/>
  <c r="Z58" i="59"/>
  <c r="H47" i="59"/>
  <c r="H48" i="59"/>
  <c r="H49" i="59"/>
  <c r="H50" i="59"/>
  <c r="H51" i="59"/>
  <c r="H52" i="59"/>
  <c r="H53" i="59"/>
  <c r="H54" i="59"/>
  <c r="H55" i="59"/>
  <c r="H56" i="59"/>
  <c r="H57" i="59"/>
  <c r="H58" i="59"/>
  <c r="H44" i="59"/>
  <c r="H45" i="59"/>
  <c r="H46" i="59"/>
  <c r="D47" i="59"/>
  <c r="D48" i="59"/>
  <c r="D49" i="59"/>
  <c r="D50" i="59"/>
  <c r="D51" i="59"/>
  <c r="D52" i="59"/>
  <c r="D53" i="59"/>
  <c r="D54" i="59"/>
  <c r="D55" i="59"/>
  <c r="D56" i="59"/>
  <c r="D57" i="59"/>
  <c r="D58" i="59"/>
  <c r="K25" i="60" l="1"/>
  <c r="B25" i="60"/>
  <c r="D25" i="60"/>
  <c r="B47" i="54"/>
  <c r="L47" i="54"/>
  <c r="K24" i="60"/>
  <c r="B24" i="60"/>
  <c r="D24" i="60"/>
  <c r="G10" i="65"/>
  <c r="L10" i="65"/>
  <c r="M10" i="65"/>
  <c r="O10" i="65"/>
  <c r="U10" i="65"/>
  <c r="O3" i="65"/>
  <c r="O4" i="65"/>
  <c r="O5" i="65"/>
  <c r="O6" i="65"/>
  <c r="O7" i="65"/>
  <c r="O8" i="65"/>
  <c r="O9" i="65"/>
  <c r="I4" i="65"/>
  <c r="I5" i="65"/>
  <c r="I6" i="65"/>
  <c r="I7" i="65"/>
  <c r="I8" i="65"/>
  <c r="I9" i="65"/>
  <c r="G9" i="65"/>
  <c r="L9" i="65"/>
  <c r="M9" i="65"/>
  <c r="U9" i="65"/>
  <c r="B43" i="54"/>
  <c r="L43" i="54"/>
  <c r="B42" i="54"/>
  <c r="L42" i="54"/>
  <c r="B41" i="54"/>
  <c r="L41" i="54"/>
  <c r="B40" i="54"/>
  <c r="L40" i="54"/>
  <c r="B39" i="54"/>
  <c r="L39" i="54"/>
  <c r="B38" i="54"/>
  <c r="L38" i="54"/>
  <c r="B12" i="53"/>
  <c r="B37" i="54"/>
  <c r="L37" i="54"/>
  <c r="K23" i="60"/>
  <c r="B23" i="60"/>
  <c r="D23" i="60"/>
  <c r="S8" i="65"/>
  <c r="B36" i="54"/>
  <c r="L36" i="54"/>
  <c r="K22" i="60"/>
  <c r="B22" i="60"/>
  <c r="D22" i="60"/>
  <c r="K21" i="60"/>
  <c r="B21" i="60"/>
  <c r="D21" i="60"/>
  <c r="K19" i="60"/>
  <c r="B19" i="60"/>
  <c r="D19" i="60"/>
  <c r="U3" i="65"/>
  <c r="U4" i="65"/>
  <c r="U5" i="65"/>
  <c r="U6" i="65"/>
  <c r="U7" i="65"/>
  <c r="U8" i="65"/>
  <c r="U2" i="65"/>
  <c r="R8" i="65"/>
  <c r="G8" i="65"/>
  <c r="L8" i="65"/>
  <c r="M8" i="65"/>
  <c r="B11" i="53"/>
  <c r="S7" i="65"/>
  <c r="R7" i="65"/>
  <c r="M7" i="65"/>
  <c r="L7" i="65"/>
  <c r="G7" i="65"/>
  <c r="B35" i="54"/>
  <c r="L35" i="54"/>
  <c r="B10" i="53"/>
  <c r="B9" i="53"/>
  <c r="H12" i="55"/>
  <c r="D12" i="55"/>
  <c r="B12" i="55"/>
  <c r="H11" i="55"/>
  <c r="D11" i="55"/>
  <c r="B11" i="55"/>
  <c r="H8" i="55"/>
  <c r="H9" i="55"/>
  <c r="H10" i="55"/>
  <c r="H13" i="55"/>
  <c r="H14" i="55"/>
  <c r="H15" i="55"/>
  <c r="H16" i="55"/>
  <c r="H17" i="55"/>
  <c r="H18" i="55"/>
  <c r="H19" i="55"/>
  <c r="H20" i="55"/>
  <c r="H21" i="55"/>
  <c r="B8" i="55"/>
  <c r="B9" i="55"/>
  <c r="B10" i="55"/>
  <c r="B13" i="55"/>
  <c r="B14" i="55"/>
  <c r="B15" i="55"/>
  <c r="B16" i="55"/>
  <c r="B17" i="55"/>
  <c r="B18" i="55"/>
  <c r="B19" i="55"/>
  <c r="B20" i="55"/>
  <c r="B21" i="55"/>
  <c r="D9" i="55"/>
  <c r="D10" i="55"/>
  <c r="D13" i="55"/>
  <c r="D14" i="55"/>
  <c r="D15" i="55"/>
  <c r="D16" i="55"/>
  <c r="D17" i="55"/>
  <c r="D18" i="55"/>
  <c r="D19" i="55"/>
  <c r="D20" i="55"/>
  <c r="D21" i="55"/>
  <c r="D8" i="55"/>
  <c r="E3" i="68" l="1"/>
  <c r="C3" i="68"/>
  <c r="B3" i="68"/>
  <c r="H38" i="59" l="1"/>
  <c r="H39" i="59"/>
  <c r="H40" i="59"/>
  <c r="H41" i="59"/>
  <c r="H42" i="59"/>
  <c r="H43" i="59"/>
  <c r="H37" i="59"/>
  <c r="D22" i="59"/>
  <c r="D2" i="59"/>
  <c r="D5" i="59"/>
  <c r="D6" i="59"/>
  <c r="D7" i="59"/>
  <c r="D8" i="59"/>
  <c r="D9" i="59"/>
  <c r="D10" i="59"/>
  <c r="D11" i="59"/>
  <c r="D13" i="59"/>
  <c r="D14" i="59"/>
  <c r="D15" i="59"/>
  <c r="D16" i="59"/>
  <c r="D17" i="59"/>
  <c r="D18" i="59"/>
  <c r="D19" i="59"/>
  <c r="D20" i="59"/>
  <c r="D21" i="59"/>
  <c r="D23" i="59"/>
  <c r="D24" i="59"/>
  <c r="D25" i="59"/>
  <c r="D26" i="59"/>
  <c r="D28" i="59"/>
  <c r="D29" i="59"/>
  <c r="D31" i="59"/>
  <c r="D32" i="59"/>
  <c r="D33" i="59"/>
  <c r="D34" i="59"/>
  <c r="D35" i="59"/>
  <c r="D36" i="59"/>
  <c r="D37" i="59"/>
  <c r="D38" i="59"/>
  <c r="D39" i="59"/>
  <c r="D40" i="59"/>
  <c r="D41" i="59"/>
  <c r="D42" i="59"/>
  <c r="D43" i="59"/>
  <c r="D44" i="59"/>
  <c r="D45" i="59"/>
  <c r="D46" i="59"/>
  <c r="B14" i="60"/>
  <c r="D14" i="60"/>
  <c r="K14" i="60"/>
  <c r="D3" i="60"/>
  <c r="B3" i="60"/>
  <c r="K3" i="60"/>
  <c r="B11" i="60"/>
  <c r="D11" i="60"/>
  <c r="K2" i="60"/>
  <c r="K4" i="60"/>
  <c r="K6" i="60"/>
  <c r="K7" i="60"/>
  <c r="K8" i="60"/>
  <c r="K9" i="60"/>
  <c r="K10" i="60"/>
  <c r="K12" i="60"/>
  <c r="K13" i="60"/>
  <c r="K15" i="60"/>
  <c r="K16" i="60"/>
  <c r="K17" i="60"/>
  <c r="K18" i="60"/>
  <c r="K20" i="60"/>
  <c r="M13" i="60"/>
  <c r="B14" i="54"/>
  <c r="L14" i="54"/>
  <c r="B34" i="54"/>
  <c r="L34" i="54"/>
  <c r="B33" i="54"/>
  <c r="L33" i="54"/>
  <c r="B32" i="54"/>
  <c r="L32" i="54"/>
  <c r="B22" i="54"/>
  <c r="L22" i="54"/>
  <c r="D2" i="60"/>
  <c r="D4" i="60"/>
  <c r="D5" i="60"/>
  <c r="D6" i="60"/>
  <c r="D7" i="60"/>
  <c r="D8" i="60"/>
  <c r="D9" i="60"/>
  <c r="D10" i="60"/>
  <c r="D12" i="60"/>
  <c r="D13" i="60"/>
  <c r="D15" i="60"/>
  <c r="D16" i="60"/>
  <c r="D17" i="60"/>
  <c r="D18" i="60"/>
  <c r="D20" i="60"/>
  <c r="M10" i="60"/>
  <c r="B27" i="54"/>
  <c r="L27" i="54"/>
  <c r="B28" i="54"/>
  <c r="L28" i="54"/>
  <c r="D17" i="54"/>
  <c r="B17" i="54"/>
  <c r="L17" i="54"/>
  <c r="D2" i="54" l="1"/>
  <c r="B2" i="54"/>
  <c r="L2" i="54"/>
  <c r="B10" i="54"/>
  <c r="L10" i="54"/>
  <c r="B12" i="54"/>
  <c r="L12" i="54"/>
  <c r="H2" i="59"/>
  <c r="H3" i="59"/>
  <c r="H4" i="59"/>
  <c r="H5" i="59"/>
  <c r="H6" i="59"/>
  <c r="H7" i="59"/>
  <c r="H8" i="59"/>
  <c r="H9" i="59"/>
  <c r="H10" i="59"/>
  <c r="H11" i="59"/>
  <c r="H12" i="59"/>
  <c r="H13" i="59"/>
  <c r="H14" i="59"/>
  <c r="H15" i="59"/>
  <c r="H16" i="59"/>
  <c r="H17" i="59"/>
  <c r="H18" i="59"/>
  <c r="H19" i="59"/>
  <c r="H20" i="59"/>
  <c r="H21" i="59"/>
  <c r="H22" i="59"/>
  <c r="H23" i="59"/>
  <c r="H24" i="59"/>
  <c r="H25" i="59"/>
  <c r="H26" i="59"/>
  <c r="H27" i="59"/>
  <c r="H28" i="59"/>
  <c r="H29" i="59"/>
  <c r="H30" i="59"/>
  <c r="H31" i="59"/>
  <c r="H32" i="59"/>
  <c r="H33" i="59"/>
  <c r="H34" i="59"/>
  <c r="H35" i="59"/>
  <c r="H36" i="59"/>
  <c r="Z2" i="59"/>
  <c r="Z3" i="59"/>
  <c r="Z4" i="59"/>
  <c r="Z5" i="59"/>
  <c r="Z6" i="59"/>
  <c r="Z7" i="59"/>
  <c r="Z8" i="59"/>
  <c r="Z9" i="59"/>
  <c r="Z10" i="59"/>
  <c r="Z11" i="59"/>
  <c r="Z12" i="59"/>
  <c r="Z13" i="59"/>
  <c r="Z14" i="59"/>
  <c r="Z15" i="59"/>
  <c r="Z16" i="59"/>
  <c r="Z17" i="59"/>
  <c r="Z18" i="59"/>
  <c r="Z19" i="59"/>
  <c r="Z20" i="59"/>
  <c r="Z21" i="59"/>
  <c r="Z22" i="59"/>
  <c r="Z23" i="59"/>
  <c r="Z24" i="59"/>
  <c r="Z25" i="59"/>
  <c r="Z26" i="59"/>
  <c r="Z27" i="59"/>
  <c r="Z28" i="59"/>
  <c r="Z29" i="59"/>
  <c r="Z30" i="59"/>
  <c r="Z31" i="59"/>
  <c r="Z32" i="59"/>
  <c r="Z33" i="59"/>
  <c r="Z34" i="59"/>
  <c r="Z35" i="59"/>
  <c r="Z36" i="59"/>
  <c r="B30" i="54"/>
  <c r="L30" i="54"/>
  <c r="B26" i="54"/>
  <c r="L26" i="54"/>
  <c r="B24" i="54"/>
  <c r="L24" i="54"/>
  <c r="B21" i="54"/>
  <c r="L21" i="54"/>
  <c r="B19" i="54"/>
  <c r="L19" i="54"/>
  <c r="B9" i="54"/>
  <c r="L9" i="54"/>
  <c r="B8" i="54"/>
  <c r="L8" i="54"/>
  <c r="D5" i="54"/>
  <c r="B5" i="54"/>
  <c r="L5" i="54"/>
  <c r="D7" i="54"/>
  <c r="D3" i="54"/>
  <c r="E2" i="68"/>
  <c r="C2" i="68"/>
  <c r="B2" i="68"/>
  <c r="H3" i="55"/>
  <c r="H4" i="55"/>
  <c r="H5" i="55"/>
  <c r="H6" i="55"/>
  <c r="H7" i="55"/>
  <c r="H2" i="55"/>
  <c r="R3" i="65"/>
  <c r="S3" i="65"/>
  <c r="R4" i="65"/>
  <c r="S4" i="65"/>
  <c r="R5" i="65"/>
  <c r="S5" i="65"/>
  <c r="R6" i="65"/>
  <c r="S6" i="65"/>
  <c r="S2" i="65"/>
  <c r="R2" i="65"/>
  <c r="M2" i="65"/>
  <c r="M3" i="65"/>
  <c r="M4" i="65"/>
  <c r="M5" i="65"/>
  <c r="M6" i="65"/>
  <c r="L3" i="65"/>
  <c r="L4" i="65"/>
  <c r="L5" i="65"/>
  <c r="L6" i="65"/>
  <c r="L2" i="65"/>
  <c r="B2" i="53"/>
  <c r="O2" i="65"/>
  <c r="I3" i="65"/>
  <c r="I2" i="65"/>
  <c r="L7" i="54"/>
  <c r="L15" i="54"/>
  <c r="L16" i="54"/>
  <c r="L18" i="54"/>
  <c r="L20" i="54"/>
  <c r="L23" i="54"/>
  <c r="L25" i="54"/>
  <c r="L29" i="54"/>
  <c r="L31" i="54"/>
  <c r="L3" i="54"/>
  <c r="B4" i="60"/>
  <c r="B5" i="60"/>
  <c r="B6" i="60"/>
  <c r="B7" i="60"/>
  <c r="B8" i="60"/>
  <c r="B9" i="60"/>
  <c r="B10" i="60"/>
  <c r="B12" i="60"/>
  <c r="B13" i="60"/>
  <c r="B15" i="60"/>
  <c r="B16" i="60"/>
  <c r="B17" i="60"/>
  <c r="B18" i="60"/>
  <c r="B20" i="60"/>
  <c r="B2" i="60"/>
  <c r="B3" i="55"/>
  <c r="B4" i="55"/>
  <c r="B5" i="55"/>
  <c r="B6" i="55"/>
  <c r="B7" i="55"/>
  <c r="B2" i="55"/>
  <c r="B3" i="53"/>
  <c r="B4" i="53"/>
  <c r="B5" i="53"/>
  <c r="B6" i="53"/>
  <c r="B7" i="53"/>
  <c r="B8" i="53"/>
  <c r="G6" i="65"/>
  <c r="G5" i="65"/>
  <c r="G3" i="65"/>
  <c r="G4" i="65"/>
  <c r="G2" i="65"/>
  <c r="D3" i="55"/>
  <c r="D4" i="55"/>
  <c r="D5" i="55"/>
  <c r="D6" i="55"/>
  <c r="D7" i="55"/>
  <c r="D2" i="55"/>
  <c r="B31" i="54" l="1"/>
  <c r="B29" i="54"/>
  <c r="B23" i="54"/>
  <c r="B25" i="54"/>
  <c r="B20" i="54"/>
  <c r="B18" i="54"/>
  <c r="B7" i="54"/>
  <c r="B16" i="54"/>
  <c r="B3" i="54"/>
  <c r="B15" i="54"/>
  <c r="K5" i="6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2016014</author>
  </authors>
  <commentList>
    <comment ref="AA1" authorId="0" shapeId="0" xr:uid="{4DD80DE7-931F-49C1-8532-E442FB8C9104}">
      <text>
        <r>
          <rPr>
            <b/>
            <sz val="9"/>
            <color rgb="FF000000"/>
            <rFont val="MS P ゴシック"/>
            <charset val="128"/>
          </rPr>
          <t>2016014:</t>
        </r>
        <r>
          <rPr>
            <sz val="9"/>
            <color rgb="FF000000"/>
            <rFont val="MS P ゴシック"/>
            <charset val="128"/>
          </rPr>
          <t xml:space="preserve">
</t>
        </r>
        <r>
          <rPr>
            <sz val="9"/>
            <color rgb="FF000000"/>
            <rFont val="MS P ゴシック"/>
            <charset val="128"/>
          </rPr>
          <t>生存：</t>
        </r>
        <r>
          <rPr>
            <sz val="9"/>
            <color rgb="FF000000"/>
            <rFont val="游ゴシック"/>
            <family val="3"/>
            <charset val="128"/>
          </rPr>
          <t>0</t>
        </r>
        <r>
          <rPr>
            <sz val="9"/>
            <color rgb="FF000000"/>
            <rFont val="游ゴシック"/>
            <family val="3"/>
            <charset val="128"/>
          </rPr>
          <t xml:space="preserve">
</t>
        </r>
        <r>
          <rPr>
            <sz val="9"/>
            <color rgb="FF000000"/>
            <rFont val="MS P ゴシック"/>
            <charset val="128"/>
          </rPr>
          <t>死亡：</t>
        </r>
        <r>
          <rPr>
            <sz val="9"/>
            <color rgb="FF000000"/>
            <rFont val="游ゴシック"/>
            <family val="3"/>
            <charset val="128"/>
          </rPr>
          <t>1</t>
        </r>
        <r>
          <rPr>
            <sz val="9"/>
            <color rgb="FF000000"/>
            <rFont val="游ゴシック"/>
            <family val="3"/>
            <charset val="128"/>
          </rPr>
          <t xml:space="preserve">
</t>
        </r>
        <r>
          <rPr>
            <sz val="9"/>
            <color rgb="FF000000"/>
            <rFont val="MS P ゴシック"/>
            <charset val="128"/>
          </rPr>
          <t>行方不明・生死不明：</t>
        </r>
        <r>
          <rPr>
            <sz val="9"/>
            <color rgb="FF000000"/>
            <rFont val="MS P ゴシック"/>
            <charset val="128"/>
          </rPr>
          <t>2</t>
        </r>
      </text>
    </comment>
    <comment ref="AB1" authorId="0" shapeId="0" xr:uid="{4E2A0557-AB91-4996-8C3B-0C762FBB6871}">
      <text>
        <r>
          <rPr>
            <b/>
            <sz val="9"/>
            <color rgb="FF000000"/>
            <rFont val="MS P ゴシック"/>
            <charset val="128"/>
          </rPr>
          <t>2016014:</t>
        </r>
        <r>
          <rPr>
            <sz val="9"/>
            <color rgb="FF000000"/>
            <rFont val="MS P ゴシック"/>
            <charset val="128"/>
          </rPr>
          <t xml:space="preserve">
</t>
        </r>
        <r>
          <rPr>
            <sz val="9"/>
            <color rgb="FF000000"/>
            <rFont val="MS P ゴシック"/>
            <charset val="128"/>
          </rPr>
          <t>目次に出るようなキャラ：</t>
        </r>
        <r>
          <rPr>
            <sz val="9"/>
            <color rgb="FF000000"/>
            <rFont val="MS P ゴシック"/>
            <charset val="128"/>
          </rPr>
          <t xml:space="preserve">A
</t>
        </r>
        <r>
          <rPr>
            <sz val="9"/>
            <color rgb="FF000000"/>
            <rFont val="MS P ゴシック"/>
            <charset val="128"/>
          </rPr>
          <t>過去目次にいた、重要そう：</t>
        </r>
        <r>
          <rPr>
            <sz val="9"/>
            <color rgb="FF000000"/>
            <rFont val="MS P ゴシック"/>
            <charset val="128"/>
          </rPr>
          <t xml:space="preserve">B
</t>
        </r>
        <r>
          <rPr>
            <sz val="9"/>
            <color rgb="FF000000"/>
            <rFont val="MS P ゴシック"/>
            <charset val="128"/>
          </rPr>
          <t>その他：</t>
        </r>
        <r>
          <rPr>
            <sz val="9"/>
            <color rgb="FF000000"/>
            <rFont val="MS P ゴシック"/>
            <charset val="128"/>
          </rPr>
          <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2016014</author>
  </authors>
  <commentList>
    <comment ref="L1" authorId="0" shapeId="0" xr:uid="{BB2EAF88-A033-45A1-A52B-0A31C04D5A3D}">
      <text>
        <r>
          <rPr>
            <b/>
            <sz val="9"/>
            <color rgb="FF000000"/>
            <rFont val="MS P ゴシック"/>
            <charset val="128"/>
          </rPr>
          <t>2016014:</t>
        </r>
        <r>
          <rPr>
            <sz val="9"/>
            <color rgb="FF000000"/>
            <rFont val="MS P ゴシック"/>
            <charset val="128"/>
          </rPr>
          <t xml:space="preserve">
</t>
        </r>
        <r>
          <rPr>
            <sz val="9"/>
            <color rgb="FF000000"/>
            <rFont val="MS P ゴシック"/>
            <charset val="128"/>
          </rPr>
          <t>複数いるときはカンマ区切り</t>
        </r>
      </text>
    </comment>
    <comment ref="V1" authorId="0" shapeId="0" xr:uid="{752D935C-0948-4073-9292-B5684820CA76}">
      <text>
        <r>
          <rPr>
            <b/>
            <sz val="9"/>
            <color indexed="81"/>
            <rFont val="MS P ゴシック"/>
            <family val="3"/>
            <charset val="128"/>
          </rPr>
          <t>2016014:</t>
        </r>
        <r>
          <rPr>
            <sz val="9"/>
            <color indexed="81"/>
            <rFont val="MS P ゴシック"/>
            <family val="3"/>
            <charset val="128"/>
          </rPr>
          <t xml:space="preserve">
タイマン、チーム戦、乱戦、軍団戦、艦隊戦、サバイバル、攻城戦</t>
        </r>
      </text>
    </comment>
  </commentList>
</comments>
</file>

<file path=xl/sharedStrings.xml><?xml version="1.0" encoding="utf-8"?>
<sst xmlns="http://schemas.openxmlformats.org/spreadsheetml/2006/main" count="5730" uniqueCount="2210">
  <si>
    <t>身長</t>
  </si>
  <si>
    <t>その他</t>
  </si>
  <si>
    <t>ゴール・D・ロジャー</t>
  </si>
  <si>
    <t>ラッキー・ルウ</t>
  </si>
  <si>
    <t>ヤソップ</t>
  </si>
  <si>
    <t>ベン・ベックマン</t>
  </si>
  <si>
    <t>マキノ</t>
  </si>
  <si>
    <t>ヒグマ</t>
  </si>
  <si>
    <t>コビー</t>
  </si>
  <si>
    <t>アルビダ</t>
  </si>
  <si>
    <t>ヘルメッポ</t>
  </si>
  <si>
    <t>モーガン</t>
  </si>
  <si>
    <t>くいな</t>
  </si>
  <si>
    <t>コウシロウ</t>
  </si>
  <si>
    <t>名前</t>
    <rPh sb="0" eb="2">
      <t>ナマエ</t>
    </rPh>
    <phoneticPr fontId="1"/>
  </si>
  <si>
    <t>麦わらの一味</t>
    <rPh sb="0" eb="1">
      <t>ムギワ</t>
    </rPh>
    <rPh sb="4" eb="6">
      <t>イチミ</t>
    </rPh>
    <phoneticPr fontId="1"/>
  </si>
  <si>
    <t>血液型</t>
    <rPh sb="0" eb="3">
      <t xml:space="preserve">ケツエキガタ </t>
    </rPh>
    <phoneticPr fontId="1"/>
  </si>
  <si>
    <t>好物</t>
    <rPh sb="0" eb="2">
      <t>コウブテゥ</t>
    </rPh>
    <phoneticPr fontId="1"/>
  </si>
  <si>
    <t>東の海</t>
    <rPh sb="0" eb="1">
      <t>ヒガセィ</t>
    </rPh>
    <phoneticPr fontId="1"/>
  </si>
  <si>
    <t>フーシャ村</t>
  </si>
  <si>
    <t>フーシャ村</t>
    <phoneticPr fontId="1"/>
  </si>
  <si>
    <t>ローグタウン</t>
  </si>
  <si>
    <t>S</t>
  </si>
  <si>
    <t>Dの一族</t>
    <rPh sb="2" eb="4">
      <t>イチゾク</t>
    </rPh>
    <phoneticPr fontId="1"/>
  </si>
  <si>
    <t>嫌いな食べ物</t>
    <rPh sb="0" eb="1">
      <t>キライ</t>
    </rPh>
    <rPh sb="3" eb="4">
      <t>タベn</t>
    </rPh>
    <phoneticPr fontId="1"/>
  </si>
  <si>
    <t>薬</t>
    <rPh sb="0" eb="1">
      <t>クスリ</t>
    </rPh>
    <phoneticPr fontId="1"/>
  </si>
  <si>
    <t>所属船</t>
    <rPh sb="0" eb="2">
      <t>ショゾク</t>
    </rPh>
    <rPh sb="2" eb="3">
      <t>フネ</t>
    </rPh>
    <phoneticPr fontId="1"/>
  </si>
  <si>
    <t>オーロ・ジャクソン号</t>
    <rPh sb="9" eb="10">
      <t>ゴウ</t>
    </rPh>
    <phoneticPr fontId="1"/>
  </si>
  <si>
    <t>西の海</t>
    <rPh sb="0" eb="1">
      <t>ニシノ</t>
    </rPh>
    <phoneticPr fontId="1"/>
  </si>
  <si>
    <t>XF</t>
  </si>
  <si>
    <t>キムチ炒飯、ロブスター</t>
    <rPh sb="3" eb="5">
      <t xml:space="preserve">チャーハン </t>
    </rPh>
    <phoneticPr fontId="1"/>
  </si>
  <si>
    <t>趣味</t>
    <rPh sb="0" eb="2">
      <t>シュミ</t>
    </rPh>
    <phoneticPr fontId="1"/>
  </si>
  <si>
    <t>放浪</t>
    <rPh sb="0" eb="2">
      <t>ホウロウ</t>
    </rPh>
    <phoneticPr fontId="1"/>
  </si>
  <si>
    <t>二つ名</t>
    <rPh sb="0" eb="1">
      <t xml:space="preserve">フタツナ </t>
    </rPh>
    <phoneticPr fontId="1"/>
  </si>
  <si>
    <t>赤髪のシャンクス</t>
    <rPh sb="0" eb="2">
      <t>アカガミ</t>
    </rPh>
    <phoneticPr fontId="1"/>
  </si>
  <si>
    <t>麦わらのルフィ</t>
    <rPh sb="0" eb="1">
      <t>ムギワ</t>
    </rPh>
    <phoneticPr fontId="1"/>
  </si>
  <si>
    <t>ゴムゴムの実</t>
    <rPh sb="5" eb="6">
      <t xml:space="preserve">ミ </t>
    </rPh>
    <phoneticPr fontId="1"/>
  </si>
  <si>
    <t>所属</t>
    <rPh sb="0" eb="2">
      <t>ショゾク</t>
    </rPh>
    <phoneticPr fontId="1"/>
  </si>
  <si>
    <t>役職</t>
    <rPh sb="0" eb="2">
      <t>ヤクショ</t>
    </rPh>
    <phoneticPr fontId="1"/>
  </si>
  <si>
    <t>船長</t>
    <rPh sb="0" eb="2">
      <t>センチョウ</t>
    </rPh>
    <phoneticPr fontId="1"/>
  </si>
  <si>
    <t>ロジャー海賊団</t>
    <rPh sb="4" eb="7">
      <t>カイゾク</t>
    </rPh>
    <phoneticPr fontId="1"/>
  </si>
  <si>
    <t>肉全般</t>
    <rPh sb="0" eb="3">
      <t>ニク</t>
    </rPh>
    <phoneticPr fontId="1"/>
  </si>
  <si>
    <t>Dの一族／超新星</t>
    <rPh sb="2" eb="4">
      <t>イチゾク</t>
    </rPh>
    <rPh sb="5" eb="8">
      <t>チョウシンセイ</t>
    </rPh>
    <phoneticPr fontId="1"/>
  </si>
  <si>
    <t>レッド・フォース号</t>
    <rPh sb="8" eb="9">
      <t>ゴウ</t>
    </rPh>
    <phoneticPr fontId="1"/>
  </si>
  <si>
    <t>イメージ動物</t>
    <rPh sb="4" eb="6">
      <t>ドウブテゥ</t>
    </rPh>
    <phoneticPr fontId="1"/>
  </si>
  <si>
    <t>赤髪海賊団</t>
    <rPh sb="0" eb="2">
      <t>アカガミ</t>
    </rPh>
    <rPh sb="2" eb="5">
      <t>カイゾク</t>
    </rPh>
    <phoneticPr fontId="1"/>
  </si>
  <si>
    <t>大頭</t>
    <rPh sb="0" eb="2">
      <t xml:space="preserve">オオガシラ </t>
    </rPh>
    <phoneticPr fontId="1"/>
  </si>
  <si>
    <t>南の海</t>
    <rPh sb="0" eb="1">
      <t>ミナ</t>
    </rPh>
    <phoneticPr fontId="1"/>
  </si>
  <si>
    <t>鳥の骨付き肉（ダイエットしているつもり）</t>
    <rPh sb="0" eb="1">
      <t>トリノ</t>
    </rPh>
    <rPh sb="2" eb="4">
      <t>ホネ</t>
    </rPh>
    <phoneticPr fontId="1"/>
  </si>
  <si>
    <t>シロップ村</t>
    <rPh sb="4" eb="5">
      <t>ムラ</t>
    </rPh>
    <phoneticPr fontId="1"/>
  </si>
  <si>
    <t>旬の魚</t>
    <rPh sb="0" eb="1">
      <t>シュn</t>
    </rPh>
    <rPh sb="2" eb="3">
      <t>サカナ</t>
    </rPh>
    <phoneticPr fontId="1"/>
  </si>
  <si>
    <t>赤髪海賊団</t>
    <rPh sb="0" eb="5">
      <t>アカガミ</t>
    </rPh>
    <phoneticPr fontId="1"/>
  </si>
  <si>
    <t>狙撃手</t>
    <rPh sb="0" eb="3">
      <t>ソゲキ</t>
    </rPh>
    <phoneticPr fontId="1"/>
  </si>
  <si>
    <t>北の海</t>
    <rPh sb="0" eb="1">
      <t>キタノ</t>
    </rPh>
    <rPh sb="2" eb="3">
      <t>ウミ</t>
    </rPh>
    <phoneticPr fontId="1"/>
  </si>
  <si>
    <t>X</t>
  </si>
  <si>
    <t>副船長</t>
    <rPh sb="0" eb="3">
      <t>フクセンチョウ</t>
    </rPh>
    <phoneticPr fontId="1"/>
  </si>
  <si>
    <t>ジュースとケーキ（子供と一緒に楽しめるもの）</t>
    <rPh sb="9" eb="11">
      <t>コドモ</t>
    </rPh>
    <rPh sb="12" eb="14">
      <t>イッショ</t>
    </rPh>
    <rPh sb="15" eb="16">
      <t>タノセィ</t>
    </rPh>
    <phoneticPr fontId="1"/>
  </si>
  <si>
    <t>店主</t>
    <rPh sb="0" eb="2">
      <t>テンシュ</t>
    </rPh>
    <phoneticPr fontId="1"/>
  </si>
  <si>
    <t>酒、山菜、熊肉</t>
    <rPh sb="0" eb="1">
      <t>サケ</t>
    </rPh>
    <rPh sb="2" eb="4">
      <t>サンサイ</t>
    </rPh>
    <rPh sb="5" eb="7">
      <t xml:space="preserve">クマニク </t>
    </rPh>
    <phoneticPr fontId="1"/>
  </si>
  <si>
    <t>ヒグマ山賊団</t>
    <rPh sb="3" eb="6">
      <t>サンゾクダn</t>
    </rPh>
    <phoneticPr fontId="1"/>
  </si>
  <si>
    <t>棟梁</t>
    <rPh sb="0" eb="2">
      <t>トウリョウ</t>
    </rPh>
    <phoneticPr fontId="1"/>
  </si>
  <si>
    <t>追撃者(チェイサー）</t>
    <rPh sb="0" eb="3">
      <t>ツイゲキ</t>
    </rPh>
    <phoneticPr fontId="1"/>
  </si>
  <si>
    <t>アルビダの船で雑用２年</t>
    <rPh sb="5" eb="6">
      <t>フネ</t>
    </rPh>
    <rPh sb="7" eb="9">
      <t>ザテゥ</t>
    </rPh>
    <rPh sb="10" eb="11">
      <t>ネn</t>
    </rPh>
    <phoneticPr fontId="1"/>
  </si>
  <si>
    <t>リカが作ったおにぎり、ジャガバター</t>
    <rPh sb="3" eb="4">
      <t>ツクッタ</t>
    </rPh>
    <phoneticPr fontId="1"/>
  </si>
  <si>
    <t>海釣り</t>
    <rPh sb="0" eb="2">
      <t>ウミヅリ</t>
    </rPh>
    <phoneticPr fontId="1"/>
  </si>
  <si>
    <t>Missラブ・ダック号</t>
    <rPh sb="10" eb="11">
      <t>ゴウ</t>
    </rPh>
    <phoneticPr fontId="1"/>
  </si>
  <si>
    <t>美肌効果のあるベリーやベリー酒</t>
    <rPh sb="0" eb="4">
      <t>ビハダ</t>
    </rPh>
    <rPh sb="14" eb="15">
      <t>サケ</t>
    </rPh>
    <phoneticPr fontId="1"/>
  </si>
  <si>
    <t>金棒のアルビダ</t>
    <rPh sb="0" eb="2">
      <t>カナボウ</t>
    </rPh>
    <phoneticPr fontId="1"/>
  </si>
  <si>
    <t>スベスベの実</t>
    <rPh sb="5" eb="6">
      <t xml:space="preserve">ミ </t>
    </rPh>
    <phoneticPr fontId="1"/>
  </si>
  <si>
    <t>アルビダ海賊団</t>
    <rPh sb="4" eb="7">
      <t>カイゾク</t>
    </rPh>
    <phoneticPr fontId="1"/>
  </si>
  <si>
    <t>超新星</t>
    <rPh sb="0" eb="3">
      <t>チョウシンセイ</t>
    </rPh>
    <phoneticPr fontId="1"/>
  </si>
  <si>
    <t>シモツキ村</t>
    <rPh sb="4" eb="5">
      <t>ムラ</t>
    </rPh>
    <phoneticPr fontId="1"/>
  </si>
  <si>
    <t>白米、海獣の肉、酒に合う物</t>
    <rPh sb="0" eb="2">
      <t>ハク</t>
    </rPh>
    <rPh sb="3" eb="5">
      <t>カイジュウ</t>
    </rPh>
    <rPh sb="6" eb="7">
      <t>ニク</t>
    </rPh>
    <rPh sb="8" eb="9">
      <t>サケ</t>
    </rPh>
    <rPh sb="10" eb="11">
      <t xml:space="preserve">アウモノ </t>
    </rPh>
    <phoneticPr fontId="1"/>
  </si>
  <si>
    <t>海賊狩りのゾロ</t>
    <rPh sb="0" eb="3">
      <t>カイゾク</t>
    </rPh>
    <phoneticPr fontId="1"/>
  </si>
  <si>
    <t>戦闘員</t>
    <rPh sb="0" eb="3">
      <t>セントウ</t>
    </rPh>
    <phoneticPr fontId="1"/>
  </si>
  <si>
    <t>地域</t>
    <rPh sb="0" eb="2">
      <t>チイキ</t>
    </rPh>
    <phoneticPr fontId="1"/>
  </si>
  <si>
    <t>地名</t>
    <rPh sb="0" eb="2">
      <t>チメイ</t>
    </rPh>
    <phoneticPr fontId="1"/>
  </si>
  <si>
    <t>シェルズタウン</t>
  </si>
  <si>
    <t>シェルズタウン</t>
    <phoneticPr fontId="1"/>
  </si>
  <si>
    <t>ゴムゴムの銃（ピストル）</t>
    <rPh sb="5" eb="6">
      <t>ジュウ</t>
    </rPh>
    <phoneticPr fontId="1"/>
  </si>
  <si>
    <t>豪華なステーキ、キャビア</t>
    <rPh sb="0" eb="2">
      <t>ゴウカ</t>
    </rPh>
    <phoneticPr fontId="1"/>
  </si>
  <si>
    <t>高級な料理</t>
    <rPh sb="0" eb="2">
      <t>コウキュウ</t>
    </rPh>
    <rPh sb="3" eb="5">
      <t>リョウ</t>
    </rPh>
    <phoneticPr fontId="1"/>
  </si>
  <si>
    <t>斧手のモーガン</t>
    <rPh sb="0" eb="2">
      <t>オノテ</t>
    </rPh>
    <phoneticPr fontId="1"/>
  </si>
  <si>
    <t>大佐</t>
    <rPh sb="0" eb="2">
      <t>タイサ</t>
    </rPh>
    <phoneticPr fontId="1"/>
  </si>
  <si>
    <t>現在消息不明</t>
    <rPh sb="0" eb="2">
      <t>ゲンザイ</t>
    </rPh>
    <rPh sb="2" eb="6">
      <t>ショウソ</t>
    </rPh>
    <phoneticPr fontId="1"/>
  </si>
  <si>
    <t>ゴムゴムのロケット</t>
    <phoneticPr fontId="1"/>
  </si>
  <si>
    <t>牛乳、卵焼き</t>
    <rPh sb="0" eb="2">
      <t>ギュウニュウ</t>
    </rPh>
    <rPh sb="3" eb="5">
      <t>タマゴ</t>
    </rPh>
    <phoneticPr fontId="1"/>
  </si>
  <si>
    <t>一心道場</t>
    <rPh sb="0" eb="4">
      <t>イッシn</t>
    </rPh>
    <phoneticPr fontId="1"/>
  </si>
  <si>
    <t>門下生</t>
    <rPh sb="0" eb="3">
      <t>モンカセイ</t>
    </rPh>
    <phoneticPr fontId="1"/>
  </si>
  <si>
    <t>道場の縁側で食べるスイカ</t>
    <rPh sb="0" eb="2">
      <t>ドウジョウン</t>
    </rPh>
    <rPh sb="3" eb="5">
      <t>エn</t>
    </rPh>
    <rPh sb="6" eb="7">
      <t>タベ</t>
    </rPh>
    <phoneticPr fontId="1"/>
  </si>
  <si>
    <t>一心道場</t>
    <rPh sb="0" eb="2">
      <t>イッシn</t>
    </rPh>
    <rPh sb="2" eb="4">
      <t>ドウジョウ</t>
    </rPh>
    <phoneticPr fontId="1"/>
  </si>
  <si>
    <t>師範</t>
    <rPh sb="0" eb="2">
      <t>シハn</t>
    </rPh>
    <phoneticPr fontId="1"/>
  </si>
  <si>
    <t>巻数</t>
    <rPh sb="0" eb="2">
      <t>カンスウ</t>
    </rPh>
    <phoneticPr fontId="1"/>
  </si>
  <si>
    <t>ゴムゴムの鞭（ムチ）</t>
    <phoneticPr fontId="1"/>
  </si>
  <si>
    <t>ココヤシ村</t>
    <rPh sb="4" eb="5">
      <t>ムラ</t>
    </rPh>
    <phoneticPr fontId="1"/>
  </si>
  <si>
    <t>みかん、フルーツ全般</t>
    <rPh sb="8" eb="10">
      <t>ゼンパn</t>
    </rPh>
    <phoneticPr fontId="1"/>
  </si>
  <si>
    <t>オランジェット（フルーツはそのまま食べたい）</t>
    <rPh sb="17" eb="18">
      <t>タベ</t>
    </rPh>
    <phoneticPr fontId="1"/>
  </si>
  <si>
    <t>バギー海賊団</t>
    <rPh sb="3" eb="6">
      <t>カイゾク</t>
    </rPh>
    <phoneticPr fontId="1"/>
  </si>
  <si>
    <t>武器</t>
    <rPh sb="0" eb="2">
      <t>ブキ</t>
    </rPh>
    <phoneticPr fontId="1"/>
  </si>
  <si>
    <t>金棒</t>
    <rPh sb="0" eb="2">
      <t>カナボウ</t>
    </rPh>
    <phoneticPr fontId="1"/>
  </si>
  <si>
    <t>刀</t>
    <rPh sb="0" eb="1">
      <t>カタナ</t>
    </rPh>
    <phoneticPr fontId="1"/>
  </si>
  <si>
    <t>銃</t>
    <rPh sb="0" eb="1">
      <t>ジュウ</t>
    </rPh>
    <phoneticPr fontId="1"/>
  </si>
  <si>
    <t>斧手</t>
    <rPh sb="0" eb="2">
      <t>オノテ</t>
    </rPh>
    <phoneticPr fontId="1"/>
  </si>
  <si>
    <t>三等兵</t>
    <rPh sb="0" eb="3">
      <t>サントウ</t>
    </rPh>
    <phoneticPr fontId="1"/>
  </si>
  <si>
    <t>短期集中表紙連載</t>
  </si>
  <si>
    <t>話数</t>
    <rPh sb="0" eb="2">
      <t>ワスウ</t>
    </rPh>
    <phoneticPr fontId="1"/>
  </si>
  <si>
    <t>ROMANCE DAWN-冒険の夜明け-</t>
    <rPh sb="13" eb="15">
      <t>ボウケn</t>
    </rPh>
    <rPh sb="16" eb="18">
      <t>ヨアケ</t>
    </rPh>
    <phoneticPr fontId="1"/>
  </si>
  <si>
    <t>その男”麦わらのルフィ”</t>
    <rPh sb="2" eb="3">
      <t>オトコ</t>
    </rPh>
    <rPh sb="4" eb="5">
      <t>ムギワ</t>
    </rPh>
    <phoneticPr fontId="1"/>
  </si>
  <si>
    <t>”海賊狩りのゾロ”登場</t>
    <rPh sb="1" eb="4">
      <t>カイゾクガル</t>
    </rPh>
    <rPh sb="9" eb="11">
      <t>トウジョウ</t>
    </rPh>
    <phoneticPr fontId="1"/>
  </si>
  <si>
    <t>海軍大佐”斧手のモーガン”</t>
    <rPh sb="0" eb="4">
      <t>カイグn</t>
    </rPh>
    <rPh sb="5" eb="7">
      <t>オノテ</t>
    </rPh>
    <phoneticPr fontId="1"/>
  </si>
  <si>
    <t>”海賊王と大剣豪”</t>
    <rPh sb="0" eb="1">
      <t>”</t>
    </rPh>
    <rPh sb="1" eb="2">
      <t>カイ</t>
    </rPh>
    <rPh sb="5" eb="8">
      <t>ダイケn</t>
    </rPh>
    <phoneticPr fontId="1"/>
  </si>
  <si>
    <t>”１人目”</t>
    <rPh sb="2" eb="4">
      <t>ニn</t>
    </rPh>
    <phoneticPr fontId="1"/>
  </si>
  <si>
    <t>”友達”</t>
    <rPh sb="1" eb="3">
      <t>トモダティ</t>
    </rPh>
    <phoneticPr fontId="1"/>
  </si>
  <si>
    <t>”ナミ登場”</t>
    <rPh sb="3" eb="5">
      <t>トウジョウ</t>
    </rPh>
    <phoneticPr fontId="1"/>
  </si>
  <si>
    <t>ロジャーの処刑を見に来た海賊マニア</t>
    <rPh sb="5" eb="7">
      <t>ショケイ</t>
    </rPh>
    <rPh sb="8" eb="9">
      <t>ミニ</t>
    </rPh>
    <rPh sb="12" eb="14">
      <t>カイゾク</t>
    </rPh>
    <phoneticPr fontId="1"/>
  </si>
  <si>
    <t>マキノの酒場に紛れ込んでいたサル</t>
    <rPh sb="4" eb="6">
      <t>サカバ</t>
    </rPh>
    <rPh sb="7" eb="8">
      <t>マギレコn</t>
    </rPh>
    <phoneticPr fontId="1"/>
  </si>
  <si>
    <t>魚屋</t>
    <rPh sb="0" eb="2">
      <t>ウオヤ</t>
    </rPh>
    <phoneticPr fontId="1"/>
  </si>
  <si>
    <t>村長</t>
    <rPh sb="0" eb="2">
      <t>ソンチョウ</t>
    </rPh>
    <phoneticPr fontId="1"/>
  </si>
  <si>
    <t>近海の主</t>
    <rPh sb="0" eb="2">
      <t>キンカイ</t>
    </rPh>
    <rPh sb="3" eb="4">
      <t>ヌセィ</t>
    </rPh>
    <phoneticPr fontId="1"/>
  </si>
  <si>
    <t>東の海</t>
    <rPh sb="0" eb="1">
      <t>ヒガセィ</t>
    </rPh>
    <rPh sb="2" eb="3">
      <t>ウミ</t>
    </rPh>
    <phoneticPr fontId="1"/>
  </si>
  <si>
    <t>下っ端</t>
    <rPh sb="0" eb="1">
      <t>シタッパ</t>
    </rPh>
    <phoneticPr fontId="1"/>
  </si>
  <si>
    <t>ヘルメッポの飼い狼</t>
    <rPh sb="6" eb="7">
      <t>カイイヌ</t>
    </rPh>
    <rPh sb="8" eb="9">
      <t>オオカミ</t>
    </rPh>
    <phoneticPr fontId="1"/>
  </si>
  <si>
    <t>ゾロにおにぎりをあげた女の子</t>
    <rPh sb="11" eb="12">
      <t>オンナ</t>
    </rPh>
    <phoneticPr fontId="1"/>
  </si>
  <si>
    <t>リカの母親</t>
    <rPh sb="3" eb="5">
      <t>ハハ</t>
    </rPh>
    <phoneticPr fontId="1"/>
  </si>
  <si>
    <t>ロッカク中尉</t>
    <rPh sb="4" eb="6">
      <t>チュウ</t>
    </rPh>
    <phoneticPr fontId="1"/>
  </si>
  <si>
    <t>中尉</t>
    <rPh sb="0" eb="2">
      <t>チュウ</t>
    </rPh>
    <phoneticPr fontId="1"/>
  </si>
  <si>
    <t>モーガンに斬られる</t>
    <rPh sb="5" eb="6">
      <t>キラレ</t>
    </rPh>
    <phoneticPr fontId="1"/>
  </si>
  <si>
    <t>ウッカリー三等兵</t>
    <rPh sb="5" eb="8">
      <t>サントウ</t>
    </rPh>
    <phoneticPr fontId="1"/>
  </si>
  <si>
    <t>モーガン像の腕をうっかりぶつける</t>
    <rPh sb="4" eb="5">
      <t xml:space="preserve">ゾウ </t>
    </rPh>
    <rPh sb="6" eb="7">
      <t>ウデ</t>
    </rPh>
    <phoneticPr fontId="1"/>
  </si>
  <si>
    <t>リッパー中佐</t>
    <rPh sb="4" eb="6">
      <t>チュウ</t>
    </rPh>
    <phoneticPr fontId="1"/>
  </si>
  <si>
    <t>モーガンの後釜</t>
    <rPh sb="5" eb="7">
      <t>アト</t>
    </rPh>
    <phoneticPr fontId="1"/>
  </si>
  <si>
    <t>中佐</t>
    <rPh sb="0" eb="2">
      <t>チュウ</t>
    </rPh>
    <phoneticPr fontId="1"/>
  </si>
  <si>
    <t>怪鳥ピンキー</t>
    <rPh sb="0" eb="2">
      <t>カイチョウ</t>
    </rPh>
    <phoneticPr fontId="1"/>
  </si>
  <si>
    <t>ルフィをオレンジの町まで運ぶ</t>
    <rPh sb="12" eb="13">
      <t>ハコ</t>
    </rPh>
    <phoneticPr fontId="1"/>
  </si>
  <si>
    <t>鳥</t>
    <rPh sb="0" eb="1">
      <t xml:space="preserve">トリアエズ </t>
    </rPh>
    <phoneticPr fontId="1"/>
  </si>
  <si>
    <t>綱渡りフナンボローズ</t>
    <rPh sb="0" eb="2">
      <t>ツナワタリ</t>
    </rPh>
    <phoneticPr fontId="1"/>
  </si>
  <si>
    <t>難破を装いゾロを襲撃した三人組</t>
    <rPh sb="0" eb="2">
      <t xml:space="preserve">ナンパ </t>
    </rPh>
    <rPh sb="3" eb="4">
      <t>ヨソオイ</t>
    </rPh>
    <rPh sb="8" eb="10">
      <t>シュウゲキ</t>
    </rPh>
    <rPh sb="12" eb="15">
      <t>サンニ</t>
    </rPh>
    <phoneticPr fontId="1"/>
  </si>
  <si>
    <t>怪力ドミンゴス</t>
    <rPh sb="0" eb="1">
      <t>カイリキ</t>
    </rPh>
    <phoneticPr fontId="1"/>
  </si>
  <si>
    <t>海図を盗んだナミを追いかけていた三人組</t>
    <rPh sb="0" eb="2">
      <t>カイズ</t>
    </rPh>
    <rPh sb="3" eb="4">
      <t>ヌスンダ</t>
    </rPh>
    <rPh sb="9" eb="10">
      <t>オイカケテ</t>
    </rPh>
    <rPh sb="16" eb="19">
      <t>サンニn</t>
    </rPh>
    <phoneticPr fontId="1"/>
  </si>
  <si>
    <t>ー</t>
  </si>
  <si>
    <t>86/57/86(東の海)95/55/85、東の海オイコット王国で拾われる</t>
    <rPh sb="9" eb="10">
      <t>ヒガ</t>
    </rPh>
    <rPh sb="22" eb="23">
      <t>ヒガシノウ</t>
    </rPh>
    <rPh sb="30" eb="32">
      <t>オウコク</t>
    </rPh>
    <rPh sb="33" eb="34">
      <t>ヒロワレ</t>
    </rPh>
    <phoneticPr fontId="1"/>
  </si>
  <si>
    <t>元海軍第153支部</t>
    <rPh sb="0" eb="9">
      <t xml:space="preserve">モト </t>
    </rPh>
    <phoneticPr fontId="1"/>
  </si>
  <si>
    <t>海軍第153支部</t>
    <rPh sb="0" eb="2">
      <t>カイグn</t>
    </rPh>
    <rPh sb="2" eb="3">
      <t>ダイ</t>
    </rPh>
    <phoneticPr fontId="1"/>
  </si>
  <si>
    <t>音楽家</t>
    <rPh sb="0" eb="3">
      <t>オンガク</t>
    </rPh>
    <phoneticPr fontId="1"/>
  </si>
  <si>
    <t>種族</t>
    <rPh sb="0" eb="2">
      <t>シュゾク</t>
    </rPh>
    <phoneticPr fontId="1"/>
  </si>
  <si>
    <t>サブタイトル</t>
    <phoneticPr fontId="1"/>
  </si>
  <si>
    <t>国名</t>
    <rPh sb="0" eb="1">
      <t>クニ</t>
    </rPh>
    <rPh sb="1" eb="2">
      <t>メイ</t>
    </rPh>
    <phoneticPr fontId="1"/>
  </si>
  <si>
    <t>場所</t>
    <rPh sb="0" eb="2">
      <t>バショ</t>
    </rPh>
    <phoneticPr fontId="1"/>
  </si>
  <si>
    <t>ドーン島</t>
    <rPh sb="3" eb="4">
      <t>シマ</t>
    </rPh>
    <phoneticPr fontId="1"/>
  </si>
  <si>
    <t>F</t>
  </si>
  <si>
    <t>56人を殺した</t>
    <rPh sb="4" eb="5">
      <t>コロセィ</t>
    </rPh>
    <phoneticPr fontId="1"/>
  </si>
  <si>
    <t>ゴア王国</t>
    <rPh sb="2" eb="4">
      <t>オウコク</t>
    </rPh>
    <phoneticPr fontId="1"/>
  </si>
  <si>
    <t>国</t>
    <rPh sb="0" eb="1">
      <t>クニ</t>
    </rPh>
    <phoneticPr fontId="1"/>
  </si>
  <si>
    <t>職業</t>
    <rPh sb="0" eb="2">
      <t>ショクギョウ</t>
    </rPh>
    <phoneticPr fontId="1"/>
  </si>
  <si>
    <t>花</t>
    <rPh sb="0" eb="1">
      <t>ハナ</t>
    </rPh>
    <phoneticPr fontId="1"/>
  </si>
  <si>
    <t>島名・海域</t>
    <rPh sb="0" eb="1">
      <t>シマ</t>
    </rPh>
    <rPh sb="1" eb="2">
      <t>メイ</t>
    </rPh>
    <rPh sb="3" eb="5">
      <t>カイイキ</t>
    </rPh>
    <phoneticPr fontId="1"/>
  </si>
  <si>
    <t>ヨツバ島海域</t>
    <rPh sb="3" eb="4">
      <t xml:space="preserve">シマ </t>
    </rPh>
    <rPh sb="4" eb="6">
      <t>カイイキ</t>
    </rPh>
    <phoneticPr fontId="1"/>
  </si>
  <si>
    <t>ゾロとの対戦成績：2001勝0敗、霜月くいな</t>
    <rPh sb="4" eb="8">
      <t>タイ</t>
    </rPh>
    <rPh sb="13" eb="14">
      <t>ショウ</t>
    </rPh>
    <rPh sb="15" eb="16">
      <t xml:space="preserve">ハイ </t>
    </rPh>
    <rPh sb="17" eb="19">
      <t>シモツキ</t>
    </rPh>
    <phoneticPr fontId="1"/>
  </si>
  <si>
    <t>霜月コウシロウ</t>
    <rPh sb="0" eb="2">
      <t>シモツキ</t>
    </rPh>
    <phoneticPr fontId="1"/>
  </si>
  <si>
    <t>サメ</t>
  </si>
  <si>
    <t>コック</t>
  </si>
  <si>
    <t>理由</t>
    <rPh sb="0" eb="2">
      <t>リユウ</t>
    </rPh>
    <phoneticPr fontId="1"/>
  </si>
  <si>
    <t>肩書</t>
    <rPh sb="0" eb="2">
      <t>カタガキ</t>
    </rPh>
    <phoneticPr fontId="1"/>
  </si>
  <si>
    <t>年（何年前の出来事か）</t>
    <rPh sb="0" eb="1">
      <t>ネン</t>
    </rPh>
    <rPh sb="2" eb="5">
      <t>ナンネンマエ</t>
    </rPh>
    <rPh sb="6" eb="9">
      <t>デキゴト</t>
    </rPh>
    <phoneticPr fontId="1"/>
  </si>
  <si>
    <t>出来事</t>
    <rPh sb="0" eb="3">
      <t>デキゴト</t>
    </rPh>
    <phoneticPr fontId="1"/>
  </si>
  <si>
    <t>使用者</t>
    <rPh sb="0" eb="3">
      <t>シヨウシャ</t>
    </rPh>
    <phoneticPr fontId="1"/>
  </si>
  <si>
    <t>技名</t>
    <rPh sb="0" eb="2">
      <t>ワザメイ</t>
    </rPh>
    <phoneticPr fontId="1"/>
  </si>
  <si>
    <t>相手</t>
    <rPh sb="0" eb="2">
      <t>アイテ</t>
    </rPh>
    <phoneticPr fontId="1"/>
  </si>
  <si>
    <t>決まり手フラグ</t>
    <rPh sb="0" eb="1">
      <t>キ</t>
    </rPh>
    <rPh sb="3" eb="4">
      <t>テ</t>
    </rPh>
    <phoneticPr fontId="1"/>
  </si>
  <si>
    <t>系統</t>
    <rPh sb="0" eb="2">
      <t>ケイトウ</t>
    </rPh>
    <phoneticPr fontId="1"/>
  </si>
  <si>
    <t>能力者</t>
    <rPh sb="0" eb="3">
      <t>ノウリョクシャ</t>
    </rPh>
    <phoneticPr fontId="1"/>
  </si>
  <si>
    <t>実の名前</t>
    <rPh sb="0" eb="1">
      <t>ミ</t>
    </rPh>
    <rPh sb="2" eb="4">
      <t>ナマエ</t>
    </rPh>
    <phoneticPr fontId="1"/>
  </si>
  <si>
    <t>覚醒フラグ</t>
    <rPh sb="0" eb="2">
      <t>カクセイ</t>
    </rPh>
    <phoneticPr fontId="1"/>
  </si>
  <si>
    <t>武器名</t>
    <rPh sb="0" eb="3">
      <t>ブキメイ</t>
    </rPh>
    <phoneticPr fontId="1"/>
  </si>
  <si>
    <t>位列</t>
    <rPh sb="0" eb="2">
      <t>イレツ</t>
    </rPh>
    <phoneticPr fontId="1"/>
  </si>
  <si>
    <t>所有者</t>
    <rPh sb="0" eb="3">
      <t>ショユウシャ</t>
    </rPh>
    <phoneticPr fontId="1"/>
  </si>
  <si>
    <t>製作者</t>
    <rPh sb="0" eb="3">
      <t>セイサクシャ</t>
    </rPh>
    <phoneticPr fontId="1"/>
  </si>
  <si>
    <t>船名</t>
    <rPh sb="0" eb="1">
      <t>フネ</t>
    </rPh>
    <phoneticPr fontId="1"/>
  </si>
  <si>
    <t>造船者</t>
    <rPh sb="0" eb="3">
      <t>ゾウセンシャ</t>
    </rPh>
    <phoneticPr fontId="1"/>
  </si>
  <si>
    <t>材質</t>
    <rPh sb="0" eb="2">
      <t>ザイシツ</t>
    </rPh>
    <phoneticPr fontId="1"/>
  </si>
  <si>
    <t>状態</t>
    <rPh sb="0" eb="2">
      <t>ジョウタイ</t>
    </rPh>
    <phoneticPr fontId="1"/>
  </si>
  <si>
    <t>エピソード名</t>
    <rPh sb="5" eb="6">
      <t>メイ</t>
    </rPh>
    <phoneticPr fontId="1"/>
  </si>
  <si>
    <t>誕生日</t>
    <rPh sb="0" eb="3">
      <t>タンジョウビ</t>
    </rPh>
    <phoneticPr fontId="1"/>
  </si>
  <si>
    <t>初登場時の年齢</t>
    <rPh sb="0" eb="4">
      <t>ハツトウジョウジ</t>
    </rPh>
    <rPh sb="5" eb="7">
      <t>ネンレイ</t>
    </rPh>
    <phoneticPr fontId="1"/>
  </si>
  <si>
    <t>初登場巻</t>
    <rPh sb="0" eb="3">
      <t>ハツトウジョウ</t>
    </rPh>
    <rPh sb="3" eb="4">
      <t>カン</t>
    </rPh>
    <phoneticPr fontId="1"/>
  </si>
  <si>
    <t>初登場話</t>
    <rPh sb="0" eb="3">
      <t>ハツトウジョウ</t>
    </rPh>
    <rPh sb="3" eb="4">
      <t>ハナシ</t>
    </rPh>
    <phoneticPr fontId="1"/>
  </si>
  <si>
    <t>悪魔の実</t>
    <rPh sb="0" eb="2">
      <t>アクマ</t>
    </rPh>
    <rPh sb="3" eb="4">
      <t>ミ</t>
    </rPh>
    <phoneticPr fontId="1"/>
  </si>
  <si>
    <t>覇気</t>
    <rPh sb="0" eb="2">
      <t>ハキ</t>
    </rPh>
    <phoneticPr fontId="1"/>
  </si>
  <si>
    <t>性別</t>
    <rPh sb="0" eb="2">
      <t>セイベツ</t>
    </rPh>
    <phoneticPr fontId="1"/>
  </si>
  <si>
    <t>生存ステータス</t>
    <rPh sb="0" eb="2">
      <t>セイゾン</t>
    </rPh>
    <phoneticPr fontId="1"/>
  </si>
  <si>
    <t>手放した理由</t>
    <rPh sb="0" eb="2">
      <t>テバナ</t>
    </rPh>
    <rPh sb="4" eb="6">
      <t>リユウ</t>
    </rPh>
    <phoneticPr fontId="1"/>
  </si>
  <si>
    <t>所属グループ</t>
    <rPh sb="0" eb="2">
      <t>ショゾク</t>
    </rPh>
    <phoneticPr fontId="1"/>
  </si>
  <si>
    <t>加入年</t>
    <rPh sb="0" eb="3">
      <t>カニュウネン</t>
    </rPh>
    <phoneticPr fontId="1"/>
  </si>
  <si>
    <t>舞台（島）</t>
    <rPh sb="0" eb="2">
      <t>ブタイ</t>
    </rPh>
    <rPh sb="3" eb="4">
      <t>シマ</t>
    </rPh>
    <phoneticPr fontId="1"/>
  </si>
  <si>
    <t>開始年</t>
    <rPh sb="0" eb="3">
      <t>カイシネン</t>
    </rPh>
    <phoneticPr fontId="1"/>
  </si>
  <si>
    <t>開始日</t>
    <rPh sb="0" eb="3">
      <t>カイシビ</t>
    </rPh>
    <phoneticPr fontId="1"/>
  </si>
  <si>
    <t>表紙中サブタイトル</t>
    <rPh sb="0" eb="2">
      <t>ヒョウシ</t>
    </rPh>
    <rPh sb="2" eb="3">
      <t>チュウ</t>
    </rPh>
    <phoneticPr fontId="1"/>
  </si>
  <si>
    <t>出身エリア</t>
    <rPh sb="0" eb="2">
      <t>シュッシン</t>
    </rPh>
    <phoneticPr fontId="1"/>
  </si>
  <si>
    <t>出身島・国</t>
    <rPh sb="0" eb="3">
      <t>シュッシンシマ</t>
    </rPh>
    <rPh sb="4" eb="5">
      <t>クニ</t>
    </rPh>
    <phoneticPr fontId="1"/>
  </si>
  <si>
    <t>移動手段</t>
    <rPh sb="0" eb="4">
      <t>イドウシュダン</t>
    </rPh>
    <phoneticPr fontId="1"/>
  </si>
  <si>
    <t>ある店のチェリーパイ（なんとなく）</t>
  </si>
  <si>
    <t>サル</t>
  </si>
  <si>
    <t>ネコ</t>
  </si>
  <si>
    <t>ヒガシザメのステーキ</t>
  </si>
  <si>
    <t>クオッカワラビー</t>
  </si>
  <si>
    <t>アンジョウ</t>
  </si>
  <si>
    <t>モンスター</t>
  </si>
  <si>
    <t>ブルーベリー</t>
  </si>
  <si>
    <t>ライオン</t>
  </si>
  <si>
    <t>かまぼこ</t>
  </si>
  <si>
    <t>ミキオイトゥー</t>
  </si>
  <si>
    <t>PARTYS BAR</t>
  </si>
  <si>
    <t>ギョルさん</t>
  </si>
  <si>
    <t>チキンおばさん</t>
  </si>
  <si>
    <t>ギョルさんのパートナー</t>
  </si>
  <si>
    <t>ウープ・スラップ</t>
  </si>
  <si>
    <t>ブラックコーヒー</t>
  </si>
  <si>
    <t>イルカ</t>
  </si>
  <si>
    <t>ヘッポコ</t>
  </si>
  <si>
    <t>ペッポコ</t>
  </si>
  <si>
    <t>ポッポコ</t>
  </si>
  <si>
    <t>リカ</t>
  </si>
  <si>
    <t>ソーロ</t>
  </si>
  <si>
    <t>リリカ</t>
  </si>
  <si>
    <t>入手年</t>
    <rPh sb="0" eb="3">
      <t>ニュウシュネン</t>
    </rPh>
    <phoneticPr fontId="1"/>
  </si>
  <si>
    <t>入手巻数</t>
    <rPh sb="0" eb="2">
      <t>ニュウシュ</t>
    </rPh>
    <rPh sb="2" eb="4">
      <t>カンスウ</t>
    </rPh>
    <phoneticPr fontId="1"/>
  </si>
  <si>
    <t>海円暦</t>
    <rPh sb="0" eb="1">
      <t>ウミ</t>
    </rPh>
    <rPh sb="1" eb="2">
      <t>エン</t>
    </rPh>
    <rPh sb="2" eb="3">
      <t>コヨミ</t>
    </rPh>
    <phoneticPr fontId="1"/>
  </si>
  <si>
    <t>ゴート島</t>
    <rPh sb="3" eb="4">
      <t>シマ</t>
    </rPh>
    <phoneticPr fontId="1"/>
  </si>
  <si>
    <t>モンキー・D・ルフィ</t>
    <phoneticPr fontId="1"/>
  </si>
  <si>
    <t>ロロノア・ゾロ</t>
    <phoneticPr fontId="1"/>
  </si>
  <si>
    <t>ナミ</t>
    <phoneticPr fontId="1"/>
  </si>
  <si>
    <t>シャンクス</t>
    <phoneticPr fontId="1"/>
  </si>
  <si>
    <t>フーシャ村</t>
    <rPh sb="4" eb="5">
      <t>ムラ</t>
    </rPh>
    <phoneticPr fontId="1"/>
  </si>
  <si>
    <t>東の海</t>
    <rPh sb="0" eb="1">
      <t>ヒガシ</t>
    </rPh>
    <rPh sb="2" eb="3">
      <t>ウミ</t>
    </rPh>
    <phoneticPr fontId="1"/>
  </si>
  <si>
    <t>フーシャ村から出航</t>
    <rPh sb="4" eb="5">
      <t>ムラ</t>
    </rPh>
    <rPh sb="7" eb="9">
      <t>シュッコウ</t>
    </rPh>
    <phoneticPr fontId="1"/>
  </si>
  <si>
    <t>備考</t>
    <rPh sb="0" eb="2">
      <t>ビコウ</t>
    </rPh>
    <phoneticPr fontId="1"/>
  </si>
  <si>
    <t>話数</t>
    <rPh sb="0" eb="2">
      <t>ワスウ</t>
    </rPh>
    <phoneticPr fontId="1"/>
  </si>
  <si>
    <t>麦わらの一味</t>
    <rPh sb="0" eb="1">
      <t>ムギ</t>
    </rPh>
    <rPh sb="4" eb="6">
      <t>イチミ</t>
    </rPh>
    <phoneticPr fontId="1"/>
  </si>
  <si>
    <t>脱退年数</t>
    <rPh sb="0" eb="2">
      <t>ダッタイ</t>
    </rPh>
    <rPh sb="2" eb="4">
      <t>ネンスウ</t>
    </rPh>
    <phoneticPr fontId="1"/>
  </si>
  <si>
    <t>海軍</t>
    <rPh sb="0" eb="2">
      <t>カイグン</t>
    </rPh>
    <phoneticPr fontId="1"/>
  </si>
  <si>
    <t>時代区分</t>
    <rPh sb="0" eb="4">
      <t>ジダイクブン</t>
    </rPh>
    <phoneticPr fontId="1"/>
  </si>
  <si>
    <t>過去回想</t>
    <rPh sb="0" eb="4">
      <t>カコカイソウ</t>
    </rPh>
    <phoneticPr fontId="1"/>
  </si>
  <si>
    <t>加入年最古</t>
    <rPh sb="0" eb="3">
      <t>カニュウネン</t>
    </rPh>
    <rPh sb="3" eb="5">
      <t>サイコ</t>
    </rPh>
    <phoneticPr fontId="1"/>
  </si>
  <si>
    <t>加入年最新</t>
    <rPh sb="0" eb="3">
      <t>カニュウネン</t>
    </rPh>
    <rPh sb="3" eb="5">
      <t>サイシン</t>
    </rPh>
    <phoneticPr fontId="1"/>
  </si>
  <si>
    <t>考察</t>
    <rPh sb="0" eb="2">
      <t>コウサツ</t>
    </rPh>
    <phoneticPr fontId="1"/>
  </si>
  <si>
    <t>ロジャー処刑からフーシャ村までの間</t>
    <rPh sb="4" eb="6">
      <t>ショケイ</t>
    </rPh>
    <rPh sb="12" eb="13">
      <t>ムラ</t>
    </rPh>
    <rPh sb="16" eb="17">
      <t>アイダ</t>
    </rPh>
    <phoneticPr fontId="1"/>
  </si>
  <si>
    <t>役職</t>
    <rPh sb="0" eb="2">
      <t>ヤクショク</t>
    </rPh>
    <phoneticPr fontId="1"/>
  </si>
  <si>
    <t>加入フラグ</t>
    <rPh sb="0" eb="2">
      <t>カニュウ</t>
    </rPh>
    <phoneticPr fontId="1"/>
  </si>
  <si>
    <t>創設</t>
    <rPh sb="0" eb="2">
      <t>ソウセツ</t>
    </rPh>
    <phoneticPr fontId="1"/>
  </si>
  <si>
    <t>加入</t>
    <rPh sb="0" eb="2">
      <t>カニュウ</t>
    </rPh>
    <phoneticPr fontId="1"/>
  </si>
  <si>
    <t>脱退</t>
    <rPh sb="0" eb="2">
      <t>ダッタイ</t>
    </rPh>
    <phoneticPr fontId="1"/>
  </si>
  <si>
    <t>バトルID</t>
    <phoneticPr fontId="1"/>
  </si>
  <si>
    <t>年</t>
    <rPh sb="0" eb="1">
      <t>トシ</t>
    </rPh>
    <phoneticPr fontId="1"/>
  </si>
  <si>
    <t>決まり手</t>
    <rPh sb="0" eb="1">
      <t>キ</t>
    </rPh>
    <rPh sb="3" eb="4">
      <t>テ</t>
    </rPh>
    <phoneticPr fontId="1"/>
  </si>
  <si>
    <t>バトルの種類</t>
    <rPh sb="4" eb="6">
      <t>シュルイ</t>
    </rPh>
    <phoneticPr fontId="1"/>
  </si>
  <si>
    <t>サブエピソード</t>
    <phoneticPr fontId="1"/>
  </si>
  <si>
    <t>冒険の夜明け</t>
    <rPh sb="0" eb="2">
      <t>ボウケン</t>
    </rPh>
    <rPh sb="3" eb="5">
      <t>ヨア</t>
    </rPh>
    <phoneticPr fontId="1"/>
  </si>
  <si>
    <t>重要度</t>
    <rPh sb="0" eb="3">
      <t>ジュウヨウド</t>
    </rPh>
    <phoneticPr fontId="1"/>
  </si>
  <si>
    <t>A</t>
    <phoneticPr fontId="1"/>
  </si>
  <si>
    <t>B</t>
    <phoneticPr fontId="1"/>
  </si>
  <si>
    <t>死亡年</t>
    <rPh sb="0" eb="2">
      <t>シボウ</t>
    </rPh>
    <rPh sb="2" eb="3">
      <t>ネn</t>
    </rPh>
    <phoneticPr fontId="1"/>
  </si>
  <si>
    <t>好きな島</t>
    <rPh sb="0" eb="1">
      <t>スキ</t>
    </rPh>
    <rPh sb="3" eb="4">
      <t>シマ</t>
    </rPh>
    <phoneticPr fontId="1"/>
  </si>
  <si>
    <t>超人系</t>
    <rPh sb="0" eb="3">
      <t>チョウ</t>
    </rPh>
    <phoneticPr fontId="1"/>
  </si>
  <si>
    <t>B001-01</t>
    <phoneticPr fontId="1"/>
  </si>
  <si>
    <t>赤髪海賊団</t>
    <rPh sb="0" eb="5">
      <t>アカガミカイゾクダン</t>
    </rPh>
    <phoneticPr fontId="1"/>
  </si>
  <si>
    <t>軍団戦</t>
  </si>
  <si>
    <t>仲間探し</t>
    <rPh sb="0" eb="3">
      <t>ナカマサガ</t>
    </rPh>
    <phoneticPr fontId="1"/>
  </si>
  <si>
    <t>ゴート島</t>
    <rPh sb="3" eb="4">
      <t>シマ</t>
    </rPh>
    <phoneticPr fontId="1"/>
  </si>
  <si>
    <t>現代</t>
    <rPh sb="0" eb="2">
      <t>ゲンダイ</t>
    </rPh>
    <phoneticPr fontId="1"/>
  </si>
  <si>
    <t>シェルズタウン</t>
    <phoneticPr fontId="1"/>
  </si>
  <si>
    <t>オレンジの町</t>
    <rPh sb="5" eb="6">
      <t>マチ</t>
    </rPh>
    <phoneticPr fontId="1"/>
  </si>
  <si>
    <t>VS.モーガン</t>
    <phoneticPr fontId="1"/>
  </si>
  <si>
    <t>VS.バギー海賊団</t>
    <rPh sb="6" eb="9">
      <t>カイゾクダン</t>
    </rPh>
    <phoneticPr fontId="1"/>
  </si>
  <si>
    <t>フーシャ村に滞在する</t>
    <rPh sb="4" eb="5">
      <t>ムラ</t>
    </rPh>
    <rPh sb="6" eb="8">
      <t>タイザイ</t>
    </rPh>
    <phoneticPr fontId="1"/>
  </si>
  <si>
    <t>男</t>
    <rPh sb="0" eb="1">
      <t>オトコ</t>
    </rPh>
    <phoneticPr fontId="1"/>
  </si>
  <si>
    <t>-</t>
    <phoneticPr fontId="1"/>
  </si>
  <si>
    <t>女</t>
    <rPh sb="0" eb="1">
      <t>オンナ</t>
    </rPh>
    <phoneticPr fontId="1"/>
  </si>
  <si>
    <t>人間</t>
    <rPh sb="0" eb="2">
      <t>ニンゲン</t>
    </rPh>
    <phoneticPr fontId="1"/>
  </si>
  <si>
    <t>サル</t>
    <phoneticPr fontId="1"/>
  </si>
  <si>
    <t>海王類</t>
    <rPh sb="0" eb="3">
      <t>カイオウルイ</t>
    </rPh>
    <phoneticPr fontId="1"/>
  </si>
  <si>
    <t>C</t>
    <phoneticPr fontId="1"/>
  </si>
  <si>
    <t>ゴムゴムの実を食べる</t>
    <rPh sb="5" eb="6">
      <t>ミ</t>
    </rPh>
    <rPh sb="7" eb="8">
      <t>タ</t>
    </rPh>
    <phoneticPr fontId="1"/>
  </si>
  <si>
    <t>近海の主に食べられる</t>
    <rPh sb="0" eb="2">
      <t>キンカイ</t>
    </rPh>
    <rPh sb="3" eb="4">
      <t>ヌシ</t>
    </rPh>
    <rPh sb="5" eb="6">
      <t>タ</t>
    </rPh>
    <phoneticPr fontId="1"/>
  </si>
  <si>
    <t>近海の主に左腕を食べられる</t>
    <rPh sb="0" eb="2">
      <t>キンカイ</t>
    </rPh>
    <rPh sb="3" eb="4">
      <t>ヌシ</t>
    </rPh>
    <rPh sb="5" eb="7">
      <t>ヒダリウデ</t>
    </rPh>
    <rPh sb="8" eb="9">
      <t>タ</t>
    </rPh>
    <phoneticPr fontId="1"/>
  </si>
  <si>
    <t>B001-02</t>
  </si>
  <si>
    <t>タイマン</t>
  </si>
  <si>
    <t>海賊頭</t>
    <rPh sb="0" eb="2">
      <t>カイゾク</t>
    </rPh>
    <rPh sb="2" eb="3">
      <t>カシラ</t>
    </rPh>
    <phoneticPr fontId="1"/>
  </si>
  <si>
    <t>船長</t>
    <rPh sb="0" eb="2">
      <t>センチョウ</t>
    </rPh>
    <phoneticPr fontId="1"/>
  </si>
  <si>
    <t>C001-01</t>
    <phoneticPr fontId="1"/>
  </si>
  <si>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</si>
  <si>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</si>
  <si>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</si>
  <si>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</si>
  <si>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</si>
  <si>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</si>
  <si>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</si>
  <si>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</si>
  <si>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</si>
  <si>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</si>
  <si>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</si>
  <si>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</si>
  <si>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</si>
  <si>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</si>
  <si>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</si>
  <si>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</si>
  <si>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</si>
  <si>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</si>
  <si>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</si>
  <si>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</si>
  <si>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</si>
  <si>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</si>
  <si>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</si>
  <si>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</si>
  <si>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</si>
  <si>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</si>
  <si>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</si>
  <si>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</si>
  <si>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</si>
  <si>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</si>
  <si>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</si>
  <si>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</si>
  <si>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</si>
  <si>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</si>
  <si>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鳥</t>
    <rPh sb="0" eb="1">
      <t>トリ</t>
    </rPh>
    <phoneticPr fontId="1"/>
  </si>
  <si>
    <t>狼</t>
    <rPh sb="0" eb="1">
      <t>オオカミ</t>
    </rPh>
    <phoneticPr fontId="1"/>
  </si>
  <si>
    <t>ロジャー海賊団</t>
    <rPh sb="4" eb="7">
      <t>カイゾクダン</t>
    </rPh>
    <phoneticPr fontId="1"/>
  </si>
  <si>
    <t>解散</t>
    <rPh sb="0" eb="2">
      <t>カイサン</t>
    </rPh>
    <phoneticPr fontId="1"/>
  </si>
  <si>
    <t>ロジャー処刑</t>
    <rPh sb="4" eb="6">
      <t>ショケイ</t>
    </rPh>
    <phoneticPr fontId="1"/>
  </si>
  <si>
    <t>コック</t>
    <phoneticPr fontId="1"/>
  </si>
  <si>
    <t>狙撃手</t>
    <rPh sb="0" eb="3">
      <t>ソゲキ</t>
    </rPh>
    <phoneticPr fontId="1"/>
  </si>
  <si>
    <t>副船長</t>
    <rPh sb="0" eb="3">
      <t>フクセンチョウ</t>
    </rPh>
    <phoneticPr fontId="1"/>
  </si>
  <si>
    <t>戦闘員</t>
    <rPh sb="0" eb="3">
      <t>セントウイン</t>
    </rPh>
    <phoneticPr fontId="1"/>
  </si>
  <si>
    <t>ヒグマ山賊団</t>
    <rPh sb="3" eb="6">
      <t>サンゾクダン</t>
    </rPh>
    <phoneticPr fontId="1"/>
  </si>
  <si>
    <t>棟梁</t>
    <rPh sb="0" eb="2">
      <t>トウリョウ</t>
    </rPh>
    <phoneticPr fontId="1"/>
  </si>
  <si>
    <t>死亡</t>
    <rPh sb="0" eb="2">
      <t>シボウ</t>
    </rPh>
    <phoneticPr fontId="1"/>
  </si>
  <si>
    <t>コビー加入のため</t>
    <rPh sb="3" eb="5">
      <t>カニュウ</t>
    </rPh>
    <phoneticPr fontId="1"/>
  </si>
  <si>
    <t>クロを逮捕の功績時に少佐になったためそれ以降に大佐になっている</t>
    <rPh sb="3" eb="5">
      <t>タイホ</t>
    </rPh>
    <rPh sb="6" eb="8">
      <t>コウセキ</t>
    </rPh>
    <rPh sb="8" eb="9">
      <t>ジ</t>
    </rPh>
    <rPh sb="10" eb="12">
      <t>ショウサ</t>
    </rPh>
    <rPh sb="20" eb="22">
      <t>イコウ</t>
    </rPh>
    <rPh sb="23" eb="25">
      <t>タイサ</t>
    </rPh>
    <phoneticPr fontId="1"/>
  </si>
  <si>
    <t>航海士</t>
    <rPh sb="0" eb="3">
      <t>コウカイシ</t>
    </rPh>
    <phoneticPr fontId="1"/>
  </si>
  <si>
    <t>B001-03</t>
  </si>
  <si>
    <t>B001-04</t>
  </si>
  <si>
    <t>B001-05</t>
  </si>
  <si>
    <t>チーム戦</t>
  </si>
  <si>
    <t>ゴート島に漂着</t>
    <rPh sb="3" eb="4">
      <t>シマ</t>
    </rPh>
    <rPh sb="5" eb="7">
      <t>ヒョウチャク</t>
    </rPh>
    <phoneticPr fontId="1"/>
  </si>
  <si>
    <t>小舟</t>
    <rPh sb="0" eb="2">
      <t>コブネ</t>
    </rPh>
    <phoneticPr fontId="1"/>
  </si>
  <si>
    <t>樽</t>
    <rPh sb="0" eb="1">
      <t>タル</t>
    </rPh>
    <phoneticPr fontId="1"/>
  </si>
  <si>
    <t>アルビダを撃破</t>
    <rPh sb="5" eb="7">
      <t>ゲキハ</t>
    </rPh>
    <phoneticPr fontId="1"/>
  </si>
  <si>
    <t>E001-01</t>
    <phoneticPr fontId="1"/>
  </si>
  <si>
    <t>E001-02</t>
  </si>
  <si>
    <t>E001-03</t>
  </si>
  <si>
    <t>E001-04</t>
  </si>
  <si>
    <t>E001-05</t>
  </si>
  <si>
    <t>E001-06</t>
  </si>
  <si>
    <t>E001-08</t>
  </si>
  <si>
    <t>E001-10</t>
  </si>
  <si>
    <t>E001-11</t>
  </si>
  <si>
    <t>E001-12</t>
  </si>
  <si>
    <t>シェルズタウンに到着</t>
    <rPh sb="8" eb="10">
      <t>トウチャク</t>
    </rPh>
    <phoneticPr fontId="1"/>
  </si>
  <si>
    <t>海軍大佐モーガンを撃破</t>
    <rPh sb="0" eb="4">
      <t>カイグンタイサ</t>
    </rPh>
    <rPh sb="9" eb="11">
      <t>ゲキハ</t>
    </rPh>
    <phoneticPr fontId="1"/>
  </si>
  <si>
    <t>くいなが死亡し、ゾロ誓いを立てる</t>
    <rPh sb="4" eb="6">
      <t>シボウ</t>
    </rPh>
    <rPh sb="10" eb="11">
      <t>チカ</t>
    </rPh>
    <rPh sb="13" eb="14">
      <t>タ</t>
    </rPh>
    <phoneticPr fontId="1"/>
  </si>
  <si>
    <t>コビーと別れ、出航する</t>
    <rPh sb="4" eb="5">
      <t>ワカ</t>
    </rPh>
    <rPh sb="7" eb="9">
      <t>シュッコウ</t>
    </rPh>
    <phoneticPr fontId="1"/>
  </si>
  <si>
    <t>鳥に運ばれ、町に着く</t>
    <rPh sb="0" eb="1">
      <t>トリ</t>
    </rPh>
    <rPh sb="2" eb="3">
      <t>ハコ</t>
    </rPh>
    <rPh sb="6" eb="7">
      <t>マチ</t>
    </rPh>
    <rPh sb="8" eb="9">
      <t>ツ</t>
    </rPh>
    <phoneticPr fontId="1"/>
  </si>
  <si>
    <t>年数</t>
    <rPh sb="0" eb="2">
      <t>ネンスウ</t>
    </rPh>
    <phoneticPr fontId="1"/>
  </si>
  <si>
    <t>海賊王</t>
    <rPh sb="0" eb="3">
      <t>カイゾク</t>
    </rPh>
    <phoneticPr fontId="1"/>
  </si>
  <si>
    <t>シモツキ村</t>
    <rPh sb="4" eb="5">
      <t>ムラ</t>
    </rPh>
    <phoneticPr fontId="1"/>
  </si>
  <si>
    <t>56人殺した</t>
    <rPh sb="2" eb="3">
      <t>ニン</t>
    </rPh>
    <rPh sb="3" eb="4">
      <t>コロ</t>
    </rPh>
    <phoneticPr fontId="1"/>
  </si>
  <si>
    <t>階級（社会的）</t>
    <rPh sb="0" eb="2">
      <t>カイキュウ</t>
    </rPh>
    <rPh sb="3" eb="6">
      <t>シャカイテキ</t>
    </rPh>
    <phoneticPr fontId="1"/>
  </si>
  <si>
    <t>加入巻数</t>
  </si>
  <si>
    <t>加入話数</t>
  </si>
  <si>
    <t>脱退巻数</t>
  </si>
  <si>
    <t>脱退話数</t>
  </si>
  <si>
    <t>階級</t>
    <rPh sb="0" eb="2">
      <t>カイキュウ</t>
    </rPh>
    <phoneticPr fontId="1"/>
  </si>
  <si>
    <t>Dフラグ</t>
    <phoneticPr fontId="1"/>
  </si>
  <si>
    <t>海賊</t>
    <rPh sb="0" eb="2">
      <t>カイゾク</t>
    </rPh>
    <phoneticPr fontId="1"/>
  </si>
  <si>
    <t>市民</t>
    <rPh sb="0" eb="2">
      <t>シミン</t>
    </rPh>
    <phoneticPr fontId="1"/>
  </si>
  <si>
    <t>山賊</t>
    <rPh sb="0" eb="2">
      <t>サンゾク</t>
    </rPh>
    <phoneticPr fontId="1"/>
  </si>
  <si>
    <t>海兵</t>
    <rPh sb="0" eb="2">
      <t>カイヘイ</t>
    </rPh>
    <phoneticPr fontId="1"/>
  </si>
  <si>
    <t>見習い</t>
    <rPh sb="0" eb="2">
      <t>ミナラ</t>
    </rPh>
    <phoneticPr fontId="1"/>
  </si>
  <si>
    <t>元海兵</t>
    <rPh sb="0" eb="1">
      <t>モト</t>
    </rPh>
    <rPh sb="1" eb="3">
      <t>カイヘイ</t>
    </rPh>
    <phoneticPr fontId="1"/>
  </si>
  <si>
    <t>泥棒</t>
    <rPh sb="0" eb="2">
      <t>ドロボウ</t>
    </rPh>
    <phoneticPr fontId="1"/>
  </si>
  <si>
    <t>-</t>
    <phoneticPr fontId="1"/>
  </si>
  <si>
    <t>雑用</t>
    <rPh sb="0" eb="2">
      <t>ザツヨウ</t>
    </rPh>
    <phoneticPr fontId="1"/>
  </si>
  <si>
    <t>見習い</t>
    <rPh sb="0" eb="2">
      <t>ミナラ</t>
    </rPh>
    <phoneticPr fontId="1"/>
  </si>
  <si>
    <t>大佐</t>
    <rPh sb="0" eb="2">
      <t>タイサ</t>
    </rPh>
    <phoneticPr fontId="1"/>
  </si>
  <si>
    <t>第153支部基地長</t>
    <rPh sb="6" eb="9">
      <t>キチチョウ</t>
    </rPh>
    <phoneticPr fontId="1"/>
  </si>
  <si>
    <t>L-001</t>
    <phoneticPr fontId="1"/>
  </si>
  <si>
    <t>（不明）</t>
    <rPh sb="1" eb="3">
      <t>フメイ</t>
    </rPh>
    <phoneticPr fontId="1"/>
  </si>
  <si>
    <t>L-002</t>
  </si>
  <si>
    <t>L-003</t>
  </si>
  <si>
    <t>L-004</t>
  </si>
  <si>
    <t>海賊王,ゴールド・ロジャー</t>
    <rPh sb="0" eb="3">
      <t>カイゾク</t>
    </rPh>
    <phoneticPr fontId="1"/>
  </si>
  <si>
    <t>海賊</t>
    <rPh sb="0" eb="2">
      <t>カイゾク</t>
    </rPh>
    <phoneticPr fontId="1"/>
  </si>
  <si>
    <t>山賊</t>
    <rPh sb="0" eb="2">
      <t>サンゾク</t>
    </rPh>
    <phoneticPr fontId="1"/>
  </si>
  <si>
    <t>海兵</t>
    <rPh sb="0" eb="2">
      <t>カイヘイ</t>
    </rPh>
    <phoneticPr fontId="1"/>
  </si>
  <si>
    <t>賞金稼ぎ</t>
    <rPh sb="0" eb="3">
      <t>ショウキンカセ</t>
    </rPh>
    <phoneticPr fontId="1"/>
  </si>
  <si>
    <t>キャラID</t>
    <phoneticPr fontId="1"/>
  </si>
  <si>
    <t>実ID</t>
    <rPh sb="0" eb="1">
      <t>ミ</t>
    </rPh>
    <phoneticPr fontId="1"/>
  </si>
  <si>
    <t>武器ID</t>
    <rPh sb="0" eb="2">
      <t>ブキ</t>
    </rPh>
    <phoneticPr fontId="1"/>
  </si>
  <si>
    <t>W-001</t>
    <phoneticPr fontId="1"/>
  </si>
  <si>
    <t>船ID</t>
    <rPh sb="0" eb="1">
      <t>フネ</t>
    </rPh>
    <phoneticPr fontId="1"/>
  </si>
  <si>
    <t>F-001</t>
    <phoneticPr fontId="1"/>
  </si>
  <si>
    <t>S-001</t>
    <phoneticPr fontId="1"/>
  </si>
  <si>
    <t>場所ID</t>
    <rPh sb="0" eb="2">
      <t>バショ</t>
    </rPh>
    <phoneticPr fontId="1"/>
  </si>
  <si>
    <t>L-005</t>
  </si>
  <si>
    <t>L-006</t>
  </si>
  <si>
    <t>フーシャ村近海</t>
    <rPh sb="5" eb="7">
      <t>キンカイ</t>
    </rPh>
    <phoneticPr fontId="1"/>
  </si>
  <si>
    <t>L-001</t>
  </si>
  <si>
    <t>オルガン諸島</t>
    <rPh sb="4" eb="6">
      <t>ショトウ</t>
    </rPh>
    <phoneticPr fontId="1"/>
  </si>
  <si>
    <t>オレンジの町</t>
    <rPh sb="5" eb="6">
      <t xml:space="preserve">マチ </t>
    </rPh>
    <phoneticPr fontId="1"/>
  </si>
  <si>
    <t>C001-26</t>
    <phoneticPr fontId="1"/>
  </si>
  <si>
    <t>C001-06</t>
    <phoneticPr fontId="1"/>
  </si>
  <si>
    <t>C001-11</t>
    <phoneticPr fontId="1"/>
  </si>
  <si>
    <t>C001-01</t>
  </si>
  <si>
    <t>C001-01</t>
    <phoneticPr fontId="1"/>
  </si>
  <si>
    <t>C001-16</t>
    <phoneticPr fontId="1"/>
  </si>
  <si>
    <t>C001-21</t>
    <phoneticPr fontId="1"/>
  </si>
  <si>
    <t>C001-23</t>
    <phoneticPr fontId="1"/>
  </si>
  <si>
    <t>C001-34</t>
    <phoneticPr fontId="1"/>
  </si>
  <si>
    <t>技ID</t>
    <rPh sb="0" eb="1">
      <t>ワザ</t>
    </rPh>
    <phoneticPr fontId="1"/>
  </si>
  <si>
    <t>M-001</t>
  </si>
  <si>
    <t>M-001</t>
    <phoneticPr fontId="1"/>
  </si>
  <si>
    <t>使用者ID</t>
    <rPh sb="0" eb="3">
      <t>シヨウシャ</t>
    </rPh>
    <phoneticPr fontId="1"/>
  </si>
  <si>
    <t>ルーツID</t>
    <phoneticPr fontId="1"/>
  </si>
  <si>
    <t>初出巻数</t>
    <rPh sb="0" eb="2">
      <t>ハツデ</t>
    </rPh>
    <rPh sb="2" eb="4">
      <t>カンスウ</t>
    </rPh>
    <phoneticPr fontId="1"/>
  </si>
  <si>
    <t>初出話数</t>
    <rPh sb="0" eb="2">
      <t>ハツデ</t>
    </rPh>
    <rPh sb="2" eb="4">
      <t>ワスウ</t>
    </rPh>
    <phoneticPr fontId="1"/>
  </si>
  <si>
    <t>決め技カウント</t>
    <rPh sb="0" eb="1">
      <t>キ</t>
    </rPh>
    <rPh sb="2" eb="3">
      <t>ワザ</t>
    </rPh>
    <phoneticPr fontId="1"/>
  </si>
  <si>
    <t>使用者ID</t>
    <rPh sb="0" eb="3">
      <t>シヨウシャ</t>
    </rPh>
    <phoneticPr fontId="1"/>
  </si>
  <si>
    <t>技ID</t>
    <rPh sb="0" eb="1">
      <t>ワザ</t>
    </rPh>
    <phoneticPr fontId="1"/>
  </si>
  <si>
    <t>相手ID</t>
    <rPh sb="0" eb="2">
      <t>アイテ</t>
    </rPh>
    <phoneticPr fontId="1"/>
  </si>
  <si>
    <t>M-002</t>
  </si>
  <si>
    <t>M-003</t>
  </si>
  <si>
    <t>打撃</t>
    <rPh sb="0" eb="2">
      <t>ダゲキ</t>
    </rPh>
    <phoneticPr fontId="1"/>
  </si>
  <si>
    <t>移動</t>
    <rPh sb="0" eb="2">
      <t>イドウ</t>
    </rPh>
    <phoneticPr fontId="1"/>
  </si>
  <si>
    <t>C001-15</t>
    <phoneticPr fontId="1"/>
  </si>
  <si>
    <t>C001-17</t>
    <phoneticPr fontId="1"/>
  </si>
  <si>
    <t>C001-23</t>
    <phoneticPr fontId="1"/>
  </si>
  <si>
    <t>勢力ID</t>
    <rPh sb="0" eb="2">
      <t>セイリョク</t>
    </rPh>
    <phoneticPr fontId="1"/>
  </si>
  <si>
    <t>勢力名</t>
    <rPh sb="0" eb="3">
      <t>セイリョクメイ</t>
    </rPh>
    <phoneticPr fontId="1"/>
  </si>
  <si>
    <t>リーダーID</t>
    <phoneticPr fontId="1"/>
  </si>
  <si>
    <t>区分</t>
    <rPh sb="0" eb="2">
      <t>クブン</t>
    </rPh>
    <phoneticPr fontId="1"/>
  </si>
  <si>
    <t>G-001</t>
    <phoneticPr fontId="1"/>
  </si>
  <si>
    <t>G-002</t>
  </si>
  <si>
    <t>G-003</t>
  </si>
  <si>
    <t>G-004</t>
  </si>
  <si>
    <t>G-005</t>
  </si>
  <si>
    <t>アルビダ海賊団</t>
    <rPh sb="4" eb="7">
      <t>カイゾクダン</t>
    </rPh>
    <phoneticPr fontId="1"/>
  </si>
  <si>
    <t>エリアID</t>
    <phoneticPr fontId="1"/>
  </si>
  <si>
    <t>G-006</t>
  </si>
  <si>
    <t>G-007</t>
  </si>
  <si>
    <t>G-008</t>
  </si>
  <si>
    <t>G-009</t>
  </si>
  <si>
    <t>G-010</t>
  </si>
  <si>
    <t>海賊</t>
    <rPh sb="0" eb="1">
      <t>カイゾク</t>
    </rPh>
    <phoneticPr fontId="1"/>
  </si>
  <si>
    <t>世界政府</t>
    <rPh sb="0" eb="4">
      <t>セカイ</t>
    </rPh>
    <phoneticPr fontId="1"/>
  </si>
  <si>
    <t>C001-05</t>
    <phoneticPr fontId="1"/>
  </si>
  <si>
    <t>C001-07</t>
    <phoneticPr fontId="1"/>
  </si>
  <si>
    <t>C001-29</t>
    <phoneticPr fontId="1"/>
  </si>
  <si>
    <t>勝者勢力</t>
    <rPh sb="0" eb="2">
      <t>ショウシャ</t>
    </rPh>
    <rPh sb="2" eb="4">
      <t>セイリョク</t>
    </rPh>
    <phoneticPr fontId="1"/>
  </si>
  <si>
    <t>勢力ID1</t>
    <rPh sb="0" eb="2">
      <t>セイリョク</t>
    </rPh>
    <phoneticPr fontId="1"/>
  </si>
  <si>
    <t>勢力ID2</t>
    <rPh sb="0" eb="2">
      <t>セイリョク</t>
    </rPh>
    <phoneticPr fontId="1"/>
  </si>
  <si>
    <t>敗者勢力</t>
    <rPh sb="0" eb="2">
      <t>🦷</t>
    </rPh>
    <rPh sb="2" eb="4">
      <t>セイリョク</t>
    </rPh>
    <phoneticPr fontId="1"/>
  </si>
  <si>
    <t>軍団戦フラグ</t>
    <rPh sb="0" eb="3">
      <t>グンダンセn</t>
    </rPh>
    <phoneticPr fontId="1"/>
  </si>
  <si>
    <t>勝者ID1</t>
    <rPh sb="0" eb="2">
      <t>ショウシャ</t>
    </rPh>
    <phoneticPr fontId="1"/>
  </si>
  <si>
    <t>勝者ID2</t>
    <rPh sb="0" eb="2">
      <t>ショウシャ</t>
    </rPh>
    <phoneticPr fontId="1"/>
  </si>
  <si>
    <t>勝者1</t>
    <rPh sb="0" eb="2">
      <t>ショウシャ</t>
    </rPh>
    <phoneticPr fontId="1"/>
  </si>
  <si>
    <t>勝者2</t>
    <rPh sb="0" eb="2">
      <t>ショウシャ</t>
    </rPh>
    <phoneticPr fontId="1"/>
  </si>
  <si>
    <t>敗者ID1</t>
    <rPh sb="0" eb="2">
      <t>🦷</t>
    </rPh>
    <phoneticPr fontId="1"/>
  </si>
  <si>
    <t>敗者ID2</t>
    <rPh sb="0" eb="2">
      <t>🦷</t>
    </rPh>
    <phoneticPr fontId="1"/>
  </si>
  <si>
    <t>敗者1</t>
    <rPh sb="0" eb="2">
      <t>ハイシャ</t>
    </rPh>
    <phoneticPr fontId="1"/>
  </si>
  <si>
    <t>敗者2</t>
    <rPh sb="0" eb="2">
      <t>ハイシャ</t>
    </rPh>
    <phoneticPr fontId="1"/>
  </si>
  <si>
    <t>実ID</t>
    <phoneticPr fontId="1"/>
  </si>
  <si>
    <t>入手話</t>
    <rPh sb="0" eb="2">
      <t>ニュウシュ</t>
    </rPh>
    <rPh sb="2" eb="3">
      <t xml:space="preserve">ワ </t>
    </rPh>
    <phoneticPr fontId="1"/>
  </si>
  <si>
    <t>入手年</t>
    <rPh sb="0" eb="2">
      <t>ニュウシュ</t>
    </rPh>
    <rPh sb="2" eb="3">
      <t>ネn</t>
    </rPh>
    <phoneticPr fontId="1"/>
  </si>
  <si>
    <t>死亡した時期</t>
    <rPh sb="0" eb="2">
      <t>シボウ</t>
    </rPh>
    <rPh sb="4" eb="6">
      <t>ジキ</t>
    </rPh>
    <phoneticPr fontId="1"/>
  </si>
  <si>
    <t>海軍</t>
    <rPh sb="0" eb="2">
      <t>カイグn</t>
    </rPh>
    <phoneticPr fontId="1"/>
  </si>
  <si>
    <t>見習い</t>
    <rPh sb="0" eb="1">
      <t>ミナ</t>
    </rPh>
    <phoneticPr fontId="1"/>
  </si>
  <si>
    <t>X</t>
    <phoneticPr fontId="1"/>
  </si>
  <si>
    <t>Y</t>
    <phoneticPr fontId="1"/>
  </si>
  <si>
    <t>日誌ID</t>
    <rPh sb="0" eb="2">
      <t>ニッセィ</t>
    </rPh>
    <phoneticPr fontId="1"/>
  </si>
  <si>
    <t>場所名</t>
    <rPh sb="0" eb="3">
      <t>バショム</t>
    </rPh>
    <phoneticPr fontId="1"/>
  </si>
  <si>
    <t>表示名</t>
    <rPh sb="0" eb="3">
      <t>ヒョウ</t>
    </rPh>
    <phoneticPr fontId="1"/>
  </si>
  <si>
    <t>通算日</t>
    <rPh sb="0" eb="3">
      <t>ツウサn</t>
    </rPh>
    <phoneticPr fontId="1"/>
  </si>
  <si>
    <t>E001-13</t>
  </si>
  <si>
    <t>E001-14</t>
  </si>
  <si>
    <t>E001-15</t>
  </si>
  <si>
    <t>E001-16</t>
  </si>
  <si>
    <t>E001-17</t>
  </si>
  <si>
    <t>E001-18</t>
  </si>
  <si>
    <t>E001-19</t>
  </si>
  <si>
    <t>E001-20</t>
  </si>
  <si>
    <t>E001-21</t>
  </si>
  <si>
    <t>E001-22</t>
  </si>
  <si>
    <t>登場キャラID</t>
    <rPh sb="0" eb="2">
      <t>トウジョウ</t>
    </rPh>
    <phoneticPr fontId="1"/>
  </si>
  <si>
    <t>登場キャラ</t>
    <rPh sb="0" eb="2">
      <t>トウジョウ</t>
    </rPh>
    <phoneticPr fontId="1"/>
  </si>
  <si>
    <t>誕生年（海円暦）</t>
    <rPh sb="0" eb="3">
      <t>タンジョウ</t>
    </rPh>
    <phoneticPr fontId="1"/>
  </si>
  <si>
    <t>死亡年（海円暦）</t>
    <rPh sb="0" eb="2">
      <t>シボウ</t>
    </rPh>
    <rPh sb="2" eb="3">
      <t>タンジョウ2</t>
    </rPh>
    <phoneticPr fontId="1"/>
  </si>
  <si>
    <t>登場日</t>
    <rPh sb="0" eb="3">
      <t>トウジョウ</t>
    </rPh>
    <phoneticPr fontId="1"/>
  </si>
  <si>
    <t>退場日</t>
    <rPh sb="0" eb="3">
      <t>タイジョウ</t>
    </rPh>
    <phoneticPr fontId="1"/>
  </si>
  <si>
    <t>L-007</t>
  </si>
  <si>
    <t>不明</t>
    <rPh sb="0" eb="2">
      <t>フメイ</t>
    </rPh>
    <phoneticPr fontId="1"/>
  </si>
  <si>
    <t>フーシャ村を出航</t>
    <rPh sb="6" eb="8">
      <t>シュッコウ</t>
    </rPh>
    <phoneticPr fontId="1"/>
  </si>
  <si>
    <t>E001-23</t>
  </si>
  <si>
    <t>E001-24</t>
  </si>
  <si>
    <t>E001-25</t>
  </si>
  <si>
    <t>E001-26</t>
  </si>
  <si>
    <t>E001-27</t>
  </si>
  <si>
    <t>処刑される</t>
    <rPh sb="0" eb="2">
      <t>ショケイ</t>
    </rPh>
    <phoneticPr fontId="1"/>
  </si>
  <si>
    <t>アルビダの雑用係になる</t>
    <rPh sb="5" eb="8">
      <t>ザツヨウ</t>
    </rPh>
    <phoneticPr fontId="1"/>
  </si>
  <si>
    <t>G-001</t>
  </si>
  <si>
    <t>賞金稼ぎ</t>
    <rPh sb="0" eb="3">
      <t>ショウキn</t>
    </rPh>
    <phoneticPr fontId="1"/>
  </si>
  <si>
    <t>脱退年（通算日）</t>
    <rPh sb="0" eb="3">
      <t>ダッタイ</t>
    </rPh>
    <rPh sb="4" eb="7">
      <t>ツウサn</t>
    </rPh>
    <phoneticPr fontId="1"/>
  </si>
  <si>
    <t>磔にされる</t>
    <rPh sb="0" eb="1">
      <t>ハリツケ</t>
    </rPh>
    <phoneticPr fontId="1"/>
  </si>
  <si>
    <t>冒険の夜明け</t>
    <rPh sb="0" eb="2">
      <t>ボウケn</t>
    </rPh>
    <rPh sb="3" eb="5">
      <t>ヨアケ</t>
    </rPh>
    <phoneticPr fontId="1"/>
  </si>
  <si>
    <t>L-008</t>
  </si>
  <si>
    <t>シェルズタウン近海</t>
    <rPh sb="7" eb="9">
      <t>キンカ</t>
    </rPh>
    <phoneticPr fontId="1"/>
  </si>
  <si>
    <t>バギーの手下に会う</t>
    <rPh sb="4" eb="6">
      <t>テセィ</t>
    </rPh>
    <rPh sb="7" eb="8">
      <t xml:space="preserve">アウ </t>
    </rPh>
    <phoneticPr fontId="1"/>
  </si>
  <si>
    <t>ルフィと出会う</t>
    <rPh sb="4" eb="6">
      <t>デアウ</t>
    </rPh>
    <phoneticPr fontId="1"/>
  </si>
  <si>
    <t>仮説</t>
    <rPh sb="0" eb="2">
      <t>カセテゥ</t>
    </rPh>
    <phoneticPr fontId="1"/>
  </si>
  <si>
    <t>仮説（場所）</t>
    <rPh sb="0" eb="2">
      <t>カセテゥ</t>
    </rPh>
    <rPh sb="3" eb="5">
      <t>バショ</t>
    </rPh>
    <phoneticPr fontId="1"/>
  </si>
  <si>
    <t>仮説</t>
    <rPh sb="0" eb="1">
      <t>カセテゥ</t>
    </rPh>
    <phoneticPr fontId="1"/>
  </si>
  <si>
    <t>懸賞金</t>
    <rPh sb="0" eb="3">
      <t>ケンショウキn</t>
    </rPh>
    <phoneticPr fontId="1"/>
  </si>
  <si>
    <t>区分</t>
    <rPh sb="0" eb="2">
      <t>クブn</t>
    </rPh>
    <phoneticPr fontId="1"/>
  </si>
  <si>
    <t>通算日</t>
    <rPh sb="0" eb="3">
      <t>ツウサンブ</t>
    </rPh>
    <phoneticPr fontId="1"/>
  </si>
  <si>
    <t>通算日は仮</t>
    <rPh sb="0" eb="2">
      <t>ツウサn</t>
    </rPh>
    <rPh sb="2" eb="3">
      <t xml:space="preserve">ヒ </t>
    </rPh>
    <rPh sb="4" eb="5">
      <t xml:space="preserve">カリ </t>
    </rPh>
    <phoneticPr fontId="1"/>
  </si>
  <si>
    <t>無所属</t>
    <rPh sb="0" eb="3">
      <t>ムショゾク</t>
    </rPh>
    <phoneticPr fontId="1"/>
  </si>
  <si>
    <t>加入・脱退</t>
    <rPh sb="0" eb="1">
      <t>カニュウ</t>
    </rPh>
    <rPh sb="3" eb="5">
      <t>ダッタイ</t>
    </rPh>
    <phoneticPr fontId="1"/>
  </si>
  <si>
    <t>脱退</t>
    <rPh sb="0" eb="1">
      <t>ダッタイ</t>
    </rPh>
    <phoneticPr fontId="1"/>
  </si>
  <si>
    <t>創設</t>
    <rPh sb="0" eb="1">
      <t>ソウセテゥ</t>
    </rPh>
    <phoneticPr fontId="1"/>
  </si>
  <si>
    <t>偉大なる航路</t>
    <rPh sb="0" eb="2">
      <t>イダイ</t>
    </rPh>
    <rPh sb="4" eb="6">
      <t>コウロ</t>
    </rPh>
    <phoneticPr fontId="1"/>
  </si>
  <si>
    <t>バラバラの実</t>
    <rPh sb="5" eb="6">
      <t xml:space="preserve">ミ </t>
    </rPh>
    <phoneticPr fontId="1"/>
  </si>
  <si>
    <t>宝の地図集め</t>
    <rPh sb="0" eb="1">
      <t>タカラ</t>
    </rPh>
    <rPh sb="2" eb="4">
      <t>チズ</t>
    </rPh>
    <rPh sb="4" eb="5">
      <t>アツメ</t>
    </rPh>
    <phoneticPr fontId="1"/>
  </si>
  <si>
    <t>下町の工場長</t>
    <rPh sb="0" eb="2">
      <t>シタマティ</t>
    </rPh>
    <rPh sb="3" eb="6">
      <t>コウジョウク</t>
    </rPh>
    <phoneticPr fontId="1"/>
  </si>
  <si>
    <t>夏島の冬</t>
    <rPh sb="0" eb="2">
      <t>ナテゥ</t>
    </rPh>
    <rPh sb="3" eb="4">
      <t>フユ</t>
    </rPh>
    <phoneticPr fontId="1"/>
  </si>
  <si>
    <t>元ロジャー海賊団見習い/元王下七武海/四皇</t>
    <rPh sb="0" eb="1">
      <t>モト</t>
    </rPh>
    <rPh sb="5" eb="8">
      <t>カイゾク</t>
    </rPh>
    <rPh sb="8" eb="10">
      <t>m</t>
    </rPh>
    <rPh sb="12" eb="13">
      <t>モト</t>
    </rPh>
    <rPh sb="13" eb="14">
      <t xml:space="preserve">オウカ </t>
    </rPh>
    <rPh sb="14" eb="15">
      <t xml:space="preserve">シタ </t>
    </rPh>
    <rPh sb="15" eb="18">
      <t>シチブカイ</t>
    </rPh>
    <rPh sb="19" eb="21">
      <t>ヨンコウ</t>
    </rPh>
    <phoneticPr fontId="1"/>
  </si>
  <si>
    <t>どーも君</t>
    <rPh sb="3" eb="4">
      <t>クン</t>
    </rPh>
    <phoneticPr fontId="1"/>
  </si>
  <si>
    <t>ー</t>
    <phoneticPr fontId="1"/>
  </si>
  <si>
    <t>宇宙人</t>
    <rPh sb="0" eb="3">
      <t>ウチュウ</t>
    </rPh>
    <phoneticPr fontId="1"/>
  </si>
  <si>
    <t>ンーケ君という仲間がいる</t>
    <rPh sb="3" eb="4">
      <t xml:space="preserve">クン </t>
    </rPh>
    <rPh sb="7" eb="9">
      <t>ナカ</t>
    </rPh>
    <phoneticPr fontId="1"/>
  </si>
  <si>
    <t>軽業フワーズ</t>
    <rPh sb="0" eb="2">
      <t>カルワザ</t>
    </rPh>
    <phoneticPr fontId="1"/>
  </si>
  <si>
    <t>軽やかにナミを襲った四人組</t>
    <rPh sb="0" eb="1">
      <t>カロヤカ</t>
    </rPh>
    <rPh sb="7" eb="8">
      <t>オソッタ</t>
    </rPh>
    <rPh sb="10" eb="13">
      <t>ヨニ</t>
    </rPh>
    <phoneticPr fontId="1"/>
  </si>
  <si>
    <t>モージ</t>
  </si>
  <si>
    <t>ビッグトップ号</t>
    <rPh sb="6" eb="7">
      <t>ゴウ</t>
    </rPh>
    <phoneticPr fontId="1"/>
  </si>
  <si>
    <t>猛獣使いのモージ</t>
    <rPh sb="0" eb="3">
      <t>モウジュウ</t>
    </rPh>
    <phoneticPr fontId="1"/>
  </si>
  <si>
    <t>肉</t>
    <rPh sb="0" eb="1">
      <t>ニク</t>
    </rPh>
    <phoneticPr fontId="1"/>
  </si>
  <si>
    <t>オレンジの町</t>
    <rPh sb="5" eb="6">
      <t>マティ</t>
    </rPh>
    <phoneticPr fontId="1"/>
  </si>
  <si>
    <t>店番</t>
    <rPh sb="0" eb="2">
      <t>ミセバn</t>
    </rPh>
    <phoneticPr fontId="1"/>
  </si>
  <si>
    <t>犬（人間で言うと78歳）</t>
    <rPh sb="0" eb="1">
      <t>イヌ</t>
    </rPh>
    <rPh sb="2" eb="4">
      <t>ニn</t>
    </rPh>
    <rPh sb="5" eb="6">
      <t>イウト</t>
    </rPh>
    <rPh sb="10" eb="11">
      <t>サイ</t>
    </rPh>
    <phoneticPr fontId="1"/>
  </si>
  <si>
    <t>ブードル</t>
  </si>
  <si>
    <t>町長</t>
    <rPh sb="0" eb="2">
      <t>チョウチョウ</t>
    </rPh>
    <phoneticPr fontId="1"/>
  </si>
  <si>
    <t>ペットフード店</t>
    <rPh sb="6" eb="7">
      <t>テn</t>
    </rPh>
    <phoneticPr fontId="1"/>
  </si>
  <si>
    <t>店長</t>
    <rPh sb="0" eb="2">
      <t>テンチョウ</t>
    </rPh>
    <phoneticPr fontId="1"/>
  </si>
  <si>
    <t>本屋</t>
    <rPh sb="0" eb="2">
      <t>ホンヤ</t>
    </rPh>
    <phoneticPr fontId="1"/>
  </si>
  <si>
    <t>避難所にいて町民の統率をとっていた人</t>
    <rPh sb="0" eb="3">
      <t>ヒナn</t>
    </rPh>
    <rPh sb="6" eb="8">
      <t>チョウミn</t>
    </rPh>
    <rPh sb="9" eb="11">
      <t>トウソテゥ</t>
    </rPh>
    <phoneticPr fontId="1"/>
  </si>
  <si>
    <t>カバジ</t>
  </si>
  <si>
    <t>曲芸のカバジ</t>
    <rPh sb="0" eb="2">
      <t>キョクゲイ</t>
    </rPh>
    <phoneticPr fontId="1"/>
  </si>
  <si>
    <t>参謀長</t>
    <rPh sb="0" eb="3">
      <t>サンボウ</t>
    </rPh>
    <phoneticPr fontId="1"/>
  </si>
  <si>
    <t>ホットドック</t>
  </si>
  <si>
    <t>トマト</t>
  </si>
  <si>
    <t>パンダ</t>
  </si>
  <si>
    <t>オダマキ</t>
  </si>
  <si>
    <t>つけもの</t>
  </si>
  <si>
    <t>リッチー</t>
  </si>
  <si>
    <t>シュシュ</t>
  </si>
  <si>
    <t>オレンジの町</t>
  </si>
  <si>
    <t>ドッグフード</t>
  </si>
  <si>
    <t>サーモン</t>
  </si>
  <si>
    <t>ホッカー</t>
  </si>
  <si>
    <t>ポロ</t>
  </si>
  <si>
    <t>ポップコーン</t>
  </si>
  <si>
    <t>バギー</t>
    <phoneticPr fontId="1"/>
  </si>
  <si>
    <t>今の年齢</t>
    <rPh sb="0" eb="1">
      <t>イマ</t>
    </rPh>
    <rPh sb="2" eb="4">
      <t>ネn</t>
    </rPh>
    <phoneticPr fontId="1"/>
  </si>
  <si>
    <t>C002-01</t>
  </si>
  <si>
    <t>C002-01</t>
    <phoneticPr fontId="1"/>
  </si>
  <si>
    <t>C002-02</t>
  </si>
  <si>
    <t>C002-03</t>
  </si>
  <si>
    <t>C002-04</t>
  </si>
  <si>
    <t>C002-05</t>
  </si>
  <si>
    <t>C002-06</t>
  </si>
  <si>
    <t>C002-07</t>
  </si>
  <si>
    <t>C002-08</t>
  </si>
  <si>
    <t>C002-09</t>
  </si>
  <si>
    <t>C002-10</t>
  </si>
  <si>
    <t>ゴーイング・メリー号</t>
    <rPh sb="9" eb="10">
      <t>ゴウ</t>
    </rPh>
    <phoneticPr fontId="1"/>
  </si>
  <si>
    <t>S-002</t>
  </si>
  <si>
    <t>S-003</t>
  </si>
  <si>
    <t>S-004</t>
  </si>
  <si>
    <t>S-005</t>
  </si>
  <si>
    <t>S-006</t>
  </si>
  <si>
    <t>S-007</t>
  </si>
  <si>
    <t>S-008</t>
  </si>
  <si>
    <t>S-009</t>
  </si>
  <si>
    <t>S-010</t>
  </si>
  <si>
    <t>道化のバギー</t>
    <rPh sb="0" eb="2">
      <t>ドウケノ</t>
    </rPh>
    <phoneticPr fontId="1"/>
  </si>
  <si>
    <t>F-002</t>
  </si>
  <si>
    <t>バギー海賊団</t>
    <rPh sb="3" eb="6">
      <t>カイゾクダン</t>
    </rPh>
    <phoneticPr fontId="1"/>
  </si>
  <si>
    <t>-</t>
    <phoneticPr fontId="1"/>
  </si>
  <si>
    <t>宇宙人</t>
    <rPh sb="0" eb="3">
      <t>ウチュウジン</t>
    </rPh>
    <phoneticPr fontId="1"/>
  </si>
  <si>
    <t>ライオン</t>
    <phoneticPr fontId="1"/>
  </si>
  <si>
    <t>犬</t>
    <rPh sb="0" eb="1">
      <t>イヌ</t>
    </rPh>
    <phoneticPr fontId="1"/>
  </si>
  <si>
    <t>B</t>
  </si>
  <si>
    <t>C</t>
  </si>
  <si>
    <t>”魔性の女”</t>
    <rPh sb="1" eb="3">
      <t>マショウ</t>
    </rPh>
    <rPh sb="4" eb="5">
      <t>オンナ</t>
    </rPh>
    <phoneticPr fontId="1"/>
  </si>
  <si>
    <t>”酒場の一件”</t>
    <rPh sb="1" eb="3">
      <t>サカバ</t>
    </rPh>
    <rPh sb="4" eb="6">
      <t>イッケn</t>
    </rPh>
    <phoneticPr fontId="1"/>
  </si>
  <si>
    <t>”敗走”</t>
    <rPh sb="1" eb="3">
      <t xml:space="preserve">ハイソウ </t>
    </rPh>
    <phoneticPr fontId="1"/>
  </si>
  <si>
    <t>”犬”</t>
    <rPh sb="1" eb="2">
      <t>イヌ</t>
    </rPh>
    <phoneticPr fontId="1"/>
  </si>
  <si>
    <t>”宝物”</t>
    <rPh sb="1" eb="3">
      <t>タカラ</t>
    </rPh>
    <phoneticPr fontId="1"/>
  </si>
  <si>
    <t>”無謀っ！！”</t>
    <rPh sb="1" eb="3">
      <t>ムボウ</t>
    </rPh>
    <phoneticPr fontId="1"/>
  </si>
  <si>
    <t>”GONG”</t>
    <phoneticPr fontId="1"/>
  </si>
  <si>
    <t>”VERSUS!!バギー海賊団”</t>
    <rPh sb="12" eb="15">
      <t>カイゾク</t>
    </rPh>
    <phoneticPr fontId="1"/>
  </si>
  <si>
    <t>”格”</t>
    <rPh sb="1" eb="2">
      <t xml:space="preserve">カク </t>
    </rPh>
    <phoneticPr fontId="1"/>
  </si>
  <si>
    <t>特製バギー玉</t>
    <rPh sb="0" eb="2">
      <t xml:space="preserve">トクセイゔ </t>
    </rPh>
    <phoneticPr fontId="1"/>
  </si>
  <si>
    <t>M-004</t>
  </si>
  <si>
    <t>射撃</t>
    <rPh sb="0" eb="2">
      <t>シャゲキ</t>
    </rPh>
    <phoneticPr fontId="1"/>
  </si>
  <si>
    <t>F-002</t>
    <phoneticPr fontId="1"/>
  </si>
  <si>
    <t>バラバラ砲</t>
    <rPh sb="4" eb="5">
      <t xml:space="preserve">ホウ </t>
    </rPh>
    <phoneticPr fontId="1"/>
  </si>
  <si>
    <t>ゴムゴムの槌（ツチ）</t>
    <rPh sb="5" eb="6">
      <t xml:space="preserve">ツチ </t>
    </rPh>
    <phoneticPr fontId="1"/>
  </si>
  <si>
    <t>ゴムゴムの風船</t>
    <rPh sb="5" eb="7">
      <t>フウ</t>
    </rPh>
    <phoneticPr fontId="1"/>
  </si>
  <si>
    <t>特殊</t>
    <rPh sb="0" eb="2">
      <t>トクシュ</t>
    </rPh>
    <phoneticPr fontId="1"/>
  </si>
  <si>
    <t>曲技”火事おやじ”</t>
    <rPh sb="0" eb="2">
      <t>キョク</t>
    </rPh>
    <rPh sb="3" eb="5">
      <t xml:space="preserve">カジ </t>
    </rPh>
    <phoneticPr fontId="1"/>
  </si>
  <si>
    <t>曲技”湯けむり殺人事件”</t>
    <rPh sb="0" eb="2">
      <t>キョク</t>
    </rPh>
    <rPh sb="3" eb="4">
      <t xml:space="preserve">ユケムリ </t>
    </rPh>
    <rPh sb="7" eb="11">
      <t>サツジn</t>
    </rPh>
    <phoneticPr fontId="1"/>
  </si>
  <si>
    <t>曲技”カミカゼ百コマ劇場”</t>
    <rPh sb="0" eb="2">
      <t>キョク</t>
    </rPh>
    <rPh sb="7" eb="8">
      <t>ヒャッコ</t>
    </rPh>
    <rPh sb="10" eb="12">
      <t>ゲキジョウ</t>
    </rPh>
    <phoneticPr fontId="1"/>
  </si>
  <si>
    <t>曲技”山登ろー”</t>
    <rPh sb="0" eb="2">
      <t>キョク</t>
    </rPh>
    <rPh sb="3" eb="5">
      <t>ヤマ</t>
    </rPh>
    <phoneticPr fontId="1"/>
  </si>
  <si>
    <t>曲技”納涼打ち上げ花火”</t>
    <rPh sb="0" eb="2">
      <t>キョク</t>
    </rPh>
    <rPh sb="3" eb="5">
      <t>ノウリョウ</t>
    </rPh>
    <rPh sb="5" eb="6">
      <t>ウチアゲ</t>
    </rPh>
    <phoneticPr fontId="1"/>
  </si>
  <si>
    <t>”一輪刺し”</t>
    <rPh sb="1" eb="4">
      <t>イチリn</t>
    </rPh>
    <phoneticPr fontId="1"/>
  </si>
  <si>
    <t>斬撃</t>
    <rPh sb="0" eb="2">
      <t>ザンゲキ</t>
    </rPh>
    <phoneticPr fontId="1"/>
  </si>
  <si>
    <t>地をはう”バラバラ砲”</t>
    <rPh sb="0" eb="1">
      <t>チヲ</t>
    </rPh>
    <rPh sb="9" eb="10">
      <t xml:space="preserve">ホウ </t>
    </rPh>
    <phoneticPr fontId="1"/>
  </si>
  <si>
    <t>鬼斬り</t>
  </si>
  <si>
    <t>M-005</t>
  </si>
  <si>
    <t>M-006</t>
  </si>
  <si>
    <t>M-007</t>
  </si>
  <si>
    <t>M-008</t>
  </si>
  <si>
    <t>M-009</t>
  </si>
  <si>
    <t>M-010</t>
  </si>
  <si>
    <t>M-011</t>
  </si>
  <si>
    <t>M-012</t>
  </si>
  <si>
    <t>M-013</t>
  </si>
  <si>
    <t>M-014</t>
  </si>
  <si>
    <t>M-015</t>
  </si>
  <si>
    <t>E001-07</t>
  </si>
  <si>
    <t>E001-09</t>
  </si>
  <si>
    <t>E001-28</t>
  </si>
  <si>
    <t>E001-29</t>
  </si>
  <si>
    <t>E001-30</t>
  </si>
  <si>
    <t>E001-31</t>
  </si>
  <si>
    <t>E001-32</t>
  </si>
  <si>
    <t>E001-33</t>
  </si>
  <si>
    <t>海賊専門泥棒</t>
    <rPh sb="0" eb="4">
      <t>カイゾクセンモン</t>
    </rPh>
    <rPh sb="4" eb="6">
      <t>ドロボウ</t>
    </rPh>
    <phoneticPr fontId="1"/>
  </si>
  <si>
    <t>泥棒</t>
    <rPh sb="0" eb="2">
      <t>ドロボウ</t>
    </rPh>
    <phoneticPr fontId="1"/>
  </si>
  <si>
    <t>オレンジの町に到着</t>
    <rPh sb="5" eb="6">
      <t>マチ</t>
    </rPh>
    <rPh sb="7" eb="9">
      <t>トウチャク</t>
    </rPh>
    <phoneticPr fontId="1"/>
  </si>
  <si>
    <t>通算日</t>
    <rPh sb="0" eb="3">
      <t>ツウサンビ</t>
    </rPh>
    <phoneticPr fontId="1"/>
  </si>
  <si>
    <t>L-006</t>
    <phoneticPr fontId="1"/>
  </si>
  <si>
    <t>B001-06</t>
  </si>
  <si>
    <t>B001-07</t>
  </si>
  <si>
    <t>技ID</t>
    <rPh sb="0" eb="1">
      <t>ワザ</t>
    </rPh>
    <phoneticPr fontId="1"/>
  </si>
  <si>
    <t>海賊専門泥棒</t>
    <rPh sb="0" eb="6">
      <t>カイゾクセンモンドロボウ</t>
    </rPh>
    <phoneticPr fontId="1"/>
  </si>
  <si>
    <t>船長</t>
    <rPh sb="0" eb="2">
      <t>センチョウ</t>
    </rPh>
    <phoneticPr fontId="1"/>
  </si>
  <si>
    <t>E001-34</t>
  </si>
  <si>
    <t>ペットフード店開店</t>
    <phoneticPr fontId="1"/>
  </si>
  <si>
    <t>ペットフード店の店主が亡くなる</t>
    <rPh sb="8" eb="10">
      <t>テンシュ</t>
    </rPh>
    <rPh sb="11" eb="12">
      <t>ナ</t>
    </rPh>
    <phoneticPr fontId="1"/>
  </si>
  <si>
    <t>曲芸のカバジ</t>
    <rPh sb="0" eb="2">
      <t>キョクゲイ</t>
    </rPh>
    <phoneticPr fontId="1"/>
  </si>
  <si>
    <t>バギー海賊団と戦い勝利する</t>
    <rPh sb="3" eb="6">
      <t>カイゾクダン</t>
    </rPh>
    <rPh sb="7" eb="8">
      <t>タタカ</t>
    </rPh>
    <rPh sb="9" eb="11">
      <t>ショウリ</t>
    </rPh>
    <phoneticPr fontId="1"/>
  </si>
  <si>
    <t>麦わらの一味に敗北する</t>
    <rPh sb="0" eb="1">
      <t>ムギ</t>
    </rPh>
    <rPh sb="4" eb="6">
      <t>イチミ</t>
    </rPh>
    <rPh sb="7" eb="9">
      <t>ハイボク</t>
    </rPh>
    <phoneticPr fontId="1"/>
  </si>
  <si>
    <t>C002-04</t>
    <phoneticPr fontId="1"/>
  </si>
  <si>
    <t>C002-10</t>
    <phoneticPr fontId="1"/>
  </si>
  <si>
    <t>海賊にやられ、荒れ地になった土地に町を興す</t>
    <rPh sb="0" eb="2">
      <t>カイゾク</t>
    </rPh>
    <rPh sb="7" eb="8">
      <t>ア</t>
    </rPh>
    <rPh sb="9" eb="10">
      <t>チ</t>
    </rPh>
    <rPh sb="14" eb="16">
      <t>トチ</t>
    </rPh>
    <rPh sb="17" eb="18">
      <t>マチ</t>
    </rPh>
    <rPh sb="19" eb="20">
      <t>オコ</t>
    </rPh>
    <phoneticPr fontId="1"/>
  </si>
  <si>
    <t>なし</t>
    <phoneticPr fontId="1"/>
  </si>
  <si>
    <t>ココックス</t>
    <phoneticPr fontId="1"/>
  </si>
  <si>
    <t>珍獣島</t>
    <rPh sb="0" eb="2">
      <t>チンジュウ</t>
    </rPh>
    <rPh sb="2" eb="3">
      <t>シマ</t>
    </rPh>
    <phoneticPr fontId="1"/>
  </si>
  <si>
    <t>珍獣</t>
    <rPh sb="0" eb="2">
      <t>チンジュウ</t>
    </rPh>
    <phoneticPr fontId="1"/>
  </si>
  <si>
    <t>ニワトリとイヌの特徴「コケコッコー」と鳴く</t>
    <rPh sb="8" eb="10">
      <t>トクチョウ</t>
    </rPh>
    <rPh sb="19" eb="20">
      <t xml:space="preserve">ナク </t>
    </rPh>
    <phoneticPr fontId="1"/>
  </si>
  <si>
    <t>ガイモン</t>
  </si>
  <si>
    <t>マチナ・ハレルヤ号</t>
    <rPh sb="8" eb="9">
      <t>ゴウ</t>
    </rPh>
    <phoneticPr fontId="1"/>
  </si>
  <si>
    <t>住民</t>
    <rPh sb="0" eb="2">
      <t>ジュウミn</t>
    </rPh>
    <phoneticPr fontId="1"/>
  </si>
  <si>
    <t>珍獣島で採れるメロン</t>
    <rPh sb="0" eb="2">
      <t>チンジュ</t>
    </rPh>
    <rPh sb="4" eb="5">
      <t xml:space="preserve">トレル </t>
    </rPh>
    <phoneticPr fontId="1"/>
  </si>
  <si>
    <t>元海賊</t>
    <rPh sb="0" eb="3">
      <t>モトカイ</t>
    </rPh>
    <phoneticPr fontId="1"/>
  </si>
  <si>
    <t>モーニン</t>
    <phoneticPr fontId="1"/>
  </si>
  <si>
    <t>朝はコーヒー派</t>
    <rPh sb="0" eb="1">
      <t>アサ</t>
    </rPh>
    <rPh sb="6" eb="7">
      <t xml:space="preserve">ハ </t>
    </rPh>
    <phoneticPr fontId="1"/>
  </si>
  <si>
    <t>にんじん</t>
  </si>
  <si>
    <t>ウソップ海賊団</t>
    <rPh sb="4" eb="7">
      <t>カイゾク</t>
    </rPh>
    <phoneticPr fontId="1"/>
  </si>
  <si>
    <t>団員</t>
    <rPh sb="0" eb="2">
      <t>ダンイn</t>
    </rPh>
    <phoneticPr fontId="1"/>
  </si>
  <si>
    <t>にんじんジュース</t>
    <phoneticPr fontId="1"/>
  </si>
  <si>
    <t>夢：酒場を経営</t>
    <rPh sb="0" eb="1">
      <t>ユメ</t>
    </rPh>
    <rPh sb="1" eb="2">
      <t>：</t>
    </rPh>
    <rPh sb="2" eb="4">
      <t>サカバ</t>
    </rPh>
    <rPh sb="5" eb="7">
      <t>ケイエイ</t>
    </rPh>
    <phoneticPr fontId="1"/>
  </si>
  <si>
    <t>ピーマン</t>
  </si>
  <si>
    <t>XF</t>
    <phoneticPr fontId="1"/>
  </si>
  <si>
    <t>ピーマンの肉詰め</t>
    <rPh sb="5" eb="7">
      <t>ニク</t>
    </rPh>
    <phoneticPr fontId="1"/>
  </si>
  <si>
    <t>夢：大工の棟梁</t>
    <rPh sb="0" eb="1">
      <t>ユメ</t>
    </rPh>
    <rPh sb="2" eb="4">
      <t>ダイク</t>
    </rPh>
    <rPh sb="5" eb="7">
      <t>トウリョウ</t>
    </rPh>
    <phoneticPr fontId="1"/>
  </si>
  <si>
    <t>たまねぎ</t>
  </si>
  <si>
    <t>S</t>
    <phoneticPr fontId="1"/>
  </si>
  <si>
    <t>オニオンリングフライ</t>
    <phoneticPr fontId="1"/>
  </si>
  <si>
    <t>夢：小説家</t>
    <rPh sb="0" eb="1">
      <t>ユメ</t>
    </rPh>
    <rPh sb="2" eb="5">
      <t>ショウセテゥ</t>
    </rPh>
    <phoneticPr fontId="1"/>
  </si>
  <si>
    <t>クロ</t>
  </si>
  <si>
    <t>べザン・ブラック号</t>
    <rPh sb="8" eb="9">
      <t>ゴウ</t>
    </rPh>
    <phoneticPr fontId="1"/>
  </si>
  <si>
    <t>百計のクロ</t>
    <rPh sb="0" eb="1">
      <t>ヒャッケイ</t>
    </rPh>
    <rPh sb="1" eb="2">
      <t>ケイカク</t>
    </rPh>
    <phoneticPr fontId="1"/>
  </si>
  <si>
    <t>クロネコ海賊団</t>
    <rPh sb="4" eb="7">
      <t>カイゾク</t>
    </rPh>
    <phoneticPr fontId="1"/>
  </si>
  <si>
    <t>元船長</t>
    <rPh sb="0" eb="1">
      <t>モト</t>
    </rPh>
    <rPh sb="1" eb="3">
      <t>センチョウ</t>
    </rPh>
    <phoneticPr fontId="1"/>
  </si>
  <si>
    <t>猫の手</t>
    <rPh sb="0" eb="1">
      <t>ネコン</t>
    </rPh>
    <phoneticPr fontId="1"/>
  </si>
  <si>
    <t>バナナ</t>
    <phoneticPr fontId="1"/>
  </si>
  <si>
    <t>クラハドール</t>
    <phoneticPr fontId="1"/>
  </si>
  <si>
    <t>カヤ</t>
  </si>
  <si>
    <t>屋敷の主</t>
    <rPh sb="0" eb="2">
      <t>ヤシキ</t>
    </rPh>
    <rPh sb="3" eb="4">
      <t>アルジ</t>
    </rPh>
    <phoneticPr fontId="1"/>
  </si>
  <si>
    <t>F</t>
    <phoneticPr fontId="1"/>
  </si>
  <si>
    <t>魚介類</t>
    <rPh sb="0" eb="3">
      <t>ギョカイ</t>
    </rPh>
    <phoneticPr fontId="1"/>
  </si>
  <si>
    <t>医者志望</t>
    <rPh sb="0" eb="2">
      <t>イシャ</t>
    </rPh>
    <rPh sb="2" eb="4">
      <t>シボウ</t>
    </rPh>
    <phoneticPr fontId="1"/>
  </si>
  <si>
    <t>門番</t>
    <rPh sb="0" eb="2">
      <t>モンバn</t>
    </rPh>
    <phoneticPr fontId="1"/>
  </si>
  <si>
    <t>門番派遣会社「テッスル」</t>
    <rPh sb="0" eb="4">
      <t xml:space="preserve">モンバンハケン </t>
    </rPh>
    <rPh sb="4" eb="6">
      <t>カイ</t>
    </rPh>
    <phoneticPr fontId="1"/>
  </si>
  <si>
    <t>社員</t>
    <rPh sb="0" eb="2">
      <t>シャイn</t>
    </rPh>
    <phoneticPr fontId="1"/>
  </si>
  <si>
    <t>カヤの屋敷の門番</t>
    <rPh sb="3" eb="5">
      <t>ヤシキ</t>
    </rPh>
    <rPh sb="6" eb="8">
      <t>モンバn</t>
    </rPh>
    <phoneticPr fontId="1"/>
  </si>
  <si>
    <t>メリー</t>
    <phoneticPr fontId="1"/>
  </si>
  <si>
    <t>カヤの執事</t>
    <rPh sb="3" eb="5">
      <t>シツジ</t>
    </rPh>
    <phoneticPr fontId="1"/>
  </si>
  <si>
    <t>ジャンゴ</t>
  </si>
  <si>
    <t>チャクラム</t>
    <phoneticPr fontId="1"/>
  </si>
  <si>
    <t>キノコのスパゲティ</t>
    <phoneticPr fontId="1"/>
  </si>
  <si>
    <t>元海賊/1・2のジャンゴ/ダンサーから海賊に転身歴あり</t>
    <rPh sb="0" eb="3">
      <t>モトカイ</t>
    </rPh>
    <rPh sb="19" eb="21">
      <t>カイゾク</t>
    </rPh>
    <rPh sb="22" eb="24">
      <t>テンシn</t>
    </rPh>
    <phoneticPr fontId="1"/>
  </si>
  <si>
    <t>秋島のサンマ、旬の魚が大好き</t>
    <rPh sb="0" eb="1">
      <t xml:space="preserve">アキジマ </t>
    </rPh>
    <rPh sb="1" eb="2">
      <t xml:space="preserve">シマ </t>
    </rPh>
    <rPh sb="7" eb="8">
      <t>シュn</t>
    </rPh>
    <rPh sb="9" eb="10">
      <t>サカナ</t>
    </rPh>
    <rPh sb="11" eb="13">
      <t>ダイスキ</t>
    </rPh>
    <phoneticPr fontId="1"/>
  </si>
  <si>
    <t>キノコ類（当たった事がある）</t>
    <rPh sb="3" eb="4">
      <t>ルイ</t>
    </rPh>
    <rPh sb="5" eb="6">
      <t xml:space="preserve">アタッタ </t>
    </rPh>
    <rPh sb="9" eb="10">
      <t xml:space="preserve">コトガ </t>
    </rPh>
    <phoneticPr fontId="1"/>
  </si>
  <si>
    <t>アルマジロ</t>
    <phoneticPr fontId="1"/>
  </si>
  <si>
    <t>そげキング/ウソップ海賊団・船長</t>
    <rPh sb="10" eb="13">
      <t>カイゾク</t>
    </rPh>
    <rPh sb="14" eb="16">
      <t>センチョウ</t>
    </rPh>
    <phoneticPr fontId="1"/>
  </si>
  <si>
    <t>C003-01</t>
    <phoneticPr fontId="1"/>
  </si>
  <si>
    <t>C003-02</t>
  </si>
  <si>
    <t>C003-03</t>
  </si>
  <si>
    <t>C003-04</t>
  </si>
  <si>
    <t>C003-05</t>
  </si>
  <si>
    <t>C003-06</t>
  </si>
  <si>
    <t>C003-07</t>
  </si>
  <si>
    <t>C003-08</t>
  </si>
  <si>
    <t>C003-09</t>
  </si>
  <si>
    <t>C003-10</t>
  </si>
  <si>
    <t>C003-11</t>
  </si>
  <si>
    <t>C003-12</t>
  </si>
  <si>
    <t>ウソップ</t>
    <phoneticPr fontId="1"/>
  </si>
  <si>
    <t>L-009</t>
  </si>
  <si>
    <t>L-010</t>
  </si>
  <si>
    <t>珍獣島</t>
    <rPh sb="0" eb="3">
      <t>チンジュウシマ</t>
    </rPh>
    <phoneticPr fontId="1"/>
  </si>
  <si>
    <t>ゲッコー諸島</t>
    <rPh sb="4" eb="6">
      <t>ショトウ</t>
    </rPh>
    <phoneticPr fontId="1"/>
  </si>
  <si>
    <t>1・2のジャンゴ</t>
  </si>
  <si>
    <t>船長</t>
    <rPh sb="0" eb="2">
      <t>センチョウ</t>
    </rPh>
    <phoneticPr fontId="1"/>
  </si>
  <si>
    <t>ウソップ海賊団</t>
    <rPh sb="4" eb="7">
      <t>カイゾクダン</t>
    </rPh>
    <phoneticPr fontId="1"/>
  </si>
  <si>
    <t>市民</t>
    <rPh sb="0" eb="2">
      <t>シミン</t>
    </rPh>
    <phoneticPr fontId="1"/>
  </si>
  <si>
    <t>G-011</t>
  </si>
  <si>
    <t>-</t>
    <phoneticPr fontId="1"/>
  </si>
  <si>
    <t>珍獣</t>
    <rPh sb="0" eb="2">
      <t>チンジュウ</t>
    </rPh>
    <phoneticPr fontId="1"/>
  </si>
  <si>
    <t>元海賊</t>
    <rPh sb="0" eb="1">
      <t>モト</t>
    </rPh>
    <rPh sb="1" eb="3">
      <t>カイゾク</t>
    </rPh>
    <phoneticPr fontId="1"/>
  </si>
  <si>
    <t>海賊</t>
    <rPh sb="0" eb="2">
      <t>カイゾク</t>
    </rPh>
    <phoneticPr fontId="1"/>
  </si>
  <si>
    <t>C</t>
    <phoneticPr fontId="1"/>
  </si>
  <si>
    <t>B</t>
    <phoneticPr fontId="1"/>
  </si>
  <si>
    <t>A</t>
    <phoneticPr fontId="1"/>
  </si>
  <si>
    <t>海賊”道化のバギー”</t>
    <rPh sb="0" eb="1">
      <t>カイゾク</t>
    </rPh>
    <rPh sb="3" eb="5">
      <t xml:space="preserve">ドウケ </t>
    </rPh>
    <phoneticPr fontId="1"/>
  </si>
  <si>
    <t>”悪魔の実”</t>
    <rPh sb="1" eb="3">
      <t>アクマ</t>
    </rPh>
    <phoneticPr fontId="1"/>
  </si>
  <si>
    <t>”泥棒道”</t>
    <rPh sb="1" eb="3">
      <t>ドロボウ</t>
    </rPh>
    <rPh sb="3" eb="4">
      <t>ミティ</t>
    </rPh>
    <phoneticPr fontId="1"/>
  </si>
  <si>
    <t>”町”</t>
    <rPh sb="1" eb="2">
      <t>マティ</t>
    </rPh>
    <phoneticPr fontId="1"/>
  </si>
  <si>
    <t>”あんたが珍獣”</t>
    <rPh sb="5" eb="7">
      <t>チンジュウ</t>
    </rPh>
    <phoneticPr fontId="1"/>
  </si>
  <si>
    <t>”キャプテン・ウソップ登場”</t>
    <rPh sb="11" eb="13">
      <t>トウジョウ</t>
    </rPh>
    <phoneticPr fontId="1"/>
  </si>
  <si>
    <t>”偽れぬもの”</t>
    <rPh sb="1" eb="2">
      <t>イツワレ</t>
    </rPh>
    <phoneticPr fontId="1"/>
  </si>
  <si>
    <t>”ウソ８００”</t>
  </si>
  <si>
    <t>”キャプテン・クロの一計”</t>
    <rPh sb="10" eb="12">
      <t>イッケイ</t>
    </rPh>
    <phoneticPr fontId="1"/>
  </si>
  <si>
    <t>VS.クロネコ海賊団</t>
    <rPh sb="7" eb="10">
      <t>カイゾクダン</t>
    </rPh>
    <phoneticPr fontId="1"/>
  </si>
  <si>
    <t>シロップ村</t>
    <rPh sb="4" eb="5">
      <t>ムラ</t>
    </rPh>
    <phoneticPr fontId="1"/>
  </si>
  <si>
    <t>M-016</t>
  </si>
  <si>
    <t>M-017</t>
  </si>
  <si>
    <t>M-018</t>
  </si>
  <si>
    <t>M-019</t>
  </si>
  <si>
    <t>M-020</t>
  </si>
  <si>
    <t>バラバラせんべい</t>
    <phoneticPr fontId="1"/>
  </si>
  <si>
    <t>バラバラ緊急脱出</t>
    <rPh sb="4" eb="8">
      <t>キンキュウ</t>
    </rPh>
    <phoneticPr fontId="1"/>
  </si>
  <si>
    <t>バラバラ砲・切り離し</t>
    <rPh sb="4" eb="5">
      <t xml:space="preserve">ホウ </t>
    </rPh>
    <rPh sb="6" eb="7">
      <t>キ</t>
    </rPh>
    <rPh sb="8" eb="9">
      <t>ハナ</t>
    </rPh>
    <phoneticPr fontId="1"/>
  </si>
  <si>
    <t>ゴムゴムの鎌</t>
    <rPh sb="5" eb="6">
      <t xml:space="preserve">カマ </t>
    </rPh>
    <phoneticPr fontId="1"/>
  </si>
  <si>
    <t>バラバラフェスティバル</t>
    <phoneticPr fontId="1"/>
  </si>
  <si>
    <t>M-021</t>
  </si>
  <si>
    <t>M-022</t>
  </si>
  <si>
    <t>ゴムゴムのバズーカ</t>
    <phoneticPr fontId="1"/>
  </si>
  <si>
    <t>ワン・ツー・ジャンゴ</t>
    <phoneticPr fontId="1"/>
  </si>
  <si>
    <t>E001-35</t>
  </si>
  <si>
    <t>E001-36</t>
  </si>
  <si>
    <t>E001-37</t>
  </si>
  <si>
    <t>E001-38</t>
  </si>
  <si>
    <t>E001-39</t>
  </si>
  <si>
    <t>E001-40</t>
  </si>
  <si>
    <t>E001-41</t>
  </si>
  <si>
    <t>E001-42</t>
  </si>
  <si>
    <t>E001-43</t>
  </si>
  <si>
    <t>バラバラの実を食べる</t>
    <rPh sb="5" eb="6">
      <t>ミ</t>
    </rPh>
    <rPh sb="7" eb="8">
      <t>タ</t>
    </rPh>
    <phoneticPr fontId="1"/>
  </si>
  <si>
    <t>北極と南極のどっちが寒いか言い争う</t>
    <rPh sb="0" eb="2">
      <t>ホッキョク</t>
    </rPh>
    <rPh sb="3" eb="5">
      <t>ナンキョク</t>
    </rPh>
    <rPh sb="10" eb="11">
      <t>サム</t>
    </rPh>
    <rPh sb="13" eb="14">
      <t>イ</t>
    </rPh>
    <rPh sb="15" eb="16">
      <t>アラソ</t>
    </rPh>
    <phoneticPr fontId="1"/>
  </si>
  <si>
    <t>L-011</t>
  </si>
  <si>
    <t>L-012</t>
  </si>
  <si>
    <t>オレンジの町近海</t>
    <rPh sb="5" eb="6">
      <t xml:space="preserve">マチ </t>
    </rPh>
    <rPh sb="6" eb="8">
      <t>キンカイ</t>
    </rPh>
    <phoneticPr fontId="1"/>
  </si>
  <si>
    <t>ルフィに吹っ飛ばされる</t>
    <rPh sb="4" eb="5">
      <t>フ</t>
    </rPh>
    <rPh sb="6" eb="7">
      <t>ト</t>
    </rPh>
    <phoneticPr fontId="1"/>
  </si>
  <si>
    <t>珍獣島に到達</t>
    <rPh sb="0" eb="3">
      <t>チンジュウジマ</t>
    </rPh>
    <rPh sb="4" eb="6">
      <t>トウタツ</t>
    </rPh>
    <phoneticPr fontId="1"/>
  </si>
  <si>
    <t>ルフィらに会う</t>
    <rPh sb="5" eb="6">
      <t>ア</t>
    </rPh>
    <phoneticPr fontId="1"/>
  </si>
  <si>
    <t>シロップ村に上陸する</t>
    <rPh sb="4" eb="5">
      <t>ムラ</t>
    </rPh>
    <rPh sb="6" eb="8">
      <t>ジョウリク</t>
    </rPh>
    <phoneticPr fontId="1"/>
  </si>
  <si>
    <t>E001-44</t>
  </si>
  <si>
    <t>E001-45</t>
  </si>
  <si>
    <t>E001-46</t>
  </si>
  <si>
    <t>E001-47</t>
  </si>
  <si>
    <t>E001-48</t>
  </si>
  <si>
    <t>E001-49</t>
  </si>
  <si>
    <t>E001-50</t>
  </si>
  <si>
    <t>E001-51</t>
  </si>
  <si>
    <t>E001-52</t>
  </si>
  <si>
    <t>E001-53</t>
  </si>
  <si>
    <t>E001-54</t>
  </si>
  <si>
    <t>E001-55</t>
  </si>
  <si>
    <t>E001-56</t>
  </si>
  <si>
    <t>E001-57</t>
  </si>
  <si>
    <t>E001-58</t>
  </si>
  <si>
    <t>E001-59</t>
  </si>
  <si>
    <t>E001-60</t>
  </si>
  <si>
    <t>銀河パチンコ</t>
    <rPh sb="0" eb="2">
      <t>ギンガ</t>
    </rPh>
    <phoneticPr fontId="1"/>
  </si>
  <si>
    <t>棒</t>
    <rPh sb="0" eb="1">
      <t>ボウ</t>
    </rPh>
    <phoneticPr fontId="1"/>
  </si>
  <si>
    <t>ルフィたちと出会う</t>
    <rPh sb="6" eb="8">
      <t>デア</t>
    </rPh>
    <phoneticPr fontId="1"/>
  </si>
  <si>
    <t>屋敷の執事として住み始める</t>
    <rPh sb="0" eb="2">
      <t>ヤシキ</t>
    </rPh>
    <rPh sb="3" eb="5">
      <t>シツジ</t>
    </rPh>
    <rPh sb="8" eb="9">
      <t>ス</t>
    </rPh>
    <rPh sb="10" eb="11">
      <t>ハジ</t>
    </rPh>
    <phoneticPr fontId="1"/>
  </si>
  <si>
    <t>お嬢様暗殺計画について話し合う</t>
    <rPh sb="1" eb="3">
      <t>ジョウサマ</t>
    </rPh>
    <rPh sb="3" eb="7">
      <t>アンサツケイカク</t>
    </rPh>
    <rPh sb="11" eb="12">
      <t>ハナ</t>
    </rPh>
    <rPh sb="13" eb="14">
      <t>ア</t>
    </rPh>
    <phoneticPr fontId="1"/>
  </si>
  <si>
    <t>脱退</t>
    <rPh sb="0" eb="2">
      <t>ダッタイ</t>
    </rPh>
    <phoneticPr fontId="1"/>
  </si>
  <si>
    <t>シロップ村近海</t>
    <rPh sb="4" eb="5">
      <t>ムラ</t>
    </rPh>
    <rPh sb="5" eb="7">
      <t>キンカイ</t>
    </rPh>
    <phoneticPr fontId="1"/>
  </si>
  <si>
    <t>お嬢様暗殺計画のため停泊する</t>
    <rPh sb="1" eb="3">
      <t>ジョウサマ</t>
    </rPh>
    <rPh sb="3" eb="7">
      <t>アンサツケイカク</t>
    </rPh>
    <rPh sb="10" eb="12">
      <t>テイハク</t>
    </rPh>
    <phoneticPr fontId="1"/>
  </si>
  <si>
    <t>カヤを励まし始める</t>
    <rPh sb="3" eb="4">
      <t>ハゲ</t>
    </rPh>
    <rPh sb="6" eb="7">
      <t>ハジ</t>
    </rPh>
    <phoneticPr fontId="1"/>
  </si>
  <si>
    <t>珍獣島にて宝箱にハマる</t>
    <rPh sb="0" eb="3">
      <t>チンジュウジマ</t>
    </rPh>
    <rPh sb="5" eb="7">
      <t>タカラバコ</t>
    </rPh>
    <phoneticPr fontId="1"/>
  </si>
  <si>
    <t>ゴール・D・ロジャー</t>
    <phoneticPr fontId="1"/>
  </si>
  <si>
    <t>アルビダ</t>
    <phoneticPr fontId="1"/>
  </si>
  <si>
    <t>ジャンゴ</t>
    <phoneticPr fontId="1"/>
  </si>
  <si>
    <t>持ち主</t>
    <rPh sb="0" eb="1">
      <t>モ</t>
    </rPh>
    <rPh sb="2" eb="3">
      <t>ヌシ</t>
    </rPh>
    <phoneticPr fontId="1"/>
  </si>
  <si>
    <t>C004-01</t>
  </si>
  <si>
    <t>C004-01</t>
    <phoneticPr fontId="1"/>
  </si>
  <si>
    <t>C004-02</t>
  </si>
  <si>
    <t>シャム</t>
  </si>
  <si>
    <t>船の番人</t>
    <rPh sb="0" eb="1">
      <t>フネ</t>
    </rPh>
    <rPh sb="2" eb="4">
      <t>バンニn</t>
    </rPh>
    <phoneticPr fontId="1"/>
  </si>
  <si>
    <t>焼き魚</t>
    <rPh sb="0" eb="1">
      <t>ヤキザカ</t>
    </rPh>
    <phoneticPr fontId="1"/>
  </si>
  <si>
    <t>ニャーバン・兄弟（ブラザーズ）</t>
    <rPh sb="6" eb="8">
      <t>キョウダイ</t>
    </rPh>
    <phoneticPr fontId="1"/>
  </si>
  <si>
    <t>ブチ</t>
  </si>
  <si>
    <t>クロネコ海賊団</t>
    <rPh sb="4" eb="7">
      <t>カイゾ</t>
    </rPh>
    <phoneticPr fontId="1"/>
  </si>
  <si>
    <t>船の番人</t>
    <rPh sb="0" eb="1">
      <t>フネン</t>
    </rPh>
    <rPh sb="2" eb="4">
      <t>バンニn</t>
    </rPh>
    <phoneticPr fontId="1"/>
  </si>
  <si>
    <t>フィッシュ＆チップス</t>
    <phoneticPr fontId="1"/>
  </si>
  <si>
    <t>ヌギレ・ヤイヌ</t>
    <phoneticPr fontId="1"/>
  </si>
  <si>
    <t>クロの身代わりに処刑された男</t>
    <rPh sb="3" eb="5">
      <t>ミガワリ</t>
    </rPh>
    <rPh sb="8" eb="10">
      <t>ショケイ</t>
    </rPh>
    <rPh sb="13" eb="14">
      <t>オトコ</t>
    </rPh>
    <phoneticPr fontId="1"/>
  </si>
  <si>
    <t>”筋”</t>
    <phoneticPr fontId="1"/>
  </si>
  <si>
    <t>”三日月”</t>
    <phoneticPr fontId="1"/>
  </si>
  <si>
    <t>”坂道”</t>
    <rPh sb="1" eb="3">
      <t>サカム</t>
    </rPh>
    <phoneticPr fontId="1"/>
  </si>
  <si>
    <t>”GREAT !!!"</t>
    <phoneticPr fontId="1"/>
  </si>
  <si>
    <t>”真実”</t>
    <phoneticPr fontId="1"/>
  </si>
  <si>
    <t>”大凶”</t>
    <rPh sb="1" eb="3">
      <t>ダイキョウ</t>
    </rPh>
    <phoneticPr fontId="1"/>
  </si>
  <si>
    <t>”音無き男”</t>
    <rPh sb="0" eb="1">
      <t>ダイキョウ</t>
    </rPh>
    <rPh sb="1" eb="2">
      <t>オトナ</t>
    </rPh>
    <rPh sb="2" eb="3">
      <t xml:space="preserve">ナキ </t>
    </rPh>
    <rPh sb="4" eb="5">
      <t>オトコ</t>
    </rPh>
    <phoneticPr fontId="1"/>
  </si>
  <si>
    <t>”執事クラハドール”</t>
    <rPh sb="1" eb="3">
      <t>シツジ</t>
    </rPh>
    <phoneticPr fontId="1"/>
  </si>
  <si>
    <t>”ネオ坂道”</t>
    <phoneticPr fontId="1"/>
  </si>
  <si>
    <t>C005-01</t>
    <phoneticPr fontId="1"/>
  </si>
  <si>
    <t>C005-02</t>
  </si>
  <si>
    <t>C005-03</t>
  </si>
  <si>
    <t>C005-04</t>
  </si>
  <si>
    <t>C005-05</t>
  </si>
  <si>
    <t>C005-06</t>
  </si>
  <si>
    <t>C005-07</t>
  </si>
  <si>
    <t>C005-08</t>
  </si>
  <si>
    <t>M-023</t>
  </si>
  <si>
    <t>M-024</t>
  </si>
  <si>
    <t>M-025</t>
  </si>
  <si>
    <t>M-026</t>
  </si>
  <si>
    <t>M-027</t>
  </si>
  <si>
    <t>M-028</t>
  </si>
  <si>
    <t>まきびし地獄</t>
    <rPh sb="4" eb="6">
      <t>ジゴク</t>
    </rPh>
    <phoneticPr fontId="1"/>
  </si>
  <si>
    <t>射撃</t>
    <rPh sb="0" eb="1">
      <t>シャゲキ</t>
    </rPh>
    <phoneticPr fontId="1"/>
  </si>
  <si>
    <t>ゴムゴムの銃乱打（ガトリング）</t>
  </si>
  <si>
    <t>ネコババ</t>
    <phoneticPr fontId="1"/>
  </si>
  <si>
    <t>猫殺　キャット・ザ・フンジャッタ</t>
    <rPh sb="0" eb="1">
      <t>ネコ</t>
    </rPh>
    <rPh sb="1" eb="2">
      <t>コロス</t>
    </rPh>
    <phoneticPr fontId="1"/>
  </si>
  <si>
    <t>ネコ柳大行進</t>
    <rPh sb="2" eb="3">
      <t>ヤナギ</t>
    </rPh>
    <rPh sb="3" eb="6">
      <t>ダイコウ</t>
    </rPh>
    <phoneticPr fontId="1"/>
  </si>
  <si>
    <t>M-029</t>
  </si>
  <si>
    <t>M-030</t>
  </si>
  <si>
    <t>M-031</t>
  </si>
  <si>
    <t>M-032</t>
  </si>
  <si>
    <t>鉛星</t>
    <rPh sb="0" eb="2">
      <t>ナマリボシ</t>
    </rPh>
    <phoneticPr fontId="1"/>
  </si>
  <si>
    <t>抜き足</t>
    <rPh sb="0" eb="1">
      <t>ヌキ</t>
    </rPh>
    <phoneticPr fontId="1"/>
  </si>
  <si>
    <t>虎狩り</t>
    <rPh sb="0" eb="1">
      <t>トラ</t>
    </rPh>
    <rPh sb="1" eb="2">
      <t>カリ</t>
    </rPh>
    <phoneticPr fontId="1"/>
  </si>
  <si>
    <t>E001-61</t>
  </si>
  <si>
    <t>E001-62</t>
  </si>
  <si>
    <t>E001-63</t>
  </si>
  <si>
    <t>オレンジの町を襲撃する</t>
    <rPh sb="0" eb="1">
      <t>オレンジノ</t>
    </rPh>
    <rPh sb="5" eb="6">
      <t>マティ</t>
    </rPh>
    <rPh sb="7" eb="9">
      <t>シュウゲキ</t>
    </rPh>
    <phoneticPr fontId="1"/>
  </si>
  <si>
    <t>クロネコ海賊団と戦闘し勝利する</t>
    <rPh sb="4" eb="7">
      <t>カイゾク</t>
    </rPh>
    <rPh sb="8" eb="10">
      <t>セントウ</t>
    </rPh>
    <rPh sb="11" eb="13">
      <t>ショウリ</t>
    </rPh>
    <phoneticPr fontId="1"/>
  </si>
  <si>
    <t>E001-64</t>
  </si>
  <si>
    <t>E001-65</t>
  </si>
  <si>
    <t>E001-66</t>
  </si>
  <si>
    <t>E001-67</t>
  </si>
  <si>
    <t>E001-68</t>
  </si>
  <si>
    <t>E001-69</t>
  </si>
  <si>
    <t>麦わらの一味に敗北する</t>
    <rPh sb="0" eb="2">
      <t>ムギワ</t>
    </rPh>
    <rPh sb="4" eb="5">
      <t>イチミ</t>
    </rPh>
    <rPh sb="7" eb="8">
      <t>ハイボク</t>
    </rPh>
    <phoneticPr fontId="1"/>
  </si>
  <si>
    <t>B001-08</t>
  </si>
  <si>
    <t>B001-09</t>
  </si>
  <si>
    <t>B001-10</t>
  </si>
  <si>
    <t>B001-11</t>
  </si>
  <si>
    <t>短期集中表紙連載開始!!</t>
    <rPh sb="0" eb="4">
      <t>タンキ</t>
    </rPh>
    <rPh sb="4" eb="6">
      <t>ヒョウセィ</t>
    </rPh>
    <rPh sb="6" eb="8">
      <t>レンサイ</t>
    </rPh>
    <rPh sb="8" eb="10">
      <t>カイ</t>
    </rPh>
    <phoneticPr fontId="1"/>
  </si>
  <si>
    <t>バギー一味のその後</t>
    <rPh sb="3" eb="5">
      <t>イチミ</t>
    </rPh>
    <phoneticPr fontId="1"/>
  </si>
  <si>
    <t>ニャーバン・兄弟</t>
    <rPh sb="6" eb="8">
      <t>キョウダイ</t>
    </rPh>
    <phoneticPr fontId="1"/>
  </si>
  <si>
    <t>バギー一味のその後</t>
    <phoneticPr fontId="1"/>
  </si>
  <si>
    <t>バンキーナ</t>
    <phoneticPr fontId="1"/>
  </si>
  <si>
    <t>ウソップの母親</t>
    <rPh sb="5" eb="7">
      <t>ハハオヤ</t>
    </rPh>
    <phoneticPr fontId="1"/>
  </si>
  <si>
    <t>ヨサク</t>
  </si>
  <si>
    <t>バウンティ丸</t>
    <rPh sb="5" eb="6">
      <t xml:space="preserve">マル </t>
    </rPh>
    <phoneticPr fontId="1"/>
  </si>
  <si>
    <t>菜斬り刀</t>
    <rPh sb="0" eb="1">
      <t>ナギリトウ</t>
    </rPh>
    <rPh sb="1" eb="2">
      <t xml:space="preserve">キル </t>
    </rPh>
    <phoneticPr fontId="1"/>
  </si>
  <si>
    <t>モヤシいため</t>
    <phoneticPr fontId="1"/>
  </si>
  <si>
    <t>ジョニー</t>
  </si>
  <si>
    <t>バウンティ丸</t>
    <rPh sb="5" eb="6">
      <t>マル</t>
    </rPh>
    <phoneticPr fontId="1"/>
  </si>
  <si>
    <t>ポテチ</t>
    <phoneticPr fontId="1"/>
  </si>
  <si>
    <t>フルボディ</t>
  </si>
  <si>
    <t>海軍本部</t>
    <rPh sb="0" eb="4">
      <t>カイグn</t>
    </rPh>
    <phoneticPr fontId="1"/>
  </si>
  <si>
    <t>鉄拳</t>
    <rPh sb="0" eb="2">
      <t>テッケn</t>
    </rPh>
    <phoneticPr fontId="1"/>
  </si>
  <si>
    <t>赤ワイン（イテュルツブルガー・シュタイン）</t>
    <rPh sb="0" eb="1">
      <t>アカワイn</t>
    </rPh>
    <phoneticPr fontId="1"/>
  </si>
  <si>
    <t>鉄拳のフルボディ/元海軍本部大尉</t>
    <rPh sb="0" eb="2">
      <t>テッケn</t>
    </rPh>
    <rPh sb="9" eb="14">
      <t xml:space="preserve">モト </t>
    </rPh>
    <rPh sb="14" eb="16">
      <t>タイイ</t>
    </rPh>
    <phoneticPr fontId="1"/>
  </si>
  <si>
    <t>モッツェルおじさん</t>
    <phoneticPr fontId="1"/>
  </si>
  <si>
    <t>バラティエにて娘の料理をつまみ食い</t>
    <rPh sb="7" eb="8">
      <t>ムスメ</t>
    </rPh>
    <rPh sb="9" eb="11">
      <t>リョウリ</t>
    </rPh>
    <phoneticPr fontId="1"/>
  </si>
  <si>
    <t>ムーディ</t>
    <phoneticPr fontId="1"/>
  </si>
  <si>
    <t>フルボディと食事をしていた女性</t>
    <rPh sb="6" eb="8">
      <t>ショクジ</t>
    </rPh>
    <rPh sb="13" eb="15">
      <t>ジョセイ</t>
    </rPh>
    <phoneticPr fontId="1"/>
  </si>
  <si>
    <t>ゼフ</t>
  </si>
  <si>
    <t>赫足のゼフ</t>
    <rPh sb="0" eb="2">
      <t xml:space="preserve">アカアシ </t>
    </rPh>
    <phoneticPr fontId="1"/>
  </si>
  <si>
    <t>海上レストランバラティエ</t>
    <rPh sb="0" eb="2">
      <t>カイジョウ</t>
    </rPh>
    <phoneticPr fontId="1"/>
  </si>
  <si>
    <t>オーナー兼料理長</t>
    <rPh sb="4" eb="5">
      <t xml:space="preserve">ケン </t>
    </rPh>
    <rPh sb="5" eb="8">
      <t>リョウリ</t>
    </rPh>
    <phoneticPr fontId="1"/>
  </si>
  <si>
    <t>足技</t>
    <rPh sb="0" eb="2">
      <t>アシワザ</t>
    </rPh>
    <phoneticPr fontId="1"/>
  </si>
  <si>
    <t>激辛チキンウイング</t>
    <rPh sb="0" eb="2">
      <t>ゲキカラ</t>
    </rPh>
    <phoneticPr fontId="1"/>
  </si>
  <si>
    <t>元海賊/クック海賊団船長</t>
    <rPh sb="0" eb="1">
      <t>モト</t>
    </rPh>
    <rPh sb="1" eb="3">
      <t>カ</t>
    </rPh>
    <rPh sb="7" eb="10">
      <t>カイゾク</t>
    </rPh>
    <rPh sb="10" eb="12">
      <t>センチョウ</t>
    </rPh>
    <phoneticPr fontId="1"/>
  </si>
  <si>
    <t>バッチー</t>
    <phoneticPr fontId="1"/>
  </si>
  <si>
    <t>ハエ目短角亜目イエバエ科</t>
    <rPh sb="2" eb="3">
      <t xml:space="preserve">モク </t>
    </rPh>
    <rPh sb="3" eb="4">
      <t xml:space="preserve">タンカク </t>
    </rPh>
    <rPh sb="5" eb="6">
      <t xml:space="preserve">ア </t>
    </rPh>
    <rPh sb="6" eb="7">
      <t>モク</t>
    </rPh>
    <rPh sb="11" eb="12">
      <t>カモク</t>
    </rPh>
    <phoneticPr fontId="1"/>
  </si>
  <si>
    <t>ただのハエ</t>
    <phoneticPr fontId="1"/>
  </si>
  <si>
    <t>パティ</t>
  </si>
  <si>
    <t>バラティエ</t>
    <phoneticPr fontId="1"/>
  </si>
  <si>
    <t>プリン</t>
    <phoneticPr fontId="1"/>
  </si>
  <si>
    <t>10数年で300軒クビになる/連結式デザート艦”シスターアンコー”責任者</t>
    <rPh sb="8" eb="9">
      <t xml:space="preserve">ケン </t>
    </rPh>
    <rPh sb="15" eb="18">
      <t>レンケテゥ</t>
    </rPh>
    <rPh sb="22" eb="23">
      <t xml:space="preserve">カン </t>
    </rPh>
    <rPh sb="33" eb="36">
      <t>セキニn</t>
    </rPh>
    <phoneticPr fontId="1"/>
  </si>
  <si>
    <t>ラインズ一等兵</t>
    <rPh sb="4" eb="7">
      <t>イットウ</t>
    </rPh>
    <phoneticPr fontId="1"/>
  </si>
  <si>
    <t>一等兵</t>
    <rPh sb="0" eb="3">
      <t>イット</t>
    </rPh>
    <phoneticPr fontId="1"/>
  </si>
  <si>
    <t>ギンの脱走をフルボディに伝えた</t>
    <rPh sb="3" eb="5">
      <t>ダッソウ</t>
    </rPh>
    <rPh sb="12" eb="13">
      <t>ツタエ</t>
    </rPh>
    <phoneticPr fontId="1"/>
  </si>
  <si>
    <t>パンダマン</t>
    <phoneticPr fontId="1"/>
  </si>
  <si>
    <t>2月29日</t>
    <rPh sb="1" eb="2">
      <t>ガテゥ</t>
    </rPh>
    <rPh sb="4" eb="5">
      <t>ニティ</t>
    </rPh>
    <phoneticPr fontId="1"/>
  </si>
  <si>
    <t>チベット</t>
    <phoneticPr fontId="1"/>
  </si>
  <si>
    <t>悪魔超人</t>
    <rPh sb="0" eb="4">
      <t>アクマ</t>
    </rPh>
    <phoneticPr fontId="1"/>
  </si>
  <si>
    <t>体重122kg /笹を食べて330万パワー、食前330万パワー/必殺技「S.P.D（笹の葉パンダドロップ）」「ジャイアントパンダデスロック」</t>
    <rPh sb="0" eb="2">
      <t>タイジュ</t>
    </rPh>
    <rPh sb="9" eb="10">
      <t>ササヲ</t>
    </rPh>
    <rPh sb="17" eb="18">
      <t>Mann</t>
    </rPh>
    <rPh sb="22" eb="24">
      <t>ショクゼn</t>
    </rPh>
    <rPh sb="27" eb="28">
      <t>Mann</t>
    </rPh>
    <rPh sb="32" eb="35">
      <t>ヒッサテゥ</t>
    </rPh>
    <rPh sb="42" eb="43">
      <t>ササ</t>
    </rPh>
    <phoneticPr fontId="1"/>
  </si>
  <si>
    <t>ギン</t>
  </si>
  <si>
    <t>ドレッドノート・サーベル号</t>
    <rPh sb="12" eb="13">
      <t>ゴウ</t>
    </rPh>
    <phoneticPr fontId="1"/>
  </si>
  <si>
    <t>鬼人のギン</t>
    <rPh sb="0" eb="2">
      <t>キジn</t>
    </rPh>
    <phoneticPr fontId="1"/>
  </si>
  <si>
    <t>クリーク海賊団</t>
    <rPh sb="4" eb="7">
      <t>カイゾク</t>
    </rPh>
    <phoneticPr fontId="1"/>
  </si>
  <si>
    <t>戦闘総隊長</t>
    <rPh sb="0" eb="2">
      <t>セントウ</t>
    </rPh>
    <rPh sb="2" eb="5">
      <t>ソウタイ</t>
    </rPh>
    <phoneticPr fontId="1"/>
  </si>
  <si>
    <t>鉄球</t>
    <rPh sb="0" eb="2">
      <t>テッキュウ</t>
    </rPh>
    <phoneticPr fontId="1"/>
  </si>
  <si>
    <t>サンジが作ったピラフ</t>
    <rPh sb="4" eb="5">
      <t>ツクッタ</t>
    </rPh>
    <phoneticPr fontId="1"/>
  </si>
  <si>
    <t>ジェルマ王国</t>
    <rPh sb="4" eb="6">
      <t>オウ</t>
    </rPh>
    <phoneticPr fontId="1"/>
  </si>
  <si>
    <t>S型RH-</t>
    <rPh sb="1" eb="2">
      <t>ガタ</t>
    </rPh>
    <phoneticPr fontId="1"/>
  </si>
  <si>
    <t>辛口海鮮パスタ、紅茶に合う物</t>
    <rPh sb="0" eb="2">
      <t>カラク</t>
    </rPh>
    <rPh sb="2" eb="4">
      <t>カイ</t>
    </rPh>
    <rPh sb="8" eb="10">
      <t>コウチャニ</t>
    </rPh>
    <rPh sb="11" eb="12">
      <t>アウモン</t>
    </rPh>
    <rPh sb="13" eb="14">
      <t xml:space="preserve">モノ </t>
    </rPh>
    <phoneticPr fontId="1"/>
  </si>
  <si>
    <t>こんにゃく（栄養ないから）</t>
    <rPh sb="6" eb="8">
      <t>エイヨウ</t>
    </rPh>
    <phoneticPr fontId="1"/>
  </si>
  <si>
    <t>アヒル</t>
    <phoneticPr fontId="1"/>
  </si>
  <si>
    <t>海上レストラン/副料理長</t>
    <rPh sb="0" eb="1">
      <t>カイジョウ</t>
    </rPh>
    <rPh sb="8" eb="12">
      <t>フクリョウ</t>
    </rPh>
    <phoneticPr fontId="1"/>
  </si>
  <si>
    <t>サンジ</t>
    <phoneticPr fontId="1"/>
  </si>
  <si>
    <t>C005-09</t>
  </si>
  <si>
    <t>C005-10</t>
  </si>
  <si>
    <t>C005-11</t>
  </si>
  <si>
    <t>C005-12</t>
  </si>
  <si>
    <t>C005-13</t>
  </si>
  <si>
    <t>C005-14</t>
  </si>
  <si>
    <t>鉄拳のフルボディ</t>
    <rPh sb="0" eb="2">
      <t>リョウ</t>
    </rPh>
    <phoneticPr fontId="1"/>
  </si>
  <si>
    <t>クッキング・ジョージ号</t>
  </si>
  <si>
    <t>S-011</t>
  </si>
  <si>
    <t>S-012</t>
  </si>
  <si>
    <t>S-013</t>
  </si>
  <si>
    <t>S-014</t>
  </si>
  <si>
    <t>S-015</t>
  </si>
  <si>
    <t>S-016</t>
  </si>
  <si>
    <t>狙撃手</t>
    <rPh sb="0" eb="1">
      <t>ソゲキ</t>
    </rPh>
    <phoneticPr fontId="1"/>
  </si>
  <si>
    <t>航海士</t>
    <rPh sb="0" eb="3">
      <t>コウカ</t>
    </rPh>
    <phoneticPr fontId="1"/>
  </si>
  <si>
    <t>賞金稼ぎ</t>
    <rPh sb="0" eb="3">
      <t>ショウキンカス</t>
    </rPh>
    <phoneticPr fontId="1"/>
  </si>
  <si>
    <t>G-012</t>
  </si>
  <si>
    <t>G-013</t>
  </si>
  <si>
    <t>副料理長</t>
    <rPh sb="0" eb="1">
      <t>フクリョウ</t>
    </rPh>
    <phoneticPr fontId="1"/>
  </si>
  <si>
    <t>-</t>
  </si>
  <si>
    <t>ハエ</t>
    <phoneticPr fontId="1"/>
  </si>
  <si>
    <t>悪魔超人</t>
    <rPh sb="0" eb="2">
      <t>アク</t>
    </rPh>
    <rPh sb="2" eb="4">
      <t xml:space="preserve">チョウジン </t>
    </rPh>
    <phoneticPr fontId="1"/>
  </si>
  <si>
    <t>大尉</t>
    <rPh sb="0" eb="2">
      <t xml:space="preserve">タイイ </t>
    </rPh>
    <phoneticPr fontId="1"/>
  </si>
  <si>
    <t>L-013</t>
  </si>
  <si>
    <t>ゼフ</t>
    <phoneticPr fontId="1"/>
  </si>
  <si>
    <t>サンバス海域</t>
    <rPh sb="4" eb="6">
      <t>カイイキ</t>
    </rPh>
    <phoneticPr fontId="1"/>
  </si>
  <si>
    <t>ゴムゴムの槍（ヤリ）</t>
    <rPh sb="5" eb="6">
      <t xml:space="preserve">ヤリ </t>
    </rPh>
    <phoneticPr fontId="1"/>
  </si>
  <si>
    <t>コショー目つぶし</t>
    <rPh sb="4" eb="5">
      <t>メ</t>
    </rPh>
    <phoneticPr fontId="1"/>
  </si>
  <si>
    <t>M-033</t>
  </si>
  <si>
    <t>M-034</t>
  </si>
  <si>
    <t>M-035</t>
  </si>
  <si>
    <t>M-036</t>
  </si>
  <si>
    <t>M-037</t>
  </si>
  <si>
    <t>M-038</t>
  </si>
  <si>
    <t>M-039</t>
  </si>
  <si>
    <t>杓死</t>
    <rPh sb="0" eb="1">
      <t>シャク</t>
    </rPh>
    <rPh sb="1" eb="2">
      <t xml:space="preserve">シ </t>
    </rPh>
    <phoneticPr fontId="1"/>
  </si>
  <si>
    <t>火薬星</t>
    <phoneticPr fontId="1"/>
  </si>
  <si>
    <t>ゴムゴムの鐘（カネ）</t>
  </si>
  <si>
    <t>料理長義足キック</t>
  </si>
  <si>
    <t>料理長ドロップ</t>
  </si>
  <si>
    <t>M-002</t>
    <phoneticPr fontId="1"/>
  </si>
  <si>
    <t>M-003</t>
    <phoneticPr fontId="1"/>
  </si>
  <si>
    <t>M-004</t>
    <phoneticPr fontId="1"/>
  </si>
  <si>
    <t>M-005</t>
    <phoneticPr fontId="1"/>
  </si>
  <si>
    <t>M-006</t>
    <phoneticPr fontId="1"/>
  </si>
  <si>
    <t>M-007</t>
    <phoneticPr fontId="1"/>
  </si>
  <si>
    <t>M-008</t>
    <phoneticPr fontId="1"/>
  </si>
  <si>
    <t>M-009</t>
    <phoneticPr fontId="1"/>
  </si>
  <si>
    <t>M-010</t>
    <phoneticPr fontId="1"/>
  </si>
  <si>
    <t>M-011</t>
    <phoneticPr fontId="1"/>
  </si>
  <si>
    <t>M-012</t>
    <phoneticPr fontId="1"/>
  </si>
  <si>
    <t>M-013</t>
    <phoneticPr fontId="1"/>
  </si>
  <si>
    <t>M-014</t>
    <phoneticPr fontId="1"/>
  </si>
  <si>
    <t>M-015</t>
    <phoneticPr fontId="1"/>
  </si>
  <si>
    <t>M-016</t>
    <phoneticPr fontId="1"/>
  </si>
  <si>
    <t>M-017</t>
    <phoneticPr fontId="1"/>
  </si>
  <si>
    <t>M-018</t>
    <phoneticPr fontId="1"/>
  </si>
  <si>
    <t>M-019</t>
    <phoneticPr fontId="1"/>
  </si>
  <si>
    <t>M-020</t>
    <phoneticPr fontId="1"/>
  </si>
  <si>
    <t>M-021</t>
    <phoneticPr fontId="1"/>
  </si>
  <si>
    <t>M-022</t>
    <phoneticPr fontId="1"/>
  </si>
  <si>
    <t>M-023</t>
    <phoneticPr fontId="1"/>
  </si>
  <si>
    <t>M-024</t>
    <phoneticPr fontId="1"/>
  </si>
  <si>
    <t>M-025</t>
    <phoneticPr fontId="1"/>
  </si>
  <si>
    <t>M-026</t>
    <phoneticPr fontId="1"/>
  </si>
  <si>
    <t>M-027</t>
    <phoneticPr fontId="1"/>
  </si>
  <si>
    <t>M-028</t>
    <phoneticPr fontId="1"/>
  </si>
  <si>
    <t>M-029</t>
    <phoneticPr fontId="1"/>
  </si>
  <si>
    <t>M-030</t>
    <phoneticPr fontId="1"/>
  </si>
  <si>
    <t>M-031</t>
    <phoneticPr fontId="1"/>
  </si>
  <si>
    <t>L-010</t>
    <phoneticPr fontId="1"/>
  </si>
  <si>
    <t>B001-12</t>
  </si>
  <si>
    <t>B001-13</t>
  </si>
  <si>
    <t>B001-14</t>
  </si>
  <si>
    <t>B001-15</t>
  </si>
  <si>
    <t>M-035</t>
    <phoneticPr fontId="1"/>
  </si>
  <si>
    <t>”追え！！”</t>
    <rPh sb="1" eb="2">
      <t xml:space="preserve">オエ </t>
    </rPh>
    <phoneticPr fontId="1"/>
  </si>
  <si>
    <t>バギー一味冒険記vol.2</t>
    <rPh sb="3" eb="5">
      <t>イチミ</t>
    </rPh>
    <rPh sb="5" eb="8">
      <t>ボウケn</t>
    </rPh>
    <phoneticPr fontId="1"/>
  </si>
  <si>
    <t>モージとカバジ</t>
    <phoneticPr fontId="1"/>
  </si>
  <si>
    <t>海賊”百計のクロ”</t>
    <rPh sb="0" eb="2">
      <t>カイゾク</t>
    </rPh>
    <rPh sb="2" eb="3">
      <t>”</t>
    </rPh>
    <rPh sb="3" eb="4">
      <t>ヒャッケイ</t>
    </rPh>
    <rPh sb="4" eb="5">
      <t xml:space="preserve">ケイ </t>
    </rPh>
    <phoneticPr fontId="1"/>
  </si>
  <si>
    <t>バギー一味冒険記vol.3</t>
    <rPh sb="3" eb="5">
      <t>イチミ</t>
    </rPh>
    <rPh sb="5" eb="8">
      <t>ボウケn</t>
    </rPh>
    <phoneticPr fontId="1"/>
  </si>
  <si>
    <t>バギーの冒険</t>
    <rPh sb="0" eb="2">
      <t>バギー</t>
    </rPh>
    <rPh sb="4" eb="6">
      <t>ボウケn</t>
    </rPh>
    <phoneticPr fontId="1"/>
  </si>
  <si>
    <t>”海賊団”</t>
    <rPh sb="1" eb="4">
      <t>カイゾクデ</t>
    </rPh>
    <phoneticPr fontId="1"/>
  </si>
  <si>
    <t>”誰が為に鐘は鳴る”</t>
    <rPh sb="1" eb="2">
      <t>ダレ</t>
    </rPh>
    <rPh sb="3" eb="4">
      <t xml:space="preserve">タメニ </t>
    </rPh>
    <rPh sb="5" eb="6">
      <t>カネハ</t>
    </rPh>
    <rPh sb="7" eb="8">
      <t xml:space="preserve">ナル </t>
    </rPh>
    <phoneticPr fontId="1"/>
  </si>
  <si>
    <t>バギー一味冒険記vol.4</t>
    <rPh sb="3" eb="5">
      <t>イチミ</t>
    </rPh>
    <rPh sb="5" eb="8">
      <t>ボウケn</t>
    </rPh>
    <phoneticPr fontId="1"/>
  </si>
  <si>
    <t>バギーと大鳥</t>
    <rPh sb="4" eb="6">
      <t>オオトリ</t>
    </rPh>
    <phoneticPr fontId="1"/>
  </si>
  <si>
    <t>”ウソップ海賊団”</t>
    <rPh sb="5" eb="8">
      <t>カイゾク</t>
    </rPh>
    <phoneticPr fontId="1"/>
  </si>
  <si>
    <t>バギー一味冒険記vol.5</t>
    <rPh sb="3" eb="5">
      <t>イチミ</t>
    </rPh>
    <rPh sb="5" eb="8">
      <t>ボウケn</t>
    </rPh>
    <phoneticPr fontId="1"/>
  </si>
  <si>
    <t>知力戦</t>
    <rPh sb="0" eb="2">
      <t>チリョク</t>
    </rPh>
    <rPh sb="2" eb="3">
      <t>セン</t>
    </rPh>
    <phoneticPr fontId="1"/>
  </si>
  <si>
    <t>”海へ”</t>
    <rPh sb="1" eb="2">
      <t>ウミ</t>
    </rPh>
    <phoneticPr fontId="1"/>
  </si>
  <si>
    <t>”ヨサクとジョニー”</t>
    <phoneticPr fontId="1"/>
  </si>
  <si>
    <t>バギー一味冒険記vol.6</t>
    <rPh sb="3" eb="5">
      <t>イチミ</t>
    </rPh>
    <rPh sb="5" eb="8">
      <t>ボウケn</t>
    </rPh>
    <phoneticPr fontId="1"/>
  </si>
  <si>
    <t>空の旅パート2</t>
    <rPh sb="0" eb="1">
      <t>ソラノ</t>
    </rPh>
    <phoneticPr fontId="1"/>
  </si>
  <si>
    <t>”サンジ登場”</t>
    <rPh sb="4" eb="6">
      <t>トウジョウ</t>
    </rPh>
    <phoneticPr fontId="1"/>
  </si>
  <si>
    <t>バギー一味冒険記vol.7</t>
    <rPh sb="3" eb="5">
      <t>イチミ</t>
    </rPh>
    <rPh sb="5" eb="8">
      <t>ボウケn</t>
    </rPh>
    <phoneticPr fontId="1"/>
  </si>
  <si>
    <t>墜落珍獣の島</t>
    <rPh sb="0" eb="2">
      <t>ツイラク</t>
    </rPh>
    <rPh sb="2" eb="4">
      <t>チンジュウ</t>
    </rPh>
    <rPh sb="5" eb="6">
      <t>シマ</t>
    </rPh>
    <phoneticPr fontId="1"/>
  </si>
  <si>
    <t>”三人のコック”</t>
    <rPh sb="1" eb="2">
      <t>サンニn</t>
    </rPh>
    <phoneticPr fontId="1"/>
  </si>
  <si>
    <t>ウソップ海賊団解散</t>
    <rPh sb="7" eb="9">
      <t>カイ</t>
    </rPh>
    <phoneticPr fontId="1"/>
  </si>
  <si>
    <t>E001-70</t>
  </si>
  <si>
    <t>E001-71</t>
  </si>
  <si>
    <t>E001-72</t>
  </si>
  <si>
    <t>E001-73</t>
  </si>
  <si>
    <t>E001-74</t>
  </si>
  <si>
    <t>E001-75</t>
  </si>
  <si>
    <t>E001-76</t>
  </si>
  <si>
    <t>E001-77</t>
  </si>
  <si>
    <t>ウソップ海賊団結成</t>
    <rPh sb="7" eb="9">
      <t>ケッセイ</t>
    </rPh>
    <phoneticPr fontId="1"/>
  </si>
  <si>
    <t>村を飛び出し海賊になる</t>
    <rPh sb="0" eb="1">
      <t>ムラ</t>
    </rPh>
    <rPh sb="2" eb="3">
      <t>トビ</t>
    </rPh>
    <rPh sb="6" eb="8">
      <t>カイゾク</t>
    </rPh>
    <phoneticPr fontId="1"/>
  </si>
  <si>
    <t>仮説（年）</t>
    <rPh sb="0" eb="2">
      <t>カセテゥ</t>
    </rPh>
    <rPh sb="3" eb="4">
      <t>トセィ</t>
    </rPh>
    <phoneticPr fontId="1"/>
  </si>
  <si>
    <t>母が病死する</t>
    <rPh sb="0" eb="1">
      <t>ハハ</t>
    </rPh>
    <rPh sb="2" eb="4">
      <t>ビョウセィ</t>
    </rPh>
    <phoneticPr fontId="1"/>
  </si>
  <si>
    <t>シロップ村を出航</t>
    <rPh sb="0" eb="1">
      <t>シロップムラ</t>
    </rPh>
    <rPh sb="6" eb="8">
      <t>シュッコウ</t>
    </rPh>
    <phoneticPr fontId="1"/>
  </si>
  <si>
    <t>ヨサクとジョニーと出会う</t>
    <rPh sb="9" eb="11">
      <t>デアウ</t>
    </rPh>
    <phoneticPr fontId="1"/>
  </si>
  <si>
    <t>E001-78</t>
  </si>
  <si>
    <t>E001-79</t>
  </si>
  <si>
    <t>E001-80</t>
  </si>
  <si>
    <t>E001-81</t>
  </si>
  <si>
    <t>E001-82</t>
  </si>
  <si>
    <t>E001-83</t>
  </si>
  <si>
    <t>E001-84</t>
  </si>
  <si>
    <t>麦わらの一味と出会う</t>
    <rPh sb="0" eb="1">
      <t>ムギワラン</t>
    </rPh>
    <rPh sb="4" eb="6">
      <t>イチミ</t>
    </rPh>
    <rPh sb="7" eb="9">
      <t>デアウ</t>
    </rPh>
    <phoneticPr fontId="1"/>
  </si>
  <si>
    <t>珍獣島に墜落する</t>
    <rPh sb="0" eb="2">
      <t>チンジュ</t>
    </rPh>
    <rPh sb="2" eb="3">
      <t>s</t>
    </rPh>
    <rPh sb="4" eb="6">
      <t>ツイラク</t>
    </rPh>
    <phoneticPr fontId="1"/>
  </si>
  <si>
    <t>L-014</t>
  </si>
  <si>
    <t>L-015</t>
  </si>
  <si>
    <t>バラティエに到着</t>
    <rPh sb="6" eb="8">
      <t>トウチャク</t>
    </rPh>
    <phoneticPr fontId="1"/>
  </si>
  <si>
    <t>E001-85</t>
  </si>
  <si>
    <t>E001-86</t>
  </si>
  <si>
    <t>E001-87</t>
  </si>
  <si>
    <t>E001-88</t>
  </si>
  <si>
    <t>E001-89</t>
  </si>
  <si>
    <t>E001-90</t>
  </si>
  <si>
    <t>E001-91</t>
  </si>
  <si>
    <t>大尉</t>
    <rPh sb="0" eb="2">
      <t>タイイ</t>
    </rPh>
    <phoneticPr fontId="1"/>
  </si>
  <si>
    <t>副料理長</t>
    <rPh sb="0" eb="1">
      <t>フクリョウリ</t>
    </rPh>
    <phoneticPr fontId="1"/>
  </si>
  <si>
    <t>L-013</t>
    <phoneticPr fontId="1"/>
  </si>
  <si>
    <t>海軍に捕まる</t>
    <rPh sb="0" eb="2">
      <t>カイグn</t>
    </rPh>
    <rPh sb="3" eb="4">
      <t>ツカマル</t>
    </rPh>
    <phoneticPr fontId="1"/>
  </si>
  <si>
    <t>VS.クリーク海賊団</t>
    <rPh sb="7" eb="10">
      <t>カイゾク</t>
    </rPh>
    <phoneticPr fontId="1"/>
  </si>
  <si>
    <t>E001-92</t>
  </si>
  <si>
    <t>E001-93</t>
  </si>
  <si>
    <t>バラティエに勤務</t>
    <rPh sb="5" eb="6">
      <t>ニ</t>
    </rPh>
    <rPh sb="6" eb="8">
      <t>キンム</t>
    </rPh>
    <phoneticPr fontId="1"/>
  </si>
  <si>
    <t>本船</t>
    <rPh sb="0" eb="2">
      <t>ホンセn</t>
    </rPh>
    <phoneticPr fontId="1"/>
  </si>
  <si>
    <t>-</t>
    <phoneticPr fontId="1"/>
  </si>
  <si>
    <t>C</t>
    <phoneticPr fontId="1"/>
  </si>
  <si>
    <t>C005-15</t>
  </si>
  <si>
    <t>C005-10</t>
    <phoneticPr fontId="1"/>
  </si>
  <si>
    <t>C005-06</t>
    <phoneticPr fontId="1"/>
  </si>
  <si>
    <t>C005-04</t>
    <phoneticPr fontId="1"/>
  </si>
  <si>
    <t>C005-05</t>
    <phoneticPr fontId="1"/>
  </si>
  <si>
    <t>C005-09</t>
    <phoneticPr fontId="1"/>
  </si>
  <si>
    <t>C005-15</t>
    <phoneticPr fontId="1"/>
  </si>
  <si>
    <t>C005-09</t>
    <phoneticPr fontId="1"/>
  </si>
  <si>
    <t>C005-12</t>
    <phoneticPr fontId="1"/>
  </si>
  <si>
    <t>G-013</t>
    <phoneticPr fontId="1"/>
  </si>
  <si>
    <t>C005-15</t>
    <phoneticPr fontId="1"/>
  </si>
  <si>
    <t>C005-06</t>
    <phoneticPr fontId="1"/>
  </si>
  <si>
    <t>C006-01</t>
    <phoneticPr fontId="1"/>
  </si>
  <si>
    <t>C006-02</t>
  </si>
  <si>
    <t>C006-03</t>
  </si>
  <si>
    <t>C006-04</t>
  </si>
  <si>
    <t>カルネ</t>
  </si>
  <si>
    <t>バラティエ</t>
  </si>
  <si>
    <t>ローストビーフ</t>
  </si>
  <si>
    <t>連結式鉄板焼艦”ナスがシラ号”責任者</t>
    <rPh sb="0" eb="3">
      <t>レンケテゥ</t>
    </rPh>
    <rPh sb="3" eb="6">
      <t>テッパn</t>
    </rPh>
    <rPh sb="6" eb="7">
      <t xml:space="preserve">カン </t>
    </rPh>
    <rPh sb="13" eb="14">
      <t>ゴウ</t>
    </rPh>
    <rPh sb="15" eb="18">
      <t>セキニn</t>
    </rPh>
    <phoneticPr fontId="1"/>
  </si>
  <si>
    <t>ロクサーヌ</t>
  </si>
  <si>
    <t>バラティエの客</t>
    <rPh sb="6" eb="7">
      <t>キャク</t>
    </rPh>
    <phoneticPr fontId="1"/>
  </si>
  <si>
    <t>クリーク</t>
  </si>
  <si>
    <t>海賊艦隊提督”首領・クリーク”/ダマし討ちのクリーク</t>
    <rPh sb="0" eb="4">
      <t>カイゾクカンテ</t>
    </rPh>
    <rPh sb="4" eb="6">
      <t>テイトク</t>
    </rPh>
    <rPh sb="7" eb="9">
      <t>シュリョウ</t>
    </rPh>
    <rPh sb="19" eb="20">
      <t xml:space="preserve">ウチ </t>
    </rPh>
    <phoneticPr fontId="1"/>
  </si>
  <si>
    <t>首領</t>
    <rPh sb="0" eb="2">
      <t>シュリョウ</t>
    </rPh>
    <phoneticPr fontId="1"/>
  </si>
  <si>
    <t>仕込み武器</t>
    <rPh sb="0" eb="2">
      <t>シコミ</t>
    </rPh>
    <phoneticPr fontId="1"/>
  </si>
  <si>
    <t>海王類の丸焼き</t>
    <rPh sb="0" eb="3">
      <t>カイオウ</t>
    </rPh>
    <rPh sb="4" eb="6">
      <t>マル</t>
    </rPh>
    <phoneticPr fontId="1"/>
  </si>
  <si>
    <t>ジュラキュール・ミホーク</t>
  </si>
  <si>
    <t>赤ワイン</t>
    <rPh sb="0" eb="1">
      <t>アカワイn</t>
    </rPh>
    <phoneticPr fontId="1"/>
  </si>
  <si>
    <t>鍋</t>
    <rPh sb="0" eb="1">
      <t xml:space="preserve">ナベ </t>
    </rPh>
    <phoneticPr fontId="1"/>
  </si>
  <si>
    <t>のんびり農作業、ワイン収集</t>
    <rPh sb="4" eb="7">
      <t>ノウサギョウ</t>
    </rPh>
    <rPh sb="11" eb="13">
      <t>シュウシュウ</t>
    </rPh>
    <phoneticPr fontId="1"/>
  </si>
  <si>
    <t>鷹</t>
  </si>
  <si>
    <t>世界最強の剣士/元王下七武海</t>
    <rPh sb="0" eb="2">
      <t>セカイ</t>
    </rPh>
    <rPh sb="2" eb="4">
      <t>サイキョウ</t>
    </rPh>
    <rPh sb="5" eb="7">
      <t>ケンセィ</t>
    </rPh>
    <rPh sb="8" eb="9">
      <t>モト</t>
    </rPh>
    <rPh sb="9" eb="14">
      <t>オウカシチブカイ</t>
    </rPh>
    <phoneticPr fontId="1"/>
  </si>
  <si>
    <t>”嵐前”</t>
    <rPh sb="1" eb="2">
      <t>アラセィ</t>
    </rPh>
    <rPh sb="2" eb="3">
      <t>マエ</t>
    </rPh>
    <phoneticPr fontId="1"/>
  </si>
  <si>
    <t>”招かれざる客”</t>
    <rPh sb="1" eb="2">
      <t>マネカレ</t>
    </rPh>
    <rPh sb="6" eb="7">
      <t>キャク</t>
    </rPh>
    <phoneticPr fontId="1"/>
  </si>
  <si>
    <t>バギー一味冒険記vol.8</t>
    <rPh sb="3" eb="5">
      <t>イチミ</t>
    </rPh>
    <rPh sb="5" eb="8">
      <t>ボウケn</t>
    </rPh>
    <phoneticPr fontId="1"/>
  </si>
  <si>
    <t>裁きの森の決斗</t>
    <rPh sb="0" eb="1">
      <t>サバキ</t>
    </rPh>
    <rPh sb="3" eb="4">
      <t>モリ</t>
    </rPh>
    <rPh sb="5" eb="6">
      <t>ケットウ</t>
    </rPh>
    <rPh sb="6" eb="7">
      <t xml:space="preserve">ト </t>
    </rPh>
    <phoneticPr fontId="1"/>
  </si>
  <si>
    <t>海賊艦隊提督”首領・クリーク”</t>
    <rPh sb="0" eb="4">
      <t>カイゾク</t>
    </rPh>
    <rPh sb="4" eb="6">
      <t>テイトク</t>
    </rPh>
    <rPh sb="7" eb="9">
      <t>シュリョウ</t>
    </rPh>
    <phoneticPr fontId="1"/>
  </si>
  <si>
    <t>バギー一味冒険記vol.9</t>
    <rPh sb="3" eb="5">
      <t>イチミ</t>
    </rPh>
    <rPh sb="5" eb="8">
      <t>ボウケn</t>
    </rPh>
    <phoneticPr fontId="1"/>
  </si>
  <si>
    <t>あんたも珍獣</t>
    <rPh sb="4" eb="6">
      <t>チンジュウ</t>
    </rPh>
    <phoneticPr fontId="1"/>
  </si>
  <si>
    <t>”その航路、やめときな”</t>
    <rPh sb="3" eb="5">
      <t>コウロ</t>
    </rPh>
    <phoneticPr fontId="1"/>
  </si>
  <si>
    <t>バギー一味冒険記vol.10</t>
    <rPh sb="3" eb="5">
      <t>イチミ</t>
    </rPh>
    <rPh sb="5" eb="8">
      <t>ボウケn</t>
    </rPh>
    <phoneticPr fontId="1"/>
  </si>
  <si>
    <t>強敵（とも）との別れ</t>
    <rPh sb="0" eb="2">
      <t>キョウテキ</t>
    </rPh>
    <rPh sb="8" eb="9">
      <t>ワカレ</t>
    </rPh>
    <phoneticPr fontId="1"/>
  </si>
  <si>
    <t>”嵐”</t>
    <rPh sb="1" eb="2">
      <t>アラセィ</t>
    </rPh>
    <phoneticPr fontId="1"/>
  </si>
  <si>
    <t>”己々が路”</t>
    <rPh sb="1" eb="2">
      <t>オノレ</t>
    </rPh>
    <phoneticPr fontId="1"/>
  </si>
  <si>
    <t>バギー一味冒険記vol.11</t>
    <rPh sb="3" eb="5">
      <t>イチミ</t>
    </rPh>
    <rPh sb="5" eb="8">
      <t>ボウケn</t>
    </rPh>
    <phoneticPr fontId="1"/>
  </si>
  <si>
    <t>強襲のカニ</t>
    <rPh sb="0" eb="1">
      <t>キョウシュウ</t>
    </rPh>
    <phoneticPr fontId="1"/>
  </si>
  <si>
    <t>”ロロノア・ゾロ海に散る”</t>
    <rPh sb="8" eb="9">
      <t>ウミ</t>
    </rPh>
    <rPh sb="10" eb="11">
      <t xml:space="preserve">チル </t>
    </rPh>
    <phoneticPr fontId="1"/>
  </si>
  <si>
    <t>バギー一味冒険記vol.12</t>
    <rPh sb="3" eb="5">
      <t>イチミ</t>
    </rPh>
    <rPh sb="5" eb="8">
      <t>ボウケn</t>
    </rPh>
    <phoneticPr fontId="1"/>
  </si>
  <si>
    <t>謎の女海賊登場</t>
    <rPh sb="0" eb="1">
      <t>ナゾ</t>
    </rPh>
    <rPh sb="2" eb="5">
      <t>オンナ</t>
    </rPh>
    <rPh sb="5" eb="7">
      <t>トウジョウ</t>
    </rPh>
    <phoneticPr fontId="1"/>
  </si>
  <si>
    <t>”誓い”</t>
    <rPh sb="1" eb="2">
      <t xml:space="preserve">チカイ </t>
    </rPh>
    <phoneticPr fontId="1"/>
  </si>
  <si>
    <t>”サバガシラ１号”</t>
    <rPh sb="7" eb="8">
      <t>ゴウ</t>
    </rPh>
    <phoneticPr fontId="1"/>
  </si>
  <si>
    <t>バギー一味冒険記vol.13</t>
    <rPh sb="3" eb="5">
      <t>イチミ</t>
    </rPh>
    <rPh sb="5" eb="8">
      <t>ボウケn</t>
    </rPh>
    <phoneticPr fontId="1"/>
  </si>
  <si>
    <t>探し人</t>
    <rPh sb="0" eb="1">
      <t>サガセィ</t>
    </rPh>
    <rPh sb="2" eb="3">
      <t>ヒト</t>
    </rPh>
    <phoneticPr fontId="1"/>
  </si>
  <si>
    <t>棺船</t>
    <rPh sb="0" eb="1">
      <t>ヒツギ</t>
    </rPh>
    <rPh sb="1" eb="2">
      <t>フネ</t>
    </rPh>
    <phoneticPr fontId="1"/>
  </si>
  <si>
    <t>王下七武海</t>
    <rPh sb="0" eb="1">
      <t xml:space="preserve">オウカ </t>
    </rPh>
    <rPh sb="1" eb="2">
      <t xml:space="preserve">カ </t>
    </rPh>
    <rPh sb="2" eb="5">
      <t>シチブ</t>
    </rPh>
    <phoneticPr fontId="1"/>
  </si>
  <si>
    <t>世界政府</t>
    <rPh sb="0" eb="2">
      <t>セカイ</t>
    </rPh>
    <rPh sb="2" eb="4">
      <t>セイフ</t>
    </rPh>
    <phoneticPr fontId="1"/>
  </si>
  <si>
    <t>B</t>
    <phoneticPr fontId="1"/>
  </si>
  <si>
    <t>鷹の目のミホーク,世界最強の剣士</t>
    <rPh sb="0" eb="1">
      <t>タカノ</t>
    </rPh>
    <phoneticPr fontId="1"/>
  </si>
  <si>
    <t>G-014</t>
  </si>
  <si>
    <t>G-015</t>
  </si>
  <si>
    <t>G-014</t>
    <phoneticPr fontId="1"/>
  </si>
  <si>
    <t>所有者ID</t>
    <rPh sb="0" eb="3">
      <t>ショユウシャ</t>
    </rPh>
    <phoneticPr fontId="1"/>
  </si>
  <si>
    <t>製作者ID</t>
    <rPh sb="0" eb="3">
      <t>セイサクシャ</t>
    </rPh>
    <phoneticPr fontId="1"/>
  </si>
  <si>
    <t>W-002</t>
  </si>
  <si>
    <t>W-003</t>
  </si>
  <si>
    <t>W-004</t>
  </si>
  <si>
    <t>W-005</t>
  </si>
  <si>
    <t>W-006</t>
  </si>
  <si>
    <t>W-007</t>
  </si>
  <si>
    <t>W-008</t>
  </si>
  <si>
    <t>W-009</t>
  </si>
  <si>
    <t>W-010</t>
  </si>
  <si>
    <t>食あたり砲弾（ミートボール）</t>
  </si>
  <si>
    <t>三刀流奥義　三・千・世・界</t>
    <phoneticPr fontId="1"/>
  </si>
  <si>
    <t>M-040</t>
  </si>
  <si>
    <t>M-041</t>
  </si>
  <si>
    <t>M-042</t>
  </si>
  <si>
    <t>M-043</t>
  </si>
  <si>
    <t>M-044</t>
  </si>
  <si>
    <t>M-045</t>
  </si>
  <si>
    <t>ゴムゴムの大鎌</t>
    <rPh sb="5" eb="7">
      <t>オオガマ</t>
    </rPh>
    <phoneticPr fontId="1"/>
  </si>
  <si>
    <t>C005-12</t>
    <phoneticPr fontId="1"/>
  </si>
  <si>
    <t>M-038</t>
    <phoneticPr fontId="1"/>
  </si>
  <si>
    <t>C006-04</t>
    <phoneticPr fontId="1"/>
  </si>
  <si>
    <t>雑用ただ働き</t>
    <rPh sb="0" eb="2">
      <t>ザツヨウ</t>
    </rPh>
    <rPh sb="4" eb="5">
      <t>バタラ</t>
    </rPh>
    <phoneticPr fontId="1"/>
  </si>
  <si>
    <t>提督</t>
    <rPh sb="0" eb="2">
      <t>テイトク</t>
    </rPh>
    <phoneticPr fontId="1"/>
  </si>
  <si>
    <t>首領・クリーク</t>
    <phoneticPr fontId="1"/>
  </si>
  <si>
    <t>赫足のゼフ</t>
    <rPh sb="0" eb="2">
      <t>アカアシ</t>
    </rPh>
    <phoneticPr fontId="1"/>
  </si>
  <si>
    <t>珍獣島近海</t>
    <rPh sb="0" eb="3">
      <t>チンジュウシマ</t>
    </rPh>
    <rPh sb="3" eb="5">
      <t>キンカイ</t>
    </rPh>
    <phoneticPr fontId="1"/>
  </si>
  <si>
    <t>クック海賊団</t>
    <rPh sb="3" eb="6">
      <t>カイゾクダン</t>
    </rPh>
    <phoneticPr fontId="1"/>
  </si>
  <si>
    <t>船長兼コック</t>
    <rPh sb="0" eb="2">
      <t>センチョウ</t>
    </rPh>
    <rPh sb="2" eb="3">
      <t>ケン</t>
    </rPh>
    <phoneticPr fontId="1"/>
  </si>
  <si>
    <t>バラティエを襲撃する</t>
    <rPh sb="6" eb="8">
      <t>シュウゲキ</t>
    </rPh>
    <phoneticPr fontId="1"/>
  </si>
  <si>
    <t>E001-94</t>
  </si>
  <si>
    <t>E001-95</t>
  </si>
  <si>
    <t>E001-96</t>
  </si>
  <si>
    <t>E001-97</t>
  </si>
  <si>
    <t>E001-98</t>
  </si>
  <si>
    <t>E001-99</t>
  </si>
  <si>
    <t>E001-100</t>
  </si>
  <si>
    <t>E001-101</t>
  </si>
  <si>
    <t>E001-102</t>
  </si>
  <si>
    <t>偉大なる航路に入る</t>
    <rPh sb="0" eb="2">
      <t>イダイ</t>
    </rPh>
    <rPh sb="4" eb="6">
      <t>コウロ</t>
    </rPh>
    <rPh sb="7" eb="8">
      <t>ハイ</t>
    </rPh>
    <phoneticPr fontId="1"/>
  </si>
  <si>
    <t>バラティエ近海</t>
    <rPh sb="5" eb="7">
      <t>キンカイ</t>
    </rPh>
    <phoneticPr fontId="1"/>
  </si>
  <si>
    <t>L-015</t>
    <phoneticPr fontId="1"/>
  </si>
  <si>
    <t>宝と船をもって逃げる</t>
    <rPh sb="0" eb="1">
      <t>タカラ</t>
    </rPh>
    <rPh sb="2" eb="3">
      <t>フネ</t>
    </rPh>
    <rPh sb="7" eb="8">
      <t>ニ</t>
    </rPh>
    <phoneticPr fontId="1"/>
  </si>
  <si>
    <t>B001-16</t>
  </si>
  <si>
    <t>B001-17</t>
  </si>
  <si>
    <t>B001-18</t>
  </si>
  <si>
    <t>B001-19</t>
  </si>
  <si>
    <t>B001-20</t>
  </si>
  <si>
    <t>C006-04</t>
    <phoneticPr fontId="1"/>
  </si>
  <si>
    <t>世界最強の剣士</t>
    <rPh sb="0" eb="4">
      <t>セカイサイキョウ</t>
    </rPh>
    <rPh sb="5" eb="7">
      <t>ケンシ</t>
    </rPh>
    <phoneticPr fontId="1"/>
  </si>
  <si>
    <t>世界政府</t>
    <rPh sb="0" eb="4">
      <t>セカイセイフ</t>
    </rPh>
    <phoneticPr fontId="1"/>
  </si>
  <si>
    <t>ミホークに敗北する</t>
    <rPh sb="5" eb="7">
      <t>ハイボク</t>
    </rPh>
    <phoneticPr fontId="1"/>
  </si>
  <si>
    <t>C001-21</t>
    <phoneticPr fontId="1"/>
  </si>
  <si>
    <t>暇つぶしにクリークを追ってくる</t>
    <rPh sb="0" eb="1">
      <t>ヒマ</t>
    </rPh>
    <rPh sb="10" eb="11">
      <t>オ</t>
    </rPh>
    <phoneticPr fontId="1"/>
  </si>
  <si>
    <t>E001-103</t>
  </si>
  <si>
    <t>E001-104</t>
  </si>
  <si>
    <t>E001-105</t>
  </si>
  <si>
    <t>E001-106</t>
  </si>
  <si>
    <t>E001-107</t>
  </si>
  <si>
    <t>E001-108</t>
  </si>
  <si>
    <t>E001-109</t>
  </si>
  <si>
    <t>E001-110</t>
  </si>
  <si>
    <t>ナミを追いかける</t>
    <rPh sb="3" eb="4">
      <t>オ</t>
    </rPh>
    <phoneticPr fontId="1"/>
  </si>
  <si>
    <t>ミホークに艦隊を壊滅させられる</t>
    <rPh sb="5" eb="7">
      <t>カンタイ</t>
    </rPh>
    <rPh sb="8" eb="10">
      <t>カイメツ</t>
    </rPh>
    <phoneticPr fontId="1"/>
  </si>
  <si>
    <t>クリーク艦隊を壊滅させる</t>
    <rPh sb="4" eb="6">
      <t>カンタイ</t>
    </rPh>
    <rPh sb="7" eb="9">
      <t>カイメツ</t>
    </rPh>
    <phoneticPr fontId="1"/>
  </si>
  <si>
    <t>”パールさん”</t>
    <phoneticPr fontId="1"/>
  </si>
  <si>
    <t>バギー一味冒険記vol.14</t>
    <rPh sb="3" eb="5">
      <t>イチミ</t>
    </rPh>
    <rPh sb="5" eb="8">
      <t>ボウケn</t>
    </rPh>
    <phoneticPr fontId="1"/>
  </si>
  <si>
    <t>”JUNGLE BLOOD”</t>
    <phoneticPr fontId="1"/>
  </si>
  <si>
    <t>バギー一味冒険記vol.15</t>
    <rPh sb="3" eb="5">
      <t>イチミ</t>
    </rPh>
    <rPh sb="5" eb="8">
      <t>ボウケn</t>
    </rPh>
    <phoneticPr fontId="1"/>
  </si>
  <si>
    <t>”やなこった”</t>
    <phoneticPr fontId="1"/>
  </si>
  <si>
    <t>”夢在るがゆえ”</t>
    <rPh sb="1" eb="2">
      <t>ユメ</t>
    </rPh>
    <rPh sb="2" eb="3">
      <t xml:space="preserve">アル </t>
    </rPh>
    <phoneticPr fontId="1"/>
  </si>
  <si>
    <t>バギー一味冒険記vol.16</t>
    <rPh sb="3" eb="5">
      <t>イチミ</t>
    </rPh>
    <rPh sb="5" eb="8">
      <t>ボウケn</t>
    </rPh>
    <phoneticPr fontId="1"/>
  </si>
  <si>
    <t>”クソジジイ”</t>
    <phoneticPr fontId="1"/>
  </si>
  <si>
    <t>バギー一味冒険記vol.17</t>
    <rPh sb="3" eb="5">
      <t>イチミ</t>
    </rPh>
    <rPh sb="5" eb="8">
      <t>ボウケn</t>
    </rPh>
    <phoneticPr fontId="1"/>
  </si>
  <si>
    <t>”恩”</t>
    <rPh sb="1" eb="2">
      <t>オン"</t>
    </rPh>
    <phoneticPr fontId="1"/>
  </si>
  <si>
    <t>バギー一味冒険記vol.18</t>
    <rPh sb="3" eb="5">
      <t>イチミ</t>
    </rPh>
    <rPh sb="5" eb="8">
      <t>ボウケn</t>
    </rPh>
    <phoneticPr fontId="1"/>
  </si>
  <si>
    <t>”ケジメ”</t>
    <phoneticPr fontId="1"/>
  </si>
  <si>
    <t>バギー一味冒険記vol.19</t>
    <rPh sb="3" eb="5">
      <t>イチミ</t>
    </rPh>
    <rPh sb="5" eb="8">
      <t>ボウケn</t>
    </rPh>
    <phoneticPr fontId="1"/>
  </si>
  <si>
    <t>”鬼”</t>
    <rPh sb="1" eb="2">
      <t xml:space="preserve">オニ </t>
    </rPh>
    <phoneticPr fontId="1"/>
  </si>
  <si>
    <t>”M・H・５”</t>
    <phoneticPr fontId="1"/>
  </si>
  <si>
    <t>リッチー一味冒険記vol.1</t>
    <rPh sb="4" eb="6">
      <t>イチミ</t>
    </rPh>
    <rPh sb="6" eb="9">
      <t>ボウケn</t>
    </rPh>
    <phoneticPr fontId="1"/>
  </si>
  <si>
    <t>海賊同盟</t>
    <rPh sb="0" eb="2">
      <t>カイゾク</t>
    </rPh>
    <rPh sb="2" eb="4">
      <t>ドウメイ</t>
    </rPh>
    <phoneticPr fontId="1"/>
  </si>
  <si>
    <t>おおキャプテン、我らが胸に</t>
    <rPh sb="8" eb="9">
      <t>ワレラグ</t>
    </rPh>
    <rPh sb="11" eb="12">
      <t>ムネニ</t>
    </rPh>
    <phoneticPr fontId="1"/>
  </si>
  <si>
    <t>次期船長決定戦</t>
    <rPh sb="0" eb="4">
      <t>ジキセn</t>
    </rPh>
    <rPh sb="4" eb="7">
      <t>k</t>
    </rPh>
    <phoneticPr fontId="1"/>
  </si>
  <si>
    <t>激闘12時間</t>
    <rPh sb="0" eb="2">
      <t>ゲキトウ</t>
    </rPh>
    <rPh sb="4" eb="6">
      <t>ジカn</t>
    </rPh>
    <phoneticPr fontId="1"/>
  </si>
  <si>
    <t>炸裂!!”寝ボケリッチー”</t>
    <rPh sb="0" eb="2">
      <t>サクレy</t>
    </rPh>
    <rPh sb="5" eb="6">
      <t>ネボケ</t>
    </rPh>
    <phoneticPr fontId="1"/>
  </si>
  <si>
    <t>結成!!リッチー海賊団</t>
    <rPh sb="0" eb="2">
      <t>ケッセイ</t>
    </rPh>
    <rPh sb="8" eb="11">
      <t>カイゾク</t>
    </rPh>
    <phoneticPr fontId="1"/>
  </si>
  <si>
    <t>島の先住民クマテ族</t>
    <rPh sb="0" eb="1">
      <t>シマ</t>
    </rPh>
    <rPh sb="2" eb="5">
      <t>セn</t>
    </rPh>
    <rPh sb="8" eb="9">
      <t>ゾク</t>
    </rPh>
    <phoneticPr fontId="1"/>
  </si>
  <si>
    <t>C007-01</t>
    <phoneticPr fontId="1"/>
  </si>
  <si>
    <t>C007-02</t>
  </si>
  <si>
    <t>C007-03</t>
  </si>
  <si>
    <t>C007-04</t>
  </si>
  <si>
    <t>パール</t>
  </si>
  <si>
    <t>鉄壁のパール</t>
    <rPh sb="0" eb="2">
      <t>テッペキ</t>
    </rPh>
    <phoneticPr fontId="1"/>
  </si>
  <si>
    <t>第２部隊　隊長</t>
    <rPh sb="0" eb="2">
      <t>ダイニブタ</t>
    </rPh>
    <rPh sb="2" eb="4">
      <t>ブタイ</t>
    </rPh>
    <rPh sb="5" eb="7">
      <t>タイチョウ</t>
    </rPh>
    <phoneticPr fontId="1"/>
  </si>
  <si>
    <t>盾</t>
    <rPh sb="0" eb="1">
      <t xml:space="preserve">タテ </t>
    </rPh>
    <phoneticPr fontId="1"/>
  </si>
  <si>
    <t>ホタテ</t>
    <phoneticPr fontId="1"/>
  </si>
  <si>
    <t>タテ男でダテ男。過去６１回の死闘を無傷で勝利。</t>
    <rPh sb="2" eb="3">
      <t>オトコ</t>
    </rPh>
    <rPh sb="6" eb="7">
      <t>オトコ</t>
    </rPh>
    <rPh sb="8" eb="10">
      <t>カコ</t>
    </rPh>
    <rPh sb="12" eb="13">
      <t>カイ</t>
    </rPh>
    <rPh sb="14" eb="16">
      <t>シトウ</t>
    </rPh>
    <rPh sb="17" eb="19">
      <t>ムキズデ</t>
    </rPh>
    <rPh sb="20" eb="22">
      <t>ショウリ</t>
    </rPh>
    <phoneticPr fontId="1"/>
  </si>
  <si>
    <t>アイデアマン</t>
    <phoneticPr fontId="1"/>
  </si>
  <si>
    <t>参謀</t>
    <rPh sb="0" eb="2">
      <t>サンボウ</t>
    </rPh>
    <phoneticPr fontId="1"/>
  </si>
  <si>
    <t>ハッスル</t>
    <phoneticPr fontId="1"/>
  </si>
  <si>
    <t>戦闘インストラクター</t>
    <rPh sb="0" eb="2">
      <t>セントウ</t>
    </rPh>
    <phoneticPr fontId="1"/>
  </si>
  <si>
    <t>クマテ族</t>
    <rPh sb="3" eb="4">
      <t>ゾク</t>
    </rPh>
    <phoneticPr fontId="1"/>
  </si>
  <si>
    <t>30~50人以上</t>
    <rPh sb="5" eb="6">
      <t>ニn</t>
    </rPh>
    <rPh sb="6" eb="8">
      <t>イジョウ</t>
    </rPh>
    <phoneticPr fontId="1"/>
  </si>
  <si>
    <t>カギッコ</t>
    <phoneticPr fontId="1"/>
  </si>
  <si>
    <t>クリーク海賊団</t>
    <phoneticPr fontId="1"/>
  </si>
  <si>
    <t>錠前師</t>
    <rPh sb="0" eb="2">
      <t>ジョウマ</t>
    </rPh>
    <rPh sb="2" eb="3">
      <t xml:space="preserve">シ </t>
    </rPh>
    <phoneticPr fontId="1"/>
  </si>
  <si>
    <t>-</t>
    <phoneticPr fontId="1"/>
  </si>
  <si>
    <t>ファイヤーパール大特典</t>
  </si>
  <si>
    <t>ファイヤーパールプレゼント</t>
  </si>
  <si>
    <t>超天然パールプレゼント</t>
  </si>
  <si>
    <t>パールクローズ</t>
  </si>
  <si>
    <t>サービスパールイブシギンプレゼント</t>
  </si>
  <si>
    <t>M-046</t>
  </si>
  <si>
    <t>M-047</t>
  </si>
  <si>
    <t>M-048</t>
  </si>
  <si>
    <t>M-049</t>
  </si>
  <si>
    <t>M-050</t>
  </si>
  <si>
    <t>ダメ押しパールプレゼント</t>
    <rPh sb="2" eb="3">
      <t>オ</t>
    </rPh>
    <phoneticPr fontId="1"/>
  </si>
  <si>
    <t>ゴムゴムの戦斧（オノ）</t>
  </si>
  <si>
    <t>炸裂手裏剣</t>
  </si>
  <si>
    <t>M・H・５</t>
  </si>
  <si>
    <t>アルビダと出会い、海賊同盟を結ぶ</t>
    <rPh sb="5" eb="7">
      <t>デア</t>
    </rPh>
    <rPh sb="9" eb="13">
      <t>カイゾ</t>
    </rPh>
    <rPh sb="14" eb="15">
      <t>ムス</t>
    </rPh>
    <phoneticPr fontId="1"/>
  </si>
  <si>
    <t>バギーと出会い、海賊同盟を結ぶ</t>
    <rPh sb="4" eb="6">
      <t>デア</t>
    </rPh>
    <rPh sb="8" eb="12">
      <t>カイゾクドウメイ</t>
    </rPh>
    <rPh sb="13" eb="14">
      <t>ムス</t>
    </rPh>
    <phoneticPr fontId="1"/>
  </si>
  <si>
    <t>L-016</t>
  </si>
  <si>
    <t>L-017</t>
  </si>
  <si>
    <t>L-018</t>
  </si>
  <si>
    <t>L-019</t>
  </si>
  <si>
    <t>L-020</t>
  </si>
  <si>
    <t>先住民のいる島</t>
    <rPh sb="0" eb="3">
      <t>センジュウミン</t>
    </rPh>
    <rPh sb="6" eb="7">
      <t>シマ</t>
    </rPh>
    <phoneticPr fontId="1"/>
  </si>
  <si>
    <t>E001-111</t>
  </si>
  <si>
    <t>E001-112</t>
  </si>
  <si>
    <t>E001-113</t>
  </si>
  <si>
    <t>E001-114</t>
  </si>
  <si>
    <t>E001-115</t>
  </si>
  <si>
    <t>E001-116</t>
  </si>
  <si>
    <t>E001-117</t>
  </si>
  <si>
    <t>E001-118</t>
  </si>
  <si>
    <t>E001-119</t>
  </si>
  <si>
    <t>E001-120</t>
  </si>
  <si>
    <t>E001-121</t>
  </si>
  <si>
    <t>バギーを弔う</t>
    <rPh sb="4" eb="5">
      <t>トムラ</t>
    </rPh>
    <phoneticPr fontId="1"/>
  </si>
  <si>
    <t>C007-01</t>
    <phoneticPr fontId="1"/>
  </si>
  <si>
    <t>G-016</t>
  </si>
  <si>
    <t>G-017</t>
  </si>
  <si>
    <t>G-018</t>
  </si>
  <si>
    <t>G-019</t>
  </si>
  <si>
    <t>G-020</t>
  </si>
  <si>
    <t>客船</t>
    <rPh sb="0" eb="2">
      <t>キャクセン</t>
    </rPh>
    <phoneticPr fontId="1"/>
  </si>
  <si>
    <t>客船オービット号</t>
    <rPh sb="0" eb="2">
      <t>キャクセン</t>
    </rPh>
    <rPh sb="7" eb="8">
      <t>ゴウ</t>
    </rPh>
    <phoneticPr fontId="1"/>
  </si>
  <si>
    <t>コック見習い</t>
    <rPh sb="3" eb="5">
      <t>ミナラ</t>
    </rPh>
    <phoneticPr fontId="1"/>
  </si>
  <si>
    <t>客船オービット号を襲撃</t>
    <rPh sb="0" eb="2">
      <t>キャクセン</t>
    </rPh>
    <rPh sb="7" eb="8">
      <t>ゴウ</t>
    </rPh>
    <rPh sb="9" eb="11">
      <t>シュウゲキ</t>
    </rPh>
    <phoneticPr fontId="1"/>
  </si>
  <si>
    <t>クック海賊団から襲撃を受ける</t>
    <rPh sb="3" eb="6">
      <t>カイゾクダン</t>
    </rPh>
    <rPh sb="8" eb="10">
      <t>シュウゲキ</t>
    </rPh>
    <rPh sb="11" eb="12">
      <t>ウ</t>
    </rPh>
    <phoneticPr fontId="1"/>
  </si>
  <si>
    <t>遭難するも救助される</t>
    <rPh sb="0" eb="2">
      <t>ソウナン</t>
    </rPh>
    <rPh sb="5" eb="7">
      <t>キュウジョ</t>
    </rPh>
    <phoneticPr fontId="1"/>
  </si>
  <si>
    <t>戦闘総隊長</t>
    <rPh sb="0" eb="2">
      <t>セントウ</t>
    </rPh>
    <rPh sb="2" eb="5">
      <t>ソウタイチョウ</t>
    </rPh>
    <phoneticPr fontId="1"/>
  </si>
  <si>
    <t>次期船長をめぐりカバジと決闘をするもリッチーに敗北する</t>
    <rPh sb="0" eb="4">
      <t>ジキセンチョウ</t>
    </rPh>
    <rPh sb="12" eb="14">
      <t>ケットウ</t>
    </rPh>
    <rPh sb="23" eb="25">
      <t>ハイボク</t>
    </rPh>
    <phoneticPr fontId="1"/>
  </si>
  <si>
    <t>次期船長をめぐりモージと決闘をするもリッチーに敗北する</t>
    <rPh sb="0" eb="4">
      <t>ジキセンチョウ</t>
    </rPh>
    <rPh sb="12" eb="14">
      <t>ケットウ</t>
    </rPh>
    <rPh sb="23" eb="25">
      <t>ハイボク</t>
    </rPh>
    <phoneticPr fontId="1"/>
  </si>
  <si>
    <t>C006-03</t>
    <phoneticPr fontId="1"/>
  </si>
  <si>
    <t>C008-01</t>
    <phoneticPr fontId="1"/>
  </si>
  <si>
    <t>C008-02</t>
  </si>
  <si>
    <t>C008-03</t>
  </si>
  <si>
    <t>C008-04</t>
  </si>
  <si>
    <t>C008-05</t>
  </si>
  <si>
    <t>C008-06</t>
  </si>
  <si>
    <t>C008-07</t>
  </si>
  <si>
    <t>C008-08</t>
  </si>
  <si>
    <t>C008-09</t>
  </si>
  <si>
    <t>パンサメ</t>
    <phoneticPr fontId="1"/>
  </si>
  <si>
    <t>ナミ魚人</t>
    <rPh sb="2" eb="4">
      <t>ギョジn</t>
    </rPh>
    <phoneticPr fontId="1"/>
  </si>
  <si>
    <t>ネズミ</t>
  </si>
  <si>
    <t>海軍第16支部</t>
    <rPh sb="0" eb="2">
      <t>カイグn</t>
    </rPh>
    <phoneticPr fontId="1"/>
  </si>
  <si>
    <t>チーズ</t>
    <phoneticPr fontId="1"/>
  </si>
  <si>
    <t>アーロン</t>
  </si>
  <si>
    <t>シャーク・スパーブ号</t>
    <rPh sb="9" eb="10">
      <t>ゴウ</t>
    </rPh>
    <phoneticPr fontId="1"/>
  </si>
  <si>
    <t>魚人島・リュウグウ王国　魚人街</t>
    <rPh sb="0" eb="3">
      <t>ギョジn</t>
    </rPh>
    <rPh sb="9" eb="11">
      <t>オウ</t>
    </rPh>
    <rPh sb="12" eb="15">
      <t>ギョジn</t>
    </rPh>
    <phoneticPr fontId="1"/>
  </si>
  <si>
    <t>ノコギリのアーロン</t>
    <phoneticPr fontId="1"/>
  </si>
  <si>
    <t>アーロン一味</t>
    <rPh sb="4" eb="6">
      <t>イチミ</t>
    </rPh>
    <phoneticPr fontId="1"/>
  </si>
  <si>
    <t>キリバチ</t>
    <phoneticPr fontId="1"/>
  </si>
  <si>
    <t>牛の丸焼き</t>
    <rPh sb="0" eb="1">
      <t>ウシノ</t>
    </rPh>
    <rPh sb="2" eb="4">
      <t>マル</t>
    </rPh>
    <phoneticPr fontId="1"/>
  </si>
  <si>
    <t>ノコギリザメの魚人</t>
    <rPh sb="7" eb="9">
      <t>ギョジn</t>
    </rPh>
    <phoneticPr fontId="1"/>
  </si>
  <si>
    <t>はっちゃん</t>
  </si>
  <si>
    <t>六刀流のハチ</t>
    <rPh sb="0" eb="3">
      <t>６ト</t>
    </rPh>
    <phoneticPr fontId="1"/>
  </si>
  <si>
    <t>たこ焼き、たこ焼き煎餅</t>
    <phoneticPr fontId="1"/>
  </si>
  <si>
    <t>タコの魚人/元アーロン一味</t>
    <rPh sb="3" eb="5">
      <t>ギョジn</t>
    </rPh>
    <rPh sb="6" eb="7">
      <t xml:space="preserve">モト </t>
    </rPh>
    <rPh sb="11" eb="13">
      <t>イチミ</t>
    </rPh>
    <phoneticPr fontId="1"/>
  </si>
  <si>
    <t>チャボ</t>
    <phoneticPr fontId="1"/>
  </si>
  <si>
    <t>ゴサの町</t>
    <rPh sb="3" eb="4">
      <t>マティ</t>
    </rPh>
    <phoneticPr fontId="1"/>
  </si>
  <si>
    <t>ノジコ</t>
  </si>
  <si>
    <t>みかん</t>
    <phoneticPr fontId="1"/>
  </si>
  <si>
    <t>ゲンゾウ</t>
  </si>
  <si>
    <t>駐在</t>
    <rPh sb="0" eb="2">
      <t>チュウ</t>
    </rPh>
    <phoneticPr fontId="1"/>
  </si>
  <si>
    <t>生ハムメロン</t>
    <rPh sb="0" eb="1">
      <t>ナマハム</t>
    </rPh>
    <phoneticPr fontId="1"/>
  </si>
  <si>
    <t>-</t>
    <phoneticPr fontId="1"/>
  </si>
  <si>
    <t>幹部</t>
    <rPh sb="0" eb="2">
      <t>カンブ</t>
    </rPh>
    <phoneticPr fontId="1"/>
  </si>
  <si>
    <t>魚人</t>
    <rPh sb="0" eb="2">
      <t>ギョジン</t>
    </rPh>
    <phoneticPr fontId="1"/>
  </si>
  <si>
    <t>B</t>
    <phoneticPr fontId="1"/>
  </si>
  <si>
    <t>C</t>
    <phoneticPr fontId="1"/>
  </si>
  <si>
    <t>パンサメ</t>
    <phoneticPr fontId="1"/>
  </si>
  <si>
    <t>コノミ諸島</t>
    <rPh sb="3" eb="5">
      <t>ショトウ</t>
    </rPh>
    <phoneticPr fontId="1"/>
  </si>
  <si>
    <t>アーロンパーク</t>
    <phoneticPr fontId="1"/>
  </si>
  <si>
    <t>M-051</t>
  </si>
  <si>
    <t>M-052</t>
  </si>
  <si>
    <t>M-053</t>
  </si>
  <si>
    <t>M-054</t>
  </si>
  <si>
    <t>M-055</t>
  </si>
  <si>
    <t>M-056</t>
  </si>
  <si>
    <t>M-057</t>
  </si>
  <si>
    <t>M-058</t>
  </si>
  <si>
    <t>M-059</t>
  </si>
  <si>
    <t>M-060</t>
  </si>
  <si>
    <t>剣山マント</t>
  </si>
  <si>
    <t>ゴムゴムの銃弾（ブレット）</t>
    <rPh sb="5" eb="7">
      <t>ジュウダン</t>
    </rPh>
    <phoneticPr fontId="1"/>
  </si>
  <si>
    <t>大戦槍</t>
    <rPh sb="0" eb="2">
      <t>ダイセn</t>
    </rPh>
    <rPh sb="2" eb="3">
      <t xml:space="preserve">ヤリスギ </t>
    </rPh>
    <phoneticPr fontId="1"/>
  </si>
  <si>
    <t>ゴムゴムの大槌（オオヅチ）</t>
    <rPh sb="5" eb="7">
      <t>オオテゥ</t>
    </rPh>
    <phoneticPr fontId="1"/>
  </si>
  <si>
    <t>”死なねェよ”</t>
    <rPh sb="1" eb="2">
      <t xml:space="preserve">シナネェヨ </t>
    </rPh>
    <phoneticPr fontId="1"/>
  </si>
  <si>
    <t>リッチー一味冒険記最終話</t>
    <rPh sb="4" eb="6">
      <t>イチミ</t>
    </rPh>
    <rPh sb="6" eb="9">
      <t>ボウケn</t>
    </rPh>
    <rPh sb="9" eb="12">
      <t>サイシュウ</t>
    </rPh>
    <phoneticPr fontId="1"/>
  </si>
  <si>
    <t>リッチー一味粉砕</t>
    <rPh sb="4" eb="6">
      <t>イチミ</t>
    </rPh>
    <rPh sb="6" eb="8">
      <t>フンサイ</t>
    </rPh>
    <phoneticPr fontId="1"/>
  </si>
  <si>
    <t>”大戦槍”</t>
    <rPh sb="1" eb="2">
      <t>ダイセn</t>
    </rPh>
    <rPh sb="3" eb="4">
      <t xml:space="preserve">ヤリスギ </t>
    </rPh>
    <phoneticPr fontId="1"/>
  </si>
  <si>
    <t>”覚悟”</t>
    <rPh sb="1" eb="3">
      <t>カクゴ</t>
    </rPh>
    <phoneticPr fontId="1"/>
  </si>
  <si>
    <t>バギー一味冒険記vol.20</t>
    <rPh sb="3" eb="5">
      <t>イチミ</t>
    </rPh>
    <rPh sb="5" eb="8">
      <t>ボウケn</t>
    </rPh>
    <phoneticPr fontId="1"/>
  </si>
  <si>
    <t>発見!!我が海賊船!!</t>
    <rPh sb="0" eb="2">
      <t>ハッケn</t>
    </rPh>
    <rPh sb="4" eb="5">
      <t>ワガ</t>
    </rPh>
    <rPh sb="6" eb="9">
      <t>カイゾク</t>
    </rPh>
    <phoneticPr fontId="1"/>
  </si>
  <si>
    <t>”噛み殺した槍”</t>
    <rPh sb="1" eb="2">
      <t>カミコロシタ</t>
    </rPh>
    <rPh sb="6" eb="7">
      <t>ヤリ</t>
    </rPh>
    <phoneticPr fontId="1"/>
  </si>
  <si>
    <t>バギー一味冒険記vol.21</t>
    <rPh sb="3" eb="5">
      <t>イチミ</t>
    </rPh>
    <rPh sb="5" eb="8">
      <t>ボウケn</t>
    </rPh>
    <phoneticPr fontId="1"/>
  </si>
  <si>
    <t>再開ーそんなバナナー</t>
    <rPh sb="0" eb="2">
      <t>サイカイ</t>
    </rPh>
    <phoneticPr fontId="1"/>
  </si>
  <si>
    <t>”soup"</t>
    <phoneticPr fontId="1"/>
  </si>
  <si>
    <t>バギー一味冒険記vol.22</t>
    <rPh sb="3" eb="5">
      <t>イチミ</t>
    </rPh>
    <rPh sb="5" eb="8">
      <t>ボウケn</t>
    </rPh>
    <phoneticPr fontId="1"/>
  </si>
  <si>
    <t>リッチーズ・オー・ヴァン（リッチー一味の赤ワイン煮込み）</t>
    <rPh sb="0" eb="4">
      <t>リッチーズ</t>
    </rPh>
    <rPh sb="17" eb="19">
      <t>イチミ</t>
    </rPh>
    <rPh sb="20" eb="21">
      <t>アカワイn</t>
    </rPh>
    <rPh sb="24" eb="26">
      <t>ニコミ</t>
    </rPh>
    <rPh sb="27" eb="28">
      <t>ニコミ</t>
    </rPh>
    <phoneticPr fontId="1"/>
  </si>
  <si>
    <t>”４人目”</t>
    <rPh sb="2" eb="4">
      <t>ニn</t>
    </rPh>
    <phoneticPr fontId="1"/>
  </si>
  <si>
    <t>バギー一味冒険記vol.23</t>
    <rPh sb="3" eb="5">
      <t>イチミ</t>
    </rPh>
    <rPh sb="5" eb="8">
      <t>ボウケn</t>
    </rPh>
    <phoneticPr fontId="1"/>
  </si>
  <si>
    <t>不審なパーツ</t>
    <rPh sb="0" eb="2">
      <t>フシn</t>
    </rPh>
    <phoneticPr fontId="1"/>
  </si>
  <si>
    <t>”アーロンパーク”</t>
    <phoneticPr fontId="1"/>
  </si>
  <si>
    <t>”男ウソップ大冒険”</t>
    <rPh sb="1" eb="2">
      <t>オトコ</t>
    </rPh>
    <rPh sb="6" eb="9">
      <t xml:space="preserve">ダイボウケン </t>
    </rPh>
    <phoneticPr fontId="1"/>
  </si>
  <si>
    <t>”万物の霊長”</t>
    <rPh sb="1" eb="3">
      <t>バンブテゥ</t>
    </rPh>
    <rPh sb="4" eb="6">
      <t>0チョウ</t>
    </rPh>
    <phoneticPr fontId="1"/>
  </si>
  <si>
    <t>バギー一味冒険記vol.24</t>
    <rPh sb="3" eb="5">
      <t>イチミ</t>
    </rPh>
    <rPh sb="5" eb="8">
      <t>ボウケn</t>
    </rPh>
    <phoneticPr fontId="1"/>
  </si>
  <si>
    <t>暴れ出せパーツ!!</t>
    <rPh sb="0" eb="1">
      <t>アバレ</t>
    </rPh>
    <phoneticPr fontId="1"/>
  </si>
  <si>
    <t>”分相応”</t>
    <rPh sb="1" eb="4">
      <t>ブンソウオウ</t>
    </rPh>
    <phoneticPr fontId="1"/>
  </si>
  <si>
    <t>バギー一味冒険記vol.25</t>
    <rPh sb="3" eb="5">
      <t>イチミ</t>
    </rPh>
    <rPh sb="5" eb="8">
      <t>ボウケn</t>
    </rPh>
    <phoneticPr fontId="1"/>
  </si>
  <si>
    <t>空の彼方に光る影</t>
    <rPh sb="0" eb="1">
      <t>ソラノカナテ</t>
    </rPh>
    <rPh sb="5" eb="6">
      <t>ヒカル</t>
    </rPh>
    <phoneticPr fontId="1"/>
  </si>
  <si>
    <t>”偉大なる航路”から来た怪物</t>
    <rPh sb="1" eb="3">
      <t>イダイ</t>
    </rPh>
    <rPh sb="5" eb="7">
      <t>コウロ</t>
    </rPh>
    <rPh sb="10" eb="11">
      <t xml:space="preserve">キタ </t>
    </rPh>
    <rPh sb="12" eb="14">
      <t>カイブテゥ</t>
    </rPh>
    <phoneticPr fontId="1"/>
  </si>
  <si>
    <t>バギー一味冒険記vol.26</t>
    <rPh sb="3" eb="5">
      <t>イチミ</t>
    </rPh>
    <rPh sb="5" eb="8">
      <t>ボウケn</t>
    </rPh>
    <phoneticPr fontId="1"/>
  </si>
  <si>
    <t>またせたな!!!野郎共!!!</t>
    <rPh sb="8" eb="10">
      <t>ヤロウドモ</t>
    </rPh>
    <phoneticPr fontId="1"/>
  </si>
  <si>
    <t>”仕事”（ビジネス）</t>
    <rPh sb="1" eb="3">
      <t>シゴト</t>
    </rPh>
    <phoneticPr fontId="1"/>
  </si>
  <si>
    <t>バギー一味冒険記vol.27</t>
    <rPh sb="3" eb="5">
      <t>イチミ</t>
    </rPh>
    <rPh sb="5" eb="8">
      <t>ボウケn</t>
    </rPh>
    <phoneticPr fontId="1"/>
  </si>
  <si>
    <t>パレード!!</t>
    <phoneticPr fontId="1"/>
  </si>
  <si>
    <t>”海図と魚人”</t>
    <rPh sb="1" eb="2">
      <t>カイ</t>
    </rPh>
    <rPh sb="4" eb="6">
      <t>ギョジn</t>
    </rPh>
    <phoneticPr fontId="1"/>
  </si>
  <si>
    <t>バギー一味冒険記最終回</t>
    <rPh sb="3" eb="5">
      <t>イチミ</t>
    </rPh>
    <rPh sb="5" eb="8">
      <t>ボウケn</t>
    </rPh>
    <rPh sb="8" eb="10">
      <t>サイシュウワ</t>
    </rPh>
    <rPh sb="10" eb="11">
      <t>カイ</t>
    </rPh>
    <phoneticPr fontId="1"/>
  </si>
  <si>
    <t>おおキャプテン我が船長よ!!</t>
    <rPh sb="7" eb="8">
      <t>ワガ</t>
    </rPh>
    <rPh sb="9" eb="11">
      <t>センチョウ</t>
    </rPh>
    <phoneticPr fontId="1"/>
  </si>
  <si>
    <t>”ねる”</t>
    <phoneticPr fontId="1"/>
  </si>
  <si>
    <t>”夢の一歩”</t>
    <rPh sb="1" eb="2">
      <t>ユメ</t>
    </rPh>
    <rPh sb="3" eb="5">
      <t>イッポ</t>
    </rPh>
    <phoneticPr fontId="1"/>
  </si>
  <si>
    <t>”ベルメールさん”</t>
    <phoneticPr fontId="1"/>
  </si>
  <si>
    <t>”生きる”</t>
    <rPh sb="1" eb="2">
      <t>イキル</t>
    </rPh>
    <phoneticPr fontId="1"/>
  </si>
  <si>
    <t>”罪は罪”</t>
    <rPh sb="1" eb="2">
      <t>ツミ</t>
    </rPh>
    <rPh sb="3" eb="4">
      <t>ツミ</t>
    </rPh>
    <phoneticPr fontId="1"/>
  </si>
  <si>
    <t>”涙”</t>
    <rPh sb="1" eb="2">
      <t>ナミダ</t>
    </rPh>
    <phoneticPr fontId="1"/>
  </si>
  <si>
    <t>VS.アーロン一味</t>
    <rPh sb="7" eb="9">
      <t>イチミ</t>
    </rPh>
    <phoneticPr fontId="1"/>
  </si>
  <si>
    <t>アーロンパーク</t>
    <phoneticPr fontId="1"/>
  </si>
  <si>
    <t>クリーク海賊団を撃破する</t>
    <rPh sb="4" eb="7">
      <t>カイゾクダン</t>
    </rPh>
    <rPh sb="8" eb="10">
      <t>ゲキハ</t>
    </rPh>
    <phoneticPr fontId="1"/>
  </si>
  <si>
    <t>ルフィらに敗北する</t>
    <rPh sb="5" eb="7">
      <t>ハイボク</t>
    </rPh>
    <phoneticPr fontId="1"/>
  </si>
  <si>
    <t>E001-122</t>
  </si>
  <si>
    <t>E001-123</t>
  </si>
  <si>
    <t>E001-124</t>
  </si>
  <si>
    <t>E001-125</t>
  </si>
  <si>
    <t>E001-126</t>
  </si>
  <si>
    <t>E001-127</t>
  </si>
  <si>
    <t>E001-128</t>
  </si>
  <si>
    <t>E001-129</t>
  </si>
  <si>
    <t>E001-130</t>
  </si>
  <si>
    <t>モージらと合流する</t>
    <rPh sb="5" eb="7">
      <t>ゴウリュウ</t>
    </rPh>
    <phoneticPr fontId="1"/>
  </si>
  <si>
    <t>船長</t>
    <rPh sb="0" eb="2">
      <t>センチョウ</t>
    </rPh>
    <phoneticPr fontId="1"/>
  </si>
  <si>
    <t>パンサメに食われながらバラティエに到着する</t>
    <rPh sb="5" eb="6">
      <t>ク</t>
    </rPh>
    <rPh sb="17" eb="19">
      <t>トウチャク</t>
    </rPh>
    <phoneticPr fontId="1"/>
  </si>
  <si>
    <t>バラティエを出航</t>
    <rPh sb="6" eb="8">
      <t>シュッコウ</t>
    </rPh>
    <phoneticPr fontId="1"/>
  </si>
  <si>
    <t>コック</t>
    <phoneticPr fontId="1"/>
  </si>
  <si>
    <t>C008-04</t>
    <phoneticPr fontId="1"/>
  </si>
  <si>
    <t>第16支部</t>
    <rPh sb="0" eb="1">
      <t>ダイ</t>
    </rPh>
    <rPh sb="3" eb="5">
      <t>シブ</t>
    </rPh>
    <phoneticPr fontId="1"/>
  </si>
  <si>
    <t>大佐</t>
    <rPh sb="0" eb="2">
      <t>タイサ</t>
    </rPh>
    <phoneticPr fontId="1"/>
  </si>
  <si>
    <t>第2部隊　隊長</t>
    <rPh sb="0" eb="1">
      <t>ダイ</t>
    </rPh>
    <rPh sb="2" eb="4">
      <t>ブタイ</t>
    </rPh>
    <rPh sb="5" eb="6">
      <t>タイ</t>
    </rPh>
    <phoneticPr fontId="1"/>
  </si>
  <si>
    <t>C008-05</t>
    <phoneticPr fontId="1"/>
  </si>
  <si>
    <t>ノコギリのアーロン</t>
    <phoneticPr fontId="1"/>
  </si>
  <si>
    <t>C008-06</t>
    <phoneticPr fontId="1"/>
  </si>
  <si>
    <t>幹部</t>
    <rPh sb="0" eb="2">
      <t>カンブ</t>
    </rPh>
    <phoneticPr fontId="1"/>
  </si>
  <si>
    <t>ネズミに賄賂を渡す</t>
    <rPh sb="4" eb="6">
      <t>ワイロ</t>
    </rPh>
    <rPh sb="7" eb="8">
      <t>ワタ</t>
    </rPh>
    <phoneticPr fontId="1"/>
  </si>
  <si>
    <t>ネズミを送る</t>
    <rPh sb="4" eb="5">
      <t>オク</t>
    </rPh>
    <phoneticPr fontId="1"/>
  </si>
  <si>
    <t>アーロンパークに帰還する</t>
    <rPh sb="8" eb="10">
      <t>キカン</t>
    </rPh>
    <phoneticPr fontId="1"/>
  </si>
  <si>
    <t>E001-131</t>
  </si>
  <si>
    <t>E001-132</t>
  </si>
  <si>
    <t>E001-133</t>
  </si>
  <si>
    <t>E001-134</t>
  </si>
  <si>
    <t>E001-135</t>
  </si>
  <si>
    <t>E001-136</t>
  </si>
  <si>
    <t>E001-137</t>
  </si>
  <si>
    <t>E001-138</t>
  </si>
  <si>
    <t>E001-139</t>
  </si>
  <si>
    <t>E001-140</t>
  </si>
  <si>
    <t>E001-141</t>
  </si>
  <si>
    <t>アーロンパークに到着する</t>
    <rPh sb="8" eb="10">
      <t>トウチャク</t>
    </rPh>
    <phoneticPr fontId="1"/>
  </si>
  <si>
    <t>ゴサの町に上陸する</t>
    <rPh sb="3" eb="4">
      <t>マチ</t>
    </rPh>
    <rPh sb="5" eb="7">
      <t>ジョウリク</t>
    </rPh>
    <phoneticPr fontId="1"/>
  </si>
  <si>
    <t>クマテ族を倒す</t>
    <rPh sb="3" eb="4">
      <t>ゾク</t>
    </rPh>
    <rPh sb="5" eb="6">
      <t>タオ</t>
    </rPh>
    <phoneticPr fontId="1"/>
  </si>
  <si>
    <t>ココヤシ村に向かう</t>
    <rPh sb="4" eb="5">
      <t>ムラ</t>
    </rPh>
    <rPh sb="6" eb="7">
      <t>ム</t>
    </rPh>
    <phoneticPr fontId="1"/>
  </si>
  <si>
    <t>ゾロと戦闘後満足して帰る</t>
    <rPh sb="3" eb="6">
      <t>セントウゴ</t>
    </rPh>
    <rPh sb="6" eb="8">
      <t>マンゾク</t>
    </rPh>
    <rPh sb="10" eb="11">
      <t>カエ</t>
    </rPh>
    <phoneticPr fontId="1"/>
  </si>
  <si>
    <t>E001-142</t>
  </si>
  <si>
    <t>和道一文字</t>
    <rPh sb="0" eb="1">
      <t xml:space="preserve">ワ </t>
    </rPh>
    <rPh sb="1" eb="2">
      <t xml:space="preserve">ミチ </t>
    </rPh>
    <rPh sb="2" eb="5">
      <t>１モn</t>
    </rPh>
    <phoneticPr fontId="1"/>
  </si>
  <si>
    <t>C001-21</t>
    <phoneticPr fontId="1"/>
  </si>
  <si>
    <t>霜月コウ三郎</t>
    <rPh sb="0" eb="2">
      <t>シモツキ</t>
    </rPh>
    <rPh sb="4" eb="6">
      <t>サブロウ</t>
    </rPh>
    <phoneticPr fontId="1"/>
  </si>
  <si>
    <t>夜</t>
    <rPh sb="0" eb="1">
      <t>ヨル</t>
    </rPh>
    <phoneticPr fontId="1"/>
  </si>
  <si>
    <t>最上大業物</t>
    <rPh sb="0" eb="5">
      <t>サイジョウ</t>
    </rPh>
    <phoneticPr fontId="1"/>
  </si>
  <si>
    <t>C009-01</t>
    <phoneticPr fontId="1"/>
  </si>
  <si>
    <t>C009-02</t>
  </si>
  <si>
    <t>C009-03</t>
  </si>
  <si>
    <t>C009-04</t>
  </si>
  <si>
    <t>C009-05</t>
  </si>
  <si>
    <t>C009-06</t>
  </si>
  <si>
    <t>C009-07</t>
  </si>
  <si>
    <t>C009-08</t>
  </si>
  <si>
    <t>C009-09</t>
  </si>
  <si>
    <t>C009-10</t>
  </si>
  <si>
    <t>カネシロ</t>
    <phoneticPr fontId="1"/>
  </si>
  <si>
    <t>リュウグウ王国</t>
    <rPh sb="5" eb="7">
      <t>オウ</t>
    </rPh>
    <phoneticPr fontId="1"/>
  </si>
  <si>
    <t>魚人街</t>
    <rPh sb="0" eb="2">
      <t>ギョジn</t>
    </rPh>
    <rPh sb="2" eb="3">
      <t xml:space="preserve">ガイ </t>
    </rPh>
    <phoneticPr fontId="1"/>
  </si>
  <si>
    <t>船大工</t>
    <rPh sb="0" eb="3">
      <t>フナダ</t>
    </rPh>
    <phoneticPr fontId="1"/>
  </si>
  <si>
    <t>金魚の魚人</t>
    <rPh sb="0" eb="2">
      <t>キンギョ</t>
    </rPh>
    <rPh sb="3" eb="5">
      <t>ギョジn</t>
    </rPh>
    <phoneticPr fontId="1"/>
  </si>
  <si>
    <t>ピサロ</t>
    <phoneticPr fontId="1"/>
  </si>
  <si>
    <t>シャーク・スパーブ号</t>
  </si>
  <si>
    <t>リュウグウ王国</t>
  </si>
  <si>
    <t>魚人街</t>
  </si>
  <si>
    <t>モーム</t>
  </si>
  <si>
    <t>海牛モーム</t>
    <rPh sb="0" eb="2">
      <t xml:space="preserve">カイギュウ </t>
    </rPh>
    <phoneticPr fontId="1"/>
  </si>
  <si>
    <t>ブタの丸焼き、サメ</t>
    <rPh sb="3" eb="5">
      <t>マル</t>
    </rPh>
    <phoneticPr fontId="1"/>
  </si>
  <si>
    <t>元アーロン一味/海獣</t>
    <rPh sb="0" eb="1">
      <t>モト</t>
    </rPh>
    <rPh sb="5" eb="7">
      <t>イチミ</t>
    </rPh>
    <rPh sb="8" eb="10">
      <t>カイジュウ</t>
    </rPh>
    <phoneticPr fontId="1"/>
  </si>
  <si>
    <t>チュウ</t>
  </si>
  <si>
    <t>水鉄砲</t>
    <rPh sb="0" eb="3">
      <t>ミズ</t>
    </rPh>
    <phoneticPr fontId="1"/>
  </si>
  <si>
    <t>アサリの味噌汁</t>
    <rPh sb="4" eb="7">
      <t>ミソ</t>
    </rPh>
    <phoneticPr fontId="1"/>
  </si>
  <si>
    <t>キスの魚人</t>
    <rPh sb="3" eb="5">
      <t>ギョジn</t>
    </rPh>
    <phoneticPr fontId="1"/>
  </si>
  <si>
    <t>クロオビ</t>
  </si>
  <si>
    <t>魚人空手40段</t>
    <rPh sb="0" eb="4">
      <t>ギョジn</t>
    </rPh>
    <rPh sb="6" eb="7">
      <t xml:space="preserve">ダン </t>
    </rPh>
    <phoneticPr fontId="1"/>
  </si>
  <si>
    <t>エビの刺身</t>
    <rPh sb="3" eb="5">
      <t>サシミ</t>
    </rPh>
    <phoneticPr fontId="1"/>
  </si>
  <si>
    <t>エイの魚人</t>
    <rPh sb="3" eb="5">
      <t>ギョジn</t>
    </rPh>
    <phoneticPr fontId="1"/>
  </si>
  <si>
    <t>シオヤキ</t>
    <phoneticPr fontId="1"/>
  </si>
  <si>
    <t>宴会部長</t>
    <rPh sb="0" eb="4">
      <t>エンカイ</t>
    </rPh>
    <phoneticPr fontId="1"/>
  </si>
  <si>
    <t>サケの魚人</t>
    <rPh sb="3" eb="5">
      <t>ギョジn</t>
    </rPh>
    <phoneticPr fontId="1"/>
  </si>
  <si>
    <t>タケ</t>
    <phoneticPr fontId="1"/>
  </si>
  <si>
    <t>コンパ隊長</t>
    <rPh sb="3" eb="5">
      <t>タイチョウ</t>
    </rPh>
    <phoneticPr fontId="1"/>
  </si>
  <si>
    <t>コイの魚人</t>
    <rPh sb="3" eb="5">
      <t>ギョジn</t>
    </rPh>
    <phoneticPr fontId="1"/>
  </si>
  <si>
    <t>プリンプリン</t>
    <phoneticPr fontId="1"/>
  </si>
  <si>
    <t>海軍第77支部</t>
    <rPh sb="0" eb="2">
      <t>カイグn</t>
    </rPh>
    <rPh sb="2" eb="3">
      <t xml:space="preserve">ダイ </t>
    </rPh>
    <rPh sb="5" eb="7">
      <t>シブ</t>
    </rPh>
    <phoneticPr fontId="1"/>
  </si>
  <si>
    <t>准将</t>
    <rPh sb="0" eb="2">
      <t>ジュンショウ</t>
    </rPh>
    <phoneticPr fontId="1"/>
  </si>
  <si>
    <t>ベルメール</t>
  </si>
  <si>
    <t>Dr.ナコー</t>
    <phoneticPr fontId="1"/>
  </si>
  <si>
    <t>マミーミー</t>
    <phoneticPr fontId="1"/>
  </si>
  <si>
    <t>孤児院の寮母</t>
    <rPh sb="0" eb="3">
      <t>コジイn</t>
    </rPh>
    <rPh sb="4" eb="6">
      <t>リョウ</t>
    </rPh>
    <phoneticPr fontId="1"/>
  </si>
  <si>
    <t>C009-11</t>
  </si>
  <si>
    <t>ー</t>
    <phoneticPr fontId="1"/>
  </si>
  <si>
    <t>海獣</t>
    <rPh sb="0" eb="2">
      <t>カイジュウ</t>
    </rPh>
    <phoneticPr fontId="1"/>
  </si>
  <si>
    <t>-</t>
    <phoneticPr fontId="1"/>
  </si>
  <si>
    <t>B</t>
    <phoneticPr fontId="1"/>
  </si>
  <si>
    <t>C</t>
    <phoneticPr fontId="1"/>
  </si>
  <si>
    <t>卵星</t>
    <phoneticPr fontId="1"/>
  </si>
  <si>
    <t>首肉（コリエ）シュート</t>
  </si>
  <si>
    <t>煙星</t>
    <phoneticPr fontId="1"/>
  </si>
  <si>
    <t>水鉄砲</t>
  </si>
  <si>
    <t>M-055</t>
    <phoneticPr fontId="1"/>
  </si>
  <si>
    <t>C008-05</t>
    <phoneticPr fontId="1"/>
  </si>
  <si>
    <t>E001-143</t>
  </si>
  <si>
    <t>E001-144</t>
  </si>
  <si>
    <t>E001-145</t>
  </si>
  <si>
    <t>E001-146</t>
  </si>
  <si>
    <t>E001-147</t>
  </si>
  <si>
    <t>E001-148</t>
  </si>
  <si>
    <t>E001-149</t>
  </si>
  <si>
    <t>E001-150</t>
  </si>
  <si>
    <t>ゾロをココヤシ村に送る</t>
    <rPh sb="7" eb="8">
      <t>ムラ</t>
    </rPh>
    <rPh sb="9" eb="10">
      <t>オク</t>
    </rPh>
    <phoneticPr fontId="1"/>
  </si>
  <si>
    <t>アーロンパーク近海</t>
    <rPh sb="7" eb="9">
      <t>キンカイ</t>
    </rPh>
    <phoneticPr fontId="1"/>
  </si>
  <si>
    <t>L-020</t>
    <phoneticPr fontId="1"/>
  </si>
  <si>
    <t>モームをぶっ飛ばす</t>
    <rPh sb="6" eb="7">
      <t>ト</t>
    </rPh>
    <phoneticPr fontId="1"/>
  </si>
  <si>
    <t>戦闘員</t>
    <rPh sb="0" eb="3">
      <t>セントウイン</t>
    </rPh>
    <phoneticPr fontId="1"/>
  </si>
  <si>
    <t>アーロンに捕まる</t>
    <rPh sb="5" eb="6">
      <t>ツカ</t>
    </rPh>
    <phoneticPr fontId="1"/>
  </si>
  <si>
    <t>ココヤシ村でアーロンに立ち向かう</t>
    <rPh sb="4" eb="5">
      <t>ムラ</t>
    </rPh>
    <rPh sb="11" eb="12">
      <t>タ</t>
    </rPh>
    <rPh sb="13" eb="14">
      <t>ム</t>
    </rPh>
    <phoneticPr fontId="1"/>
  </si>
  <si>
    <t>B001-21</t>
  </si>
  <si>
    <t>B001-22</t>
  </si>
  <si>
    <t>B001-23</t>
  </si>
  <si>
    <t>B001-24</t>
  </si>
  <si>
    <t>B001-25</t>
  </si>
  <si>
    <t>B001-26</t>
  </si>
  <si>
    <t>B001-27</t>
  </si>
  <si>
    <t>B001-28</t>
  </si>
  <si>
    <t>B001-29</t>
  </si>
  <si>
    <t>B001-30</t>
  </si>
  <si>
    <t>L-018</t>
    <phoneticPr fontId="1"/>
  </si>
  <si>
    <t>C003-03</t>
    <phoneticPr fontId="1"/>
  </si>
  <si>
    <t>E001-151</t>
  </si>
  <si>
    <t>E001-152</t>
  </si>
  <si>
    <t>E001-153</t>
  </si>
  <si>
    <t>E001-154</t>
  </si>
  <si>
    <t>E001-155</t>
  </si>
  <si>
    <t>E001-156</t>
  </si>
  <si>
    <t>E001-157</t>
  </si>
  <si>
    <t>E001-158</t>
  </si>
  <si>
    <t>E001-159</t>
  </si>
  <si>
    <t>E001-160</t>
  </si>
  <si>
    <t>ココヤシ村西に到着</t>
    <rPh sb="4" eb="5">
      <t>ムラ</t>
    </rPh>
    <rPh sb="5" eb="6">
      <t>ニシ</t>
    </rPh>
    <rPh sb="7" eb="9">
      <t>トウチャク</t>
    </rPh>
    <phoneticPr fontId="1"/>
  </si>
  <si>
    <t>C005-05</t>
    <phoneticPr fontId="1"/>
  </si>
  <si>
    <t>ルフィらと合流</t>
    <rPh sb="5" eb="7">
      <t>ゴウリュウ</t>
    </rPh>
    <phoneticPr fontId="1"/>
  </si>
  <si>
    <t>L-020</t>
    <phoneticPr fontId="1"/>
  </si>
  <si>
    <t>海軍を撃沈する</t>
    <rPh sb="0" eb="2">
      <t>カイグン</t>
    </rPh>
    <rPh sb="3" eb="5">
      <t>ゲキチン</t>
    </rPh>
    <phoneticPr fontId="1"/>
  </si>
  <si>
    <t>ナミに逃がされる</t>
    <rPh sb="3" eb="4">
      <t>ニ</t>
    </rPh>
    <phoneticPr fontId="1"/>
  </si>
  <si>
    <t>ココヤシ村を襲撃する</t>
    <rPh sb="4" eb="5">
      <t>ムラ</t>
    </rPh>
    <rPh sb="6" eb="8">
      <t>シュウゲキ</t>
    </rPh>
    <phoneticPr fontId="1"/>
  </si>
  <si>
    <t>母ベルメールを亡くす</t>
    <rPh sb="0" eb="1">
      <t>ハハ</t>
    </rPh>
    <rPh sb="7" eb="8">
      <t>ナ</t>
    </rPh>
    <phoneticPr fontId="1"/>
  </si>
  <si>
    <t>”OK,Let's STAND UP！”</t>
    <phoneticPr fontId="1"/>
  </si>
  <si>
    <t>”ルフィ　IN BLACK”</t>
    <phoneticPr fontId="1"/>
  </si>
  <si>
    <t>短期集中表紙連載PART2</t>
    <rPh sb="0" eb="4">
      <t>タンキ</t>
    </rPh>
    <rPh sb="4" eb="6">
      <t>ヒョウセィ</t>
    </rPh>
    <rPh sb="6" eb="8">
      <t>レンサイ</t>
    </rPh>
    <phoneticPr fontId="1"/>
  </si>
  <si>
    <t>コビーとヘルメッポのその後</t>
    <phoneticPr fontId="1"/>
  </si>
  <si>
    <t>”ゾンビ”</t>
    <phoneticPr fontId="1"/>
  </si>
  <si>
    <t>コビメッポ奮闘日記vol.2</t>
    <rPh sb="5" eb="9">
      <t>フントウ</t>
    </rPh>
    <phoneticPr fontId="1"/>
  </si>
  <si>
    <t>雑用雑用っ!!</t>
    <rPh sb="0" eb="2">
      <t>ザテゥ</t>
    </rPh>
    <rPh sb="2" eb="4">
      <t>ザツヨウ</t>
    </rPh>
    <phoneticPr fontId="1"/>
  </si>
  <si>
    <t>”三刀流対六刀流”</t>
    <rPh sb="1" eb="2">
      <t>サントウリュウ</t>
    </rPh>
    <rPh sb="2" eb="3">
      <t xml:space="preserve">トウ </t>
    </rPh>
    <rPh sb="3" eb="4">
      <t>リュウ</t>
    </rPh>
    <rPh sb="4" eb="5">
      <t xml:space="preserve">タイ </t>
    </rPh>
    <rPh sb="5" eb="8">
      <t>ロクトウ</t>
    </rPh>
    <phoneticPr fontId="1"/>
  </si>
  <si>
    <t>コビメッポ奮闘日記vol.3</t>
    <rPh sb="5" eb="9">
      <t>フントウ</t>
    </rPh>
    <phoneticPr fontId="1"/>
  </si>
  <si>
    <t>基地の外れで一休み</t>
    <rPh sb="0" eb="2">
      <t>キチノ</t>
    </rPh>
    <rPh sb="3" eb="4">
      <t>ハズレデ</t>
    </rPh>
    <rPh sb="6" eb="8">
      <t>ヒトヤスミ</t>
    </rPh>
    <phoneticPr fontId="1"/>
  </si>
  <si>
    <t>”騎士道VS魚人空手”</t>
    <rPh sb="1" eb="4">
      <t>キシドウ</t>
    </rPh>
    <rPh sb="6" eb="10">
      <t>ギョジn</t>
    </rPh>
    <phoneticPr fontId="1"/>
  </si>
  <si>
    <t>”終わったんだ!!”</t>
    <rPh sb="1" eb="2">
      <t>オワッタ</t>
    </rPh>
    <phoneticPr fontId="1"/>
  </si>
  <si>
    <t>コビメッポ奮闘日記vol.4</t>
    <rPh sb="5" eb="9">
      <t>フントウ</t>
    </rPh>
    <phoneticPr fontId="1"/>
  </si>
  <si>
    <t>勉強勉強っ!!</t>
    <rPh sb="0" eb="2">
      <t>ベンキョウ</t>
    </rPh>
    <rPh sb="2" eb="4">
      <t>ベン</t>
    </rPh>
    <phoneticPr fontId="1"/>
  </si>
  <si>
    <t>”死んで!!!”</t>
    <phoneticPr fontId="1"/>
  </si>
  <si>
    <t>コビメッポ奮闘日記vol.5</t>
    <rPh sb="5" eb="9">
      <t>フントウ</t>
    </rPh>
    <phoneticPr fontId="1"/>
  </si>
  <si>
    <t>モーガン送検船の雑用</t>
    <rPh sb="4" eb="6">
      <t>ソウケn</t>
    </rPh>
    <rPh sb="6" eb="7">
      <t xml:space="preserve">フネ </t>
    </rPh>
    <rPh sb="8" eb="10">
      <t>ザツヨウ</t>
    </rPh>
    <phoneticPr fontId="1"/>
  </si>
  <si>
    <t>”交替”</t>
    <rPh sb="1" eb="3">
      <t>コウタイ</t>
    </rPh>
    <phoneticPr fontId="1"/>
  </si>
  <si>
    <t>コビメッポ奮闘日記vol.6</t>
    <rPh sb="5" eb="9">
      <t>フントウ</t>
    </rPh>
    <phoneticPr fontId="1"/>
  </si>
  <si>
    <t>船の上の雑用雑用っ!</t>
    <rPh sb="0" eb="1">
      <t>フネ</t>
    </rPh>
    <rPh sb="2" eb="3">
      <t>ウエ</t>
    </rPh>
    <rPh sb="4" eb="6">
      <t>ザテゥ</t>
    </rPh>
    <rPh sb="6" eb="8">
      <t>ザツヨウ</t>
    </rPh>
    <phoneticPr fontId="1"/>
  </si>
  <si>
    <t>”何ができる”</t>
    <rPh sb="1" eb="2">
      <t>ナニ</t>
    </rPh>
    <phoneticPr fontId="1"/>
  </si>
  <si>
    <t>コビメッポ奮闘日記vol.7</t>
    <rPh sb="5" eb="9">
      <t>フントウ</t>
    </rPh>
    <phoneticPr fontId="1"/>
  </si>
  <si>
    <t>雑用雑……!!?</t>
    <rPh sb="0" eb="1">
      <t>ザツヨウ</t>
    </rPh>
    <rPh sb="2" eb="3">
      <t xml:space="preserve">ザツ </t>
    </rPh>
    <phoneticPr fontId="1"/>
  </si>
  <si>
    <t>”DARTS”</t>
    <phoneticPr fontId="1"/>
  </si>
  <si>
    <t>コビメッポ奮闘日記vol.8</t>
    <rPh sb="5" eb="9">
      <t>フントウ</t>
    </rPh>
    <phoneticPr fontId="1"/>
  </si>
  <si>
    <t>海軍本部中将ガープの船</t>
    <rPh sb="0" eb="1">
      <t>カイグn</t>
    </rPh>
    <rPh sb="4" eb="6">
      <t>チュウジョウ</t>
    </rPh>
    <rPh sb="10" eb="11">
      <t>フネ</t>
    </rPh>
    <phoneticPr fontId="1"/>
  </si>
  <si>
    <t>”幸せ”</t>
    <rPh sb="1" eb="2">
      <t>シアワセ</t>
    </rPh>
    <phoneticPr fontId="1"/>
  </si>
  <si>
    <t>コビメッポ奮闘日記vol.9</t>
    <rPh sb="5" eb="9">
      <t>フントウ</t>
    </rPh>
    <phoneticPr fontId="1"/>
  </si>
  <si>
    <t>モーガンの引き渡し</t>
    <rPh sb="0" eb="3">
      <t>モーガンノ</t>
    </rPh>
    <rPh sb="5" eb="6">
      <t>ヒキワタセィ</t>
    </rPh>
    <phoneticPr fontId="1"/>
  </si>
  <si>
    <t>”下へまいります”</t>
    <rPh sb="1" eb="2">
      <t>シタヘ</t>
    </rPh>
    <phoneticPr fontId="1"/>
  </si>
  <si>
    <t>コビメッポ奮闘日記vol.10</t>
    <rPh sb="5" eb="9">
      <t>フントウ</t>
    </rPh>
    <phoneticPr fontId="1"/>
  </si>
  <si>
    <t>本部中将の油断</t>
    <rPh sb="0" eb="4">
      <t>ホンブ</t>
    </rPh>
    <rPh sb="5" eb="7">
      <t>ユダn</t>
    </rPh>
    <phoneticPr fontId="1"/>
  </si>
  <si>
    <t>”２人目”</t>
    <rPh sb="2" eb="3">
      <t>ニn</t>
    </rPh>
    <rPh sb="3" eb="4">
      <t xml:space="preserve">メ </t>
    </rPh>
    <phoneticPr fontId="1"/>
  </si>
  <si>
    <t>”まわれ風車”</t>
    <rPh sb="4" eb="6">
      <t>カザグルマ</t>
    </rPh>
    <phoneticPr fontId="1"/>
  </si>
  <si>
    <t>コビメッポ奮闘日記vol.11</t>
    <rPh sb="5" eb="9">
      <t>フントウ</t>
    </rPh>
    <phoneticPr fontId="1"/>
  </si>
  <si>
    <t>まさかの人質ッポ</t>
    <rPh sb="4" eb="6">
      <t>ヒト</t>
    </rPh>
    <phoneticPr fontId="1"/>
  </si>
  <si>
    <t>”東一番の悪”</t>
    <rPh sb="1" eb="2">
      <t>ヒガセィ</t>
    </rPh>
    <rPh sb="2" eb="4">
      <t>イチバ</t>
    </rPh>
    <rPh sb="5" eb="6">
      <t>ワル</t>
    </rPh>
    <phoneticPr fontId="1"/>
  </si>
  <si>
    <t>コビメッポ奮闘日記vol.12</t>
    <rPh sb="5" eb="9">
      <t>フントウ</t>
    </rPh>
    <phoneticPr fontId="1"/>
  </si>
  <si>
    <t>モーガン逃走</t>
    <rPh sb="4" eb="6">
      <t>トウソウ</t>
    </rPh>
    <phoneticPr fontId="1"/>
  </si>
  <si>
    <t>”三代鬼徹”</t>
    <rPh sb="1" eb="3">
      <t>サンダイ</t>
    </rPh>
    <rPh sb="3" eb="4">
      <t>オニ</t>
    </rPh>
    <rPh sb="4" eb="5">
      <t xml:space="preserve">テツ </t>
    </rPh>
    <phoneticPr fontId="1"/>
  </si>
  <si>
    <t>コビメッポ奮闘日記vol.13</t>
    <rPh sb="5" eb="9">
      <t>フントウ</t>
    </rPh>
    <phoneticPr fontId="1"/>
  </si>
  <si>
    <t>砲撃準備</t>
    <rPh sb="0" eb="4">
      <t>ホウゲキ</t>
    </rPh>
    <phoneticPr fontId="1"/>
  </si>
  <si>
    <t>”暗雲”</t>
    <rPh sb="1" eb="3">
      <t>アンウn</t>
    </rPh>
    <phoneticPr fontId="1"/>
  </si>
  <si>
    <t>コビメッポ奮闘日記vol.14</t>
    <rPh sb="5" eb="9">
      <t>フントウ</t>
    </rPh>
    <phoneticPr fontId="1"/>
  </si>
  <si>
    <t>砲撃阻止</t>
    <rPh sb="0" eb="1">
      <t>ホウゲキ</t>
    </rPh>
    <rPh sb="2" eb="4">
      <t xml:space="preserve">ソシ </t>
    </rPh>
    <phoneticPr fontId="1"/>
  </si>
  <si>
    <t>”ルフィが死んだ”</t>
    <rPh sb="5" eb="6">
      <t>シンダ</t>
    </rPh>
    <phoneticPr fontId="1"/>
  </si>
  <si>
    <t>コビメッポ奮闘日記vol.15</t>
    <rPh sb="5" eb="9">
      <t>フントウ</t>
    </rPh>
    <phoneticPr fontId="1"/>
  </si>
  <si>
    <t>砲撃阻止阻止</t>
    <rPh sb="0" eb="2">
      <t>ホウゲキ</t>
    </rPh>
    <rPh sb="2" eb="6">
      <t xml:space="preserve">ソシ </t>
    </rPh>
    <phoneticPr fontId="1"/>
  </si>
  <si>
    <t>”伝説は始まった”</t>
    <rPh sb="1" eb="3">
      <t>デンセテゥ</t>
    </rPh>
    <rPh sb="4" eb="5">
      <t>ハジマッタ</t>
    </rPh>
    <phoneticPr fontId="1"/>
  </si>
  <si>
    <t>”リヴァース・マウンテン”</t>
    <phoneticPr fontId="1"/>
  </si>
  <si>
    <t>コビメッポ奮闘日記vol.16</t>
    <rPh sb="5" eb="9">
      <t>フントウ</t>
    </rPh>
    <phoneticPr fontId="1"/>
  </si>
  <si>
    <t>砲撃阻止阻止阻止</t>
    <rPh sb="0" eb="2">
      <t>ホウゲキ</t>
    </rPh>
    <rPh sb="2" eb="6">
      <t xml:space="preserve">ソシ </t>
    </rPh>
    <rPh sb="6" eb="8">
      <t>ソセィ</t>
    </rPh>
    <phoneticPr fontId="1"/>
  </si>
  <si>
    <t>”さて、偉大なる航路（グランドライン）”</t>
    <rPh sb="4" eb="6">
      <t>イダイ</t>
    </rPh>
    <rPh sb="8" eb="10">
      <t>コウロ</t>
    </rPh>
    <phoneticPr fontId="1"/>
  </si>
  <si>
    <t>コビメッポ奮闘日記vol.17</t>
    <rPh sb="5" eb="9">
      <t>フントウ</t>
    </rPh>
    <phoneticPr fontId="1"/>
  </si>
  <si>
    <t>ヘルメッポの”ある”決意</t>
    <rPh sb="10" eb="12">
      <t>ケツイ</t>
    </rPh>
    <phoneticPr fontId="1"/>
  </si>
  <si>
    <t>”クジラ”</t>
    <phoneticPr fontId="1"/>
  </si>
  <si>
    <t>”約束の岬”</t>
    <rPh sb="1" eb="3">
      <t>ヤクソクノ</t>
    </rPh>
    <rPh sb="4" eb="5">
      <t>ミサキ</t>
    </rPh>
    <phoneticPr fontId="1"/>
  </si>
  <si>
    <t>コビメッポ奮闘日記vol.18</t>
    <rPh sb="5" eb="9">
      <t>フントウ</t>
    </rPh>
    <phoneticPr fontId="1"/>
  </si>
  <si>
    <t>中将ガープは油断しすぎ</t>
    <rPh sb="0" eb="2">
      <t>チュウジ</t>
    </rPh>
    <rPh sb="6" eb="8">
      <t>ユダn</t>
    </rPh>
    <phoneticPr fontId="1"/>
  </si>
  <si>
    <t>”記録指針（ログポース）”</t>
    <rPh sb="1" eb="3">
      <t>キロク</t>
    </rPh>
    <rPh sb="3" eb="5">
      <t xml:space="preserve">シシン </t>
    </rPh>
    <phoneticPr fontId="1"/>
  </si>
  <si>
    <t>コビメッポ奮闘日記vol.19</t>
    <rPh sb="5" eb="9">
      <t>フントウ</t>
    </rPh>
    <phoneticPr fontId="1"/>
  </si>
  <si>
    <t>モーガン一人</t>
    <rPh sb="4" eb="6">
      <t>ヒト</t>
    </rPh>
    <phoneticPr fontId="1"/>
  </si>
  <si>
    <t>”歓迎の町”</t>
    <rPh sb="1" eb="3">
      <t>カンゲイ</t>
    </rPh>
    <phoneticPr fontId="1"/>
  </si>
  <si>
    <t>コビメッポ奮闘日記vol.20</t>
    <rPh sb="5" eb="9">
      <t>フントウ</t>
    </rPh>
    <phoneticPr fontId="1"/>
  </si>
  <si>
    <t>ヘルメッポの帰還</t>
    <rPh sb="6" eb="8">
      <t>キカn</t>
    </rPh>
    <phoneticPr fontId="1"/>
  </si>
  <si>
    <t>”月光と墓標”</t>
    <rPh sb="1" eb="3">
      <t>ゲッコウ</t>
    </rPh>
    <rPh sb="4" eb="6">
      <t>ボヒョウ</t>
    </rPh>
    <phoneticPr fontId="1"/>
  </si>
  <si>
    <t>”100人の賞金稼ぎ”</t>
    <rPh sb="1" eb="2">
      <t>100ニn</t>
    </rPh>
    <rPh sb="6" eb="9">
      <t>ショウキンカス</t>
    </rPh>
    <phoneticPr fontId="1"/>
  </si>
  <si>
    <t>コビメッポ奮闘日記vol.21</t>
    <rPh sb="5" eb="9">
      <t>フントウ</t>
    </rPh>
    <phoneticPr fontId="1"/>
  </si>
  <si>
    <t>謝罪</t>
    <rPh sb="0" eb="2">
      <t>シャザイ</t>
    </rPh>
    <phoneticPr fontId="1"/>
  </si>
  <si>
    <t>”責任問題”</t>
    <rPh sb="1" eb="3">
      <t>セキニn</t>
    </rPh>
    <rPh sb="3" eb="5">
      <t>モンダイ</t>
    </rPh>
    <phoneticPr fontId="1"/>
  </si>
  <si>
    <t>コビメッポ奮闘日記vol.22</t>
    <rPh sb="5" eb="9">
      <t>フントウ</t>
    </rPh>
    <phoneticPr fontId="1"/>
  </si>
  <si>
    <t>不甲斐なき我ら</t>
    <rPh sb="0" eb="1">
      <t>フガイ</t>
    </rPh>
    <rPh sb="5" eb="6">
      <t>ワレ</t>
    </rPh>
    <phoneticPr fontId="1"/>
  </si>
  <si>
    <t>”夜は終わらない”</t>
    <rPh sb="1" eb="2">
      <t>ヨル</t>
    </rPh>
    <rPh sb="3" eb="4">
      <t>オワラナ</t>
    </rPh>
    <phoneticPr fontId="1"/>
  </si>
  <si>
    <t>コビメッポ奮闘日記vol.23</t>
    <rPh sb="5" eb="9">
      <t>フントウ</t>
    </rPh>
    <phoneticPr fontId="1"/>
  </si>
  <si>
    <t>ガープの発言5秒前</t>
    <rPh sb="4" eb="6">
      <t>ハツゲn</t>
    </rPh>
    <rPh sb="7" eb="9">
      <t>ビョウ</t>
    </rPh>
    <phoneticPr fontId="1"/>
  </si>
  <si>
    <t>”秘密犯罪会社”</t>
    <rPh sb="1" eb="3">
      <t>ヒミテゥ</t>
    </rPh>
    <rPh sb="3" eb="5">
      <t>ハンザイ</t>
    </rPh>
    <rPh sb="5" eb="7">
      <t>カイ</t>
    </rPh>
    <phoneticPr fontId="1"/>
  </si>
  <si>
    <t>”ルフィVSゾロ”</t>
    <phoneticPr fontId="1"/>
  </si>
  <si>
    <t>コビメッポ奮闘日記vol.24</t>
    <rPh sb="5" eb="9">
      <t>フントウ</t>
    </rPh>
    <phoneticPr fontId="1"/>
  </si>
  <si>
    <t>この2人、わしが預かる</t>
    <rPh sb="3" eb="4">
      <t>ニn</t>
    </rPh>
    <rPh sb="8" eb="9">
      <t>アズカル</t>
    </rPh>
    <phoneticPr fontId="1"/>
  </si>
  <si>
    <t>”大丈夫!!!”</t>
    <rPh sb="1" eb="4">
      <t>ダイジョウ</t>
    </rPh>
    <phoneticPr fontId="1"/>
  </si>
  <si>
    <t>コビメッポ奮闘日記vol.25</t>
    <rPh sb="5" eb="9">
      <t>フントウ</t>
    </rPh>
    <phoneticPr fontId="1"/>
  </si>
  <si>
    <t>コビメッポ海軍本部へ</t>
    <rPh sb="5" eb="9">
      <t>カイグn</t>
    </rPh>
    <phoneticPr fontId="1"/>
  </si>
  <si>
    <t>”進路”</t>
    <rPh sb="1" eb="3">
      <t>シンロ</t>
    </rPh>
    <phoneticPr fontId="1"/>
  </si>
  <si>
    <t>コビメッポ奮闘日記vol.26</t>
    <rPh sb="5" eb="9">
      <t>フントウ</t>
    </rPh>
    <phoneticPr fontId="1"/>
  </si>
  <si>
    <t>海軍本部で雑用雑用っ!!</t>
    <rPh sb="0" eb="2">
      <t>カイグn</t>
    </rPh>
    <rPh sb="5" eb="7">
      <t>ザツヨウ</t>
    </rPh>
    <rPh sb="7" eb="9">
      <t>z</t>
    </rPh>
    <phoneticPr fontId="1"/>
  </si>
  <si>
    <t>”冒険のリトルガーデン”</t>
    <rPh sb="1" eb="3">
      <t>ボウケn</t>
    </rPh>
    <phoneticPr fontId="1"/>
  </si>
  <si>
    <t>コビメッポ奮闘日記vol.27</t>
    <rPh sb="5" eb="9">
      <t>フントウ</t>
    </rPh>
    <phoneticPr fontId="1"/>
  </si>
  <si>
    <t>寝る間も惜しんで特訓特訓っ!!</t>
    <rPh sb="0" eb="1">
      <t>ネルマム</t>
    </rPh>
    <rPh sb="4" eb="5">
      <t>オシンデ</t>
    </rPh>
    <rPh sb="8" eb="10">
      <t>トックn</t>
    </rPh>
    <rPh sb="10" eb="12">
      <t>トックn</t>
    </rPh>
    <phoneticPr fontId="1"/>
  </si>
  <si>
    <t>”でっけェ”</t>
    <phoneticPr fontId="1"/>
  </si>
  <si>
    <t>コビメッポ奮闘日記vol.28</t>
    <rPh sb="5" eb="9">
      <t>フントウ</t>
    </rPh>
    <phoneticPr fontId="1"/>
  </si>
  <si>
    <t>毎日毎日特訓特訓っ!!</t>
    <rPh sb="0" eb="2">
      <t>マイニティ</t>
    </rPh>
    <rPh sb="2" eb="4">
      <t>マイ</t>
    </rPh>
    <rPh sb="4" eb="6">
      <t>トックn</t>
    </rPh>
    <rPh sb="6" eb="8">
      <t>トックn</t>
    </rPh>
    <phoneticPr fontId="1"/>
  </si>
  <si>
    <t>”ドリーとブロギー”</t>
    <phoneticPr fontId="1"/>
  </si>
  <si>
    <t>”誰かいる”</t>
    <phoneticPr fontId="1"/>
  </si>
  <si>
    <t>コビメッポ奮闘日記vol.29</t>
    <rPh sb="5" eb="9">
      <t>フントウ</t>
    </rPh>
    <phoneticPr fontId="1"/>
  </si>
  <si>
    <t>ちょっとお別れ</t>
    <phoneticPr fontId="1"/>
  </si>
  <si>
    <t>”姑息”</t>
    <rPh sb="1" eb="3">
      <t>コソク</t>
    </rPh>
    <phoneticPr fontId="1"/>
  </si>
  <si>
    <t>コビメッポ奮闘日記最終話</t>
    <rPh sb="5" eb="8">
      <t>フントウ</t>
    </rPh>
    <rPh sb="9" eb="11">
      <t>サイシュウ</t>
    </rPh>
    <rPh sb="11" eb="12">
      <t xml:space="preserve">ワ </t>
    </rPh>
    <phoneticPr fontId="1"/>
  </si>
  <si>
    <t>笑うガープとがんばる若者</t>
    <rPh sb="0" eb="1">
      <t>ワラウ</t>
    </rPh>
    <rPh sb="10" eb="12">
      <t>ワカモノ</t>
    </rPh>
    <phoneticPr fontId="1"/>
  </si>
  <si>
    <t>”赤鬼が泣いた”</t>
    <rPh sb="1" eb="3">
      <t>アカオニ</t>
    </rPh>
    <rPh sb="4" eb="5">
      <t>ナイタ</t>
    </rPh>
    <phoneticPr fontId="1"/>
  </si>
  <si>
    <t>”わかっていた”</t>
    <phoneticPr fontId="1"/>
  </si>
  <si>
    <t>”死人は役に立たぬ”</t>
    <rPh sb="1" eb="2">
      <t>ナネェヨ”</t>
    </rPh>
    <rPh sb="4" eb="5">
      <t>ヤク</t>
    </rPh>
    <rPh sb="6" eb="7">
      <t>タタヌ</t>
    </rPh>
    <phoneticPr fontId="1"/>
  </si>
  <si>
    <t>”ルフィVS Mr.3”</t>
    <phoneticPr fontId="1"/>
  </si>
  <si>
    <t>”お茶がうめェ”</t>
    <phoneticPr fontId="1"/>
  </si>
  <si>
    <t>”キャンドルチャンピオン”</t>
    <phoneticPr fontId="1"/>
  </si>
  <si>
    <t>”本能”</t>
    <rPh sb="1" eb="3">
      <t>ホンノウ</t>
    </rPh>
    <phoneticPr fontId="1"/>
  </si>
  <si>
    <t>短期集中表紙連載第三弾</t>
    <rPh sb="0" eb="4">
      <t>タンキ</t>
    </rPh>
    <rPh sb="4" eb="6">
      <t>ヒョウセィ</t>
    </rPh>
    <rPh sb="6" eb="8">
      <t>レンサイ</t>
    </rPh>
    <rPh sb="8" eb="9">
      <t>ダイ</t>
    </rPh>
    <rPh sb="9" eb="10">
      <t>③</t>
    </rPh>
    <rPh sb="10" eb="11">
      <t>ダn</t>
    </rPh>
    <phoneticPr fontId="1"/>
  </si>
  <si>
    <t>やつは目覚めた</t>
    <rPh sb="3" eb="5">
      <t>メザメ</t>
    </rPh>
    <phoneticPr fontId="1"/>
  </si>
  <si>
    <t>M-061</t>
  </si>
  <si>
    <t>M-062</t>
  </si>
  <si>
    <t>M-063</t>
  </si>
  <si>
    <t>M-064</t>
  </si>
  <si>
    <t>M-065</t>
  </si>
  <si>
    <t>M-066</t>
  </si>
  <si>
    <t>M-067</t>
  </si>
  <si>
    <t>M-068</t>
  </si>
  <si>
    <t>M-069</t>
  </si>
  <si>
    <t>M-070</t>
  </si>
  <si>
    <t>ゴムゴムの風車</t>
  </si>
  <si>
    <t>たこはちブラック</t>
  </si>
  <si>
    <t>蛸・三・連・真・剣・白・刃・取り</t>
  </si>
  <si>
    <t>タコ焼きパンチ</t>
  </si>
  <si>
    <t>龍巻き</t>
    <phoneticPr fontId="1"/>
  </si>
  <si>
    <t>M-071</t>
  </si>
  <si>
    <t>M-072</t>
  </si>
  <si>
    <t>M-073</t>
  </si>
  <si>
    <t>M-074</t>
  </si>
  <si>
    <t>M-075</t>
  </si>
  <si>
    <t>M-076</t>
  </si>
  <si>
    <t>M-077</t>
  </si>
  <si>
    <t>M-078</t>
  </si>
  <si>
    <t>M-079</t>
  </si>
  <si>
    <t>M-080</t>
  </si>
  <si>
    <t>羊肉（ムートン）ショット</t>
  </si>
  <si>
    <t>M-081</t>
  </si>
  <si>
    <t>M-082</t>
  </si>
  <si>
    <t>M-083</t>
  </si>
  <si>
    <t>M-084</t>
  </si>
  <si>
    <t>M-085</t>
  </si>
  <si>
    <t>M-086</t>
  </si>
  <si>
    <t>M-087</t>
  </si>
  <si>
    <t>M-088</t>
  </si>
  <si>
    <t>M-089</t>
  </si>
  <si>
    <t>M-090</t>
  </si>
  <si>
    <t>M-091</t>
  </si>
  <si>
    <t>M-092</t>
  </si>
  <si>
    <t>M-093</t>
  </si>
  <si>
    <t>M-094</t>
  </si>
  <si>
    <t>M-095</t>
  </si>
  <si>
    <t>M-096</t>
  </si>
  <si>
    <t>M-097</t>
  </si>
  <si>
    <t>M-098</t>
  </si>
  <si>
    <t>M-099</t>
  </si>
  <si>
    <t>M-100</t>
  </si>
  <si>
    <t>首肉（コリエ）</t>
    <phoneticPr fontId="1"/>
  </si>
  <si>
    <t>肩肉（エポール）</t>
    <phoneticPr fontId="1"/>
  </si>
  <si>
    <t>背肉（コートレット）</t>
    <phoneticPr fontId="1"/>
  </si>
  <si>
    <t>鞍下肉（セル）</t>
    <phoneticPr fontId="1"/>
  </si>
  <si>
    <t>胸肉（ポワトリーヌ）</t>
    <phoneticPr fontId="1"/>
  </si>
  <si>
    <t>もも肉（ジゴー）</t>
    <phoneticPr fontId="1"/>
  </si>
  <si>
    <t>ウソップハンマー</t>
  </si>
  <si>
    <t>ウソップ輪ごーむ</t>
    <phoneticPr fontId="1"/>
  </si>
  <si>
    <t>水大砲</t>
  </si>
  <si>
    <t>百発水鉄砲</t>
  </si>
  <si>
    <t>打ち水</t>
  </si>
  <si>
    <t>胸肉（ポワトリーヌ）シュート</t>
  </si>
  <si>
    <t>歯（トゥース）ガム</t>
  </si>
  <si>
    <t>たこはちブラック オン・ザ ロック</t>
    <phoneticPr fontId="1"/>
  </si>
  <si>
    <t>火炎星</t>
    <phoneticPr fontId="1"/>
  </si>
  <si>
    <t>タコハチ 吸盤 （ナンバーナイン）</t>
  </si>
  <si>
    <t xml:space="preserve">六刀流 蛸足奇剣 </t>
  </si>
  <si>
    <t>三刀流 刀狼流し （とうろうながし）</t>
  </si>
  <si>
    <t xml:space="preserve">六刀流「タコツボの構え」 新・春  蛸・開げ  体壊 </t>
  </si>
  <si>
    <t xml:space="preserve">六刀流 奥義  六刀の円舞曲 </t>
  </si>
  <si>
    <t xml:space="preserve">海速 腹下し蹴り </t>
  </si>
  <si>
    <t>ケチャップ星</t>
    <rPh sb="5" eb="6">
      <t xml:space="preserve">ホシ </t>
    </rPh>
    <phoneticPr fontId="1"/>
  </si>
  <si>
    <t xml:space="preserve">魚人空手 腕刀切り </t>
    <phoneticPr fontId="1"/>
  </si>
  <si>
    <t>イトマキ組手</t>
    <phoneticPr fontId="1"/>
  </si>
  <si>
    <t>圧迫死直下航路</t>
    <phoneticPr fontId="1"/>
  </si>
  <si>
    <t>火華カカト落とし</t>
    <phoneticPr fontId="1"/>
  </si>
  <si>
    <t>カチ上げ背足</t>
    <phoneticPr fontId="1"/>
  </si>
  <si>
    <t>上段爆掌</t>
    <phoneticPr fontId="1"/>
  </si>
  <si>
    <t>魚人空手 千枚瓦正拳</t>
    <phoneticPr fontId="1"/>
  </si>
  <si>
    <t>E001-161</t>
  </si>
  <si>
    <t>E001-162</t>
  </si>
  <si>
    <t>E001-164</t>
  </si>
  <si>
    <t>E001-165</t>
  </si>
  <si>
    <t>アーロン一味を撃破する</t>
    <rPh sb="4" eb="6">
      <t>イチミ</t>
    </rPh>
    <rPh sb="7" eb="9">
      <t>ゲキハ</t>
    </rPh>
    <phoneticPr fontId="1"/>
  </si>
  <si>
    <t>麦わらの一味に敗北する</t>
    <rPh sb="0" eb="1">
      <t>ムギ</t>
    </rPh>
    <rPh sb="4" eb="6">
      <t>イチミ</t>
    </rPh>
    <rPh sb="7" eb="9">
      <t>ハイボク</t>
    </rPh>
    <phoneticPr fontId="1"/>
  </si>
  <si>
    <t>海軍見習いとして雑用に励む</t>
    <rPh sb="0" eb="2">
      <t>カイグン</t>
    </rPh>
    <rPh sb="2" eb="4">
      <t>ミナラ</t>
    </rPh>
    <rPh sb="8" eb="10">
      <t>ザツヨウ</t>
    </rPh>
    <rPh sb="11" eb="12">
      <t>ハゲ</t>
    </rPh>
    <phoneticPr fontId="1"/>
  </si>
  <si>
    <t>C001-26</t>
    <phoneticPr fontId="1"/>
  </si>
  <si>
    <t>サム</t>
    <phoneticPr fontId="1"/>
  </si>
  <si>
    <t>ココヤシ村</t>
    <phoneticPr fontId="1"/>
  </si>
  <si>
    <t>長女の結婚式の帰りにアーロンパークに迷い込む、次女の結婚式でアラバスタへ（長女が8歳の夏、かあちゃんと別れ、男手一つで娘達を育ててきたサム。次女は不良娘）</t>
    <rPh sb="0" eb="2">
      <t>チョウジョノ</t>
    </rPh>
    <rPh sb="3" eb="6">
      <t>ケッコn</t>
    </rPh>
    <rPh sb="7" eb="8">
      <t>カエリ</t>
    </rPh>
    <rPh sb="18" eb="19">
      <t>マヨイ</t>
    </rPh>
    <rPh sb="23" eb="25">
      <t>ジジョ</t>
    </rPh>
    <rPh sb="26" eb="29">
      <t>ケッコn</t>
    </rPh>
    <rPh sb="37" eb="39">
      <t>チョウジョ</t>
    </rPh>
    <rPh sb="41" eb="42">
      <t>サイ</t>
    </rPh>
    <rPh sb="43" eb="44">
      <t>ナテゥ</t>
    </rPh>
    <rPh sb="51" eb="52">
      <t>ワカレ</t>
    </rPh>
    <rPh sb="54" eb="56">
      <t>オトコ</t>
    </rPh>
    <rPh sb="56" eb="57">
      <t>ヒト</t>
    </rPh>
    <rPh sb="59" eb="60">
      <t>ムスメ</t>
    </rPh>
    <rPh sb="60" eb="61">
      <t xml:space="preserve">タチ </t>
    </rPh>
    <rPh sb="62" eb="63">
      <t>ソダテ</t>
    </rPh>
    <rPh sb="70" eb="72">
      <t>ジジョ</t>
    </rPh>
    <rPh sb="73" eb="76">
      <t>フリョウ</t>
    </rPh>
    <phoneticPr fontId="1"/>
  </si>
  <si>
    <t>電伝虫</t>
    <rPh sb="0" eb="1">
      <t xml:space="preserve">デンデンムシ </t>
    </rPh>
    <rPh sb="1" eb="2">
      <t>ツタエ</t>
    </rPh>
    <phoneticPr fontId="1"/>
  </si>
  <si>
    <t>世界各地</t>
    <rPh sb="0" eb="4">
      <t>セカイ</t>
    </rPh>
    <phoneticPr fontId="1"/>
  </si>
  <si>
    <t>草（特にアジサイ）</t>
    <rPh sb="0" eb="1">
      <t>クサ</t>
    </rPh>
    <rPh sb="2" eb="3">
      <t>トクニ</t>
    </rPh>
    <phoneticPr fontId="1"/>
  </si>
  <si>
    <t>10種類以上</t>
    <rPh sb="2" eb="4">
      <t>sh</t>
    </rPh>
    <rPh sb="4" eb="6">
      <t>イジョウ</t>
    </rPh>
    <phoneticPr fontId="1"/>
  </si>
  <si>
    <t>ニュース・クー</t>
    <phoneticPr fontId="1"/>
  </si>
  <si>
    <t>魚（特にイワシ）</t>
    <rPh sb="0" eb="1">
      <t>サカナ</t>
    </rPh>
    <rPh sb="2" eb="3">
      <t>トクニ</t>
    </rPh>
    <phoneticPr fontId="1"/>
  </si>
  <si>
    <t>ほぼ全海域に配達（※一部地域を除く）</t>
    <rPh sb="2" eb="5">
      <t>ゼンカイイキ</t>
    </rPh>
    <rPh sb="6" eb="8">
      <t>ハイタテゥ</t>
    </rPh>
    <rPh sb="10" eb="12">
      <t>イチブ</t>
    </rPh>
    <rPh sb="12" eb="14">
      <t>チイキ</t>
    </rPh>
    <rPh sb="15" eb="16">
      <t>ノゾク</t>
    </rPh>
    <phoneticPr fontId="1"/>
  </si>
  <si>
    <t>ブランニュー</t>
  </si>
  <si>
    <t>偉大なる航路</t>
    <rPh sb="0" eb="2">
      <t>イダイン</t>
    </rPh>
    <rPh sb="4" eb="6">
      <t>コウロ</t>
    </rPh>
    <phoneticPr fontId="1"/>
  </si>
  <si>
    <t>海軍本部</t>
    <rPh sb="0" eb="1">
      <t>カイグn</t>
    </rPh>
    <phoneticPr fontId="1"/>
  </si>
  <si>
    <t>ブランマンジェ</t>
    <phoneticPr fontId="1"/>
  </si>
  <si>
    <t>ジョン・ジャイアント</t>
    <phoneticPr fontId="1"/>
  </si>
  <si>
    <t>エルバフ</t>
    <phoneticPr fontId="1"/>
  </si>
  <si>
    <t>中将</t>
    <rPh sb="0" eb="2">
      <t>チュウ</t>
    </rPh>
    <phoneticPr fontId="1"/>
  </si>
  <si>
    <t>海軍初の巨人海兵</t>
    <rPh sb="0" eb="3">
      <t>カイグn</t>
    </rPh>
    <rPh sb="4" eb="8">
      <t>キョジンク</t>
    </rPh>
    <phoneticPr fontId="1"/>
  </si>
  <si>
    <t>パッキー</t>
    <phoneticPr fontId="1"/>
  </si>
  <si>
    <t>イエス海賊団</t>
    <rPh sb="3" eb="5">
      <t>カイ</t>
    </rPh>
    <rPh sb="5" eb="6">
      <t>ダn</t>
    </rPh>
    <phoneticPr fontId="1"/>
  </si>
  <si>
    <t>船員</t>
    <rPh sb="0" eb="2">
      <t>センイn</t>
    </rPh>
    <phoneticPr fontId="1"/>
  </si>
  <si>
    <t>いまやただのチンピラ</t>
    <phoneticPr fontId="1"/>
  </si>
  <si>
    <t>コゼ</t>
    <phoneticPr fontId="1"/>
  </si>
  <si>
    <t>イエス海賊団</t>
    <rPh sb="3" eb="6">
      <t>カイゾクデ</t>
    </rPh>
    <phoneticPr fontId="1"/>
  </si>
  <si>
    <t>パッキーの相棒</t>
    <rPh sb="5" eb="7">
      <t>アイボウ</t>
    </rPh>
    <phoneticPr fontId="1"/>
  </si>
  <si>
    <t>ハンガーさん</t>
    <phoneticPr fontId="1"/>
  </si>
  <si>
    <t>ローグタウン</t>
    <phoneticPr fontId="1"/>
  </si>
  <si>
    <t>ブティック</t>
    <phoneticPr fontId="1"/>
  </si>
  <si>
    <t>店員</t>
    <rPh sb="0" eb="2">
      <t>テンイn</t>
    </rPh>
    <phoneticPr fontId="1"/>
  </si>
  <si>
    <t>いっぽんマツ</t>
  </si>
  <si>
    <t>武器屋</t>
    <rPh sb="0" eb="3">
      <t>ブキ</t>
    </rPh>
    <phoneticPr fontId="1"/>
  </si>
  <si>
    <t>一本うどん</t>
    <rPh sb="0" eb="2">
      <t>イッポ</t>
    </rPh>
    <phoneticPr fontId="1"/>
  </si>
  <si>
    <t>いっぽんウメ</t>
    <phoneticPr fontId="1"/>
  </si>
  <si>
    <t>いっぽんマツの奥さん</t>
    <rPh sb="7" eb="8">
      <t>オク</t>
    </rPh>
    <phoneticPr fontId="1"/>
  </si>
  <si>
    <t>サピー</t>
    <phoneticPr fontId="1"/>
  </si>
  <si>
    <t>魚屋兼漁師</t>
    <rPh sb="0" eb="1">
      <t>サカナ</t>
    </rPh>
    <rPh sb="1" eb="2">
      <t xml:space="preserve">ヤ </t>
    </rPh>
    <rPh sb="2" eb="3">
      <t>ケn</t>
    </rPh>
    <rPh sb="3" eb="5">
      <t>リョウ</t>
    </rPh>
    <phoneticPr fontId="1"/>
  </si>
  <si>
    <t>人間と魚人のハーフ</t>
    <rPh sb="0" eb="2">
      <t>ニンゲn</t>
    </rPh>
    <rPh sb="3" eb="5">
      <t>ギョジn</t>
    </rPh>
    <phoneticPr fontId="1"/>
  </si>
  <si>
    <t>マシカク</t>
    <phoneticPr fontId="1"/>
  </si>
  <si>
    <t>軍曹</t>
    <rPh sb="0" eb="2">
      <t>グンソウ</t>
    </rPh>
    <phoneticPr fontId="1"/>
  </si>
  <si>
    <t>スモーカー</t>
  </si>
  <si>
    <t>白猟のスモーカー</t>
    <rPh sb="0" eb="1">
      <t>ハクリョウ</t>
    </rPh>
    <rPh sb="1" eb="2">
      <t xml:space="preserve">リョウ </t>
    </rPh>
    <phoneticPr fontId="1"/>
  </si>
  <si>
    <t>モクモクの実</t>
    <rPh sb="5" eb="6">
      <t xml:space="preserve">ミ </t>
    </rPh>
    <phoneticPr fontId="1"/>
  </si>
  <si>
    <t>七尺十手</t>
    <rPh sb="0" eb="1">
      <t>7</t>
    </rPh>
    <rPh sb="1" eb="2">
      <t xml:space="preserve">シャク </t>
    </rPh>
    <rPh sb="2" eb="4">
      <t>jitter</t>
    </rPh>
    <phoneticPr fontId="1"/>
  </si>
  <si>
    <t>スモークチキン</t>
    <phoneticPr fontId="1"/>
  </si>
  <si>
    <t>陶芸、カジノ</t>
    <rPh sb="0" eb="2">
      <t>トウゲ</t>
    </rPh>
    <phoneticPr fontId="1"/>
  </si>
  <si>
    <t>ユウ</t>
    <phoneticPr fontId="1"/>
  </si>
  <si>
    <t>ローグ第二小学校</t>
    <rPh sb="3" eb="5">
      <t>ダイ</t>
    </rPh>
    <rPh sb="5" eb="8">
      <t>ショウガッコウ</t>
    </rPh>
    <phoneticPr fontId="1"/>
  </si>
  <si>
    <t>一年生</t>
    <rPh sb="0" eb="1">
      <t>1</t>
    </rPh>
    <rPh sb="1" eb="3">
      <t>ネn</t>
    </rPh>
    <phoneticPr fontId="1"/>
  </si>
  <si>
    <t>アイスをスモーカーにぶつける</t>
    <phoneticPr fontId="1"/>
  </si>
  <si>
    <t>たしぎ</t>
  </si>
  <si>
    <t>ホットコーヒー</t>
    <phoneticPr fontId="1"/>
  </si>
  <si>
    <t>刀の本読書、切り絵</t>
    <rPh sb="0" eb="1">
      <t>カタナ</t>
    </rPh>
    <rPh sb="2" eb="3">
      <t>ホn</t>
    </rPh>
    <rPh sb="3" eb="5">
      <t xml:space="preserve">ドクショ </t>
    </rPh>
    <rPh sb="6" eb="7">
      <t>キリエ</t>
    </rPh>
    <phoneticPr fontId="1"/>
  </si>
  <si>
    <t>C011-01</t>
    <phoneticPr fontId="1"/>
  </si>
  <si>
    <t>C011-02</t>
  </si>
  <si>
    <t>C011-03</t>
  </si>
  <si>
    <t>C011-04</t>
  </si>
  <si>
    <t>C011-05</t>
  </si>
  <si>
    <t>C011-06</t>
  </si>
  <si>
    <t>C011-07</t>
  </si>
  <si>
    <t>C011-08</t>
  </si>
  <si>
    <t>C011-09</t>
  </si>
  <si>
    <t>C011-10</t>
  </si>
  <si>
    <t>C011-11</t>
  </si>
  <si>
    <t>C011-12</t>
  </si>
  <si>
    <t>C011-13</t>
  </si>
  <si>
    <t>C011-14</t>
  </si>
  <si>
    <t>C011-15</t>
  </si>
  <si>
    <t>L-021</t>
  </si>
  <si>
    <t>L-022</t>
  </si>
  <si>
    <t>L-023</t>
  </si>
  <si>
    <t>L-024</t>
  </si>
  <si>
    <t>L-025</t>
  </si>
  <si>
    <t>ポルスター諸島</t>
    <rPh sb="5" eb="7">
      <t>ショトウ</t>
    </rPh>
    <phoneticPr fontId="1"/>
  </si>
  <si>
    <t>F-003</t>
  </si>
  <si>
    <t>F-004</t>
  </si>
  <si>
    <t>F-005</t>
  </si>
  <si>
    <t>自然系</t>
    <rPh sb="0" eb="3">
      <t>シゼn</t>
    </rPh>
    <phoneticPr fontId="1"/>
  </si>
  <si>
    <t>少佐</t>
    <rPh sb="0" eb="2">
      <t>ショウ</t>
    </rPh>
    <phoneticPr fontId="1"/>
  </si>
  <si>
    <t>曹長</t>
    <rPh sb="0" eb="2">
      <t>ソウチョウ</t>
    </rPh>
    <phoneticPr fontId="1"/>
  </si>
  <si>
    <t>-</t>
    <phoneticPr fontId="1"/>
  </si>
  <si>
    <t>半魚人</t>
    <rPh sb="0" eb="1">
      <t>ハン</t>
    </rPh>
    <rPh sb="1" eb="3">
      <t>ギョジn</t>
    </rPh>
    <phoneticPr fontId="1"/>
  </si>
  <si>
    <t>カタツムリ</t>
    <phoneticPr fontId="1"/>
  </si>
  <si>
    <t>鳥</t>
    <rPh sb="0" eb="1">
      <t>トリ</t>
    </rPh>
    <phoneticPr fontId="1"/>
  </si>
  <si>
    <t>巨人</t>
    <rPh sb="0" eb="2">
      <t>キョジン</t>
    </rPh>
    <phoneticPr fontId="1"/>
  </si>
  <si>
    <t>B</t>
    <phoneticPr fontId="1"/>
  </si>
  <si>
    <t>C</t>
    <phoneticPr fontId="1"/>
  </si>
  <si>
    <t>鮫（シャーク）・ON・DARTS</t>
    <rPh sb="0" eb="1">
      <t xml:space="preserve">サメ </t>
    </rPh>
    <phoneticPr fontId="1"/>
  </si>
  <si>
    <t>ゴムゴムの盾</t>
    <rPh sb="5" eb="6">
      <t xml:space="preserve">タテ </t>
    </rPh>
    <phoneticPr fontId="1"/>
  </si>
  <si>
    <t>ゴムゴムの網</t>
    <rPh sb="5" eb="6">
      <t xml:space="preserve">アミ </t>
    </rPh>
    <phoneticPr fontId="1"/>
  </si>
  <si>
    <t>ゴムゴムの槍</t>
    <rPh sb="5" eb="6">
      <t xml:space="preserve">ヤリ </t>
    </rPh>
    <phoneticPr fontId="1"/>
  </si>
  <si>
    <t>鮫・ON・歯車（シャーク・オン・トゥース）</t>
    <rPh sb="0" eb="1">
      <t>サメ</t>
    </rPh>
    <rPh sb="5" eb="7">
      <t xml:space="preserve">ハ </t>
    </rPh>
    <phoneticPr fontId="1"/>
  </si>
  <si>
    <t>航海士</t>
    <rPh sb="0" eb="3">
      <t>コウカイシ</t>
    </rPh>
    <phoneticPr fontId="1"/>
  </si>
  <si>
    <t>少佐</t>
    <rPh sb="0" eb="2">
      <t>ショウサ</t>
    </rPh>
    <phoneticPr fontId="1"/>
  </si>
  <si>
    <t>アーロン一味撃破</t>
    <rPh sb="4" eb="6">
      <t>イチミ</t>
    </rPh>
    <rPh sb="6" eb="8">
      <t>ゲキハ</t>
    </rPh>
    <phoneticPr fontId="1"/>
  </si>
  <si>
    <t>ローグタウンに到着する</t>
    <rPh sb="7" eb="9">
      <t>トウチャク</t>
    </rPh>
    <phoneticPr fontId="1"/>
  </si>
  <si>
    <t>E001-166</t>
  </si>
  <si>
    <t>E001-167</t>
  </si>
  <si>
    <t>E001-168</t>
  </si>
  <si>
    <t>E001-169</t>
  </si>
  <si>
    <t>E001-170</t>
  </si>
  <si>
    <t>E001-171</t>
  </si>
  <si>
    <t>E001-172</t>
  </si>
  <si>
    <t>E001-173</t>
  </si>
  <si>
    <t>E001-174</t>
  </si>
  <si>
    <t>とある島</t>
    <rPh sb="3" eb="4">
      <t>シマ</t>
    </rPh>
    <phoneticPr fontId="1"/>
  </si>
  <si>
    <t>L-022</t>
    <phoneticPr fontId="1"/>
  </si>
  <si>
    <t>赤髪に会う</t>
    <rPh sb="0" eb="2">
      <t>アカガミ</t>
    </rPh>
    <rPh sb="3" eb="4">
      <t>ア</t>
    </rPh>
    <phoneticPr fontId="1"/>
  </si>
  <si>
    <t>鷹の目に会う</t>
    <rPh sb="0" eb="1">
      <t>タカ</t>
    </rPh>
    <rPh sb="2" eb="3">
      <t>メ</t>
    </rPh>
    <rPh sb="4" eb="5">
      <t>ア</t>
    </rPh>
    <phoneticPr fontId="1"/>
  </si>
  <si>
    <t>大頭</t>
    <rPh sb="0" eb="2">
      <t>オオガシラ</t>
    </rPh>
    <phoneticPr fontId="1"/>
  </si>
  <si>
    <t>三代鬼徹</t>
    <rPh sb="0" eb="2">
      <t>サンダ</t>
    </rPh>
    <rPh sb="2" eb="3">
      <t>キテ</t>
    </rPh>
    <rPh sb="3" eb="4">
      <t xml:space="preserve">テツ </t>
    </rPh>
    <phoneticPr fontId="1"/>
  </si>
  <si>
    <t>業物</t>
    <rPh sb="0" eb="2">
      <t>ワザモノ</t>
    </rPh>
    <phoneticPr fontId="1"/>
  </si>
  <si>
    <t>天狗山飛徹</t>
    <rPh sb="0" eb="3">
      <t>テング</t>
    </rPh>
    <rPh sb="3" eb="4">
      <t>ヒテテゥ</t>
    </rPh>
    <rPh sb="4" eb="5">
      <t xml:space="preserve">テツ </t>
    </rPh>
    <phoneticPr fontId="1"/>
  </si>
  <si>
    <t>雪走</t>
    <rPh sb="0" eb="1">
      <t xml:space="preserve">ユキ </t>
    </rPh>
    <rPh sb="1" eb="2">
      <t>ハシル</t>
    </rPh>
    <phoneticPr fontId="1"/>
  </si>
  <si>
    <t>大業物</t>
    <rPh sb="0" eb="3">
      <t>オオワ</t>
    </rPh>
    <phoneticPr fontId="1"/>
  </si>
  <si>
    <t>良業物</t>
    <rPh sb="0" eb="1">
      <t xml:space="preserve">リョウ </t>
    </rPh>
    <rPh sb="1" eb="3">
      <t>オオワ</t>
    </rPh>
    <phoneticPr fontId="1"/>
  </si>
  <si>
    <t>時雨</t>
    <rPh sb="0" eb="2">
      <t>シグレ</t>
    </rPh>
    <phoneticPr fontId="1"/>
  </si>
  <si>
    <t>W-011</t>
  </si>
  <si>
    <t>W-012</t>
  </si>
  <si>
    <t>W-013</t>
  </si>
  <si>
    <t>W-014</t>
  </si>
  <si>
    <t>W-015</t>
  </si>
  <si>
    <t>W-016</t>
  </si>
  <si>
    <t>W-017</t>
  </si>
  <si>
    <t>W-018</t>
  </si>
  <si>
    <t>W-019</t>
  </si>
  <si>
    <t>W-020</t>
  </si>
  <si>
    <t>処刑台を占拠しルフィの処刑を行おうとする</t>
    <rPh sb="0" eb="3">
      <t>ショケイダイ</t>
    </rPh>
    <rPh sb="4" eb="6">
      <t>センキョ</t>
    </rPh>
    <rPh sb="11" eb="13">
      <t>ショケイ</t>
    </rPh>
    <rPh sb="14" eb="15">
      <t>オコナ</t>
    </rPh>
    <phoneticPr fontId="1"/>
  </si>
  <si>
    <t>C011-15</t>
    <phoneticPr fontId="1"/>
  </si>
  <si>
    <t>曹長</t>
    <rPh sb="0" eb="2">
      <t>ソウチョウ</t>
    </rPh>
    <phoneticPr fontId="1"/>
  </si>
  <si>
    <t>C001-08</t>
    <phoneticPr fontId="1"/>
  </si>
  <si>
    <t>E001-163</t>
  </si>
  <si>
    <t>E001-175</t>
  </si>
  <si>
    <t>E001-176</t>
  </si>
  <si>
    <t>E001-177</t>
  </si>
  <si>
    <t>E001-178</t>
  </si>
  <si>
    <t>E001-179</t>
  </si>
  <si>
    <t>E001-180</t>
  </si>
  <si>
    <t>E001-181</t>
  </si>
  <si>
    <t>E001-182</t>
  </si>
  <si>
    <t>E001-183</t>
  </si>
  <si>
    <t>E001-184</t>
  </si>
  <si>
    <t>E001-185</t>
  </si>
  <si>
    <t>E001-186</t>
  </si>
  <si>
    <t>E001-187</t>
  </si>
  <si>
    <t>E001-188</t>
  </si>
  <si>
    <t>E001-189</t>
  </si>
  <si>
    <t>E001-190</t>
  </si>
  <si>
    <t>処刑されそうになる</t>
    <rPh sb="0" eb="2">
      <t>ショケイ</t>
    </rPh>
    <phoneticPr fontId="1"/>
  </si>
  <si>
    <t>麦わらの一味を取り逃がす</t>
    <rPh sb="0" eb="1">
      <t>ムギ</t>
    </rPh>
    <rPh sb="4" eb="6">
      <t>イチミ</t>
    </rPh>
    <rPh sb="7" eb="8">
      <t>ト</t>
    </rPh>
    <rPh sb="9" eb="10">
      <t>ニ</t>
    </rPh>
    <phoneticPr fontId="1"/>
  </si>
  <si>
    <t>C045-01</t>
    <phoneticPr fontId="1"/>
  </si>
  <si>
    <t>モンキー・D・ガープ</t>
  </si>
  <si>
    <t>ガープの軍艦</t>
    <rPh sb="0" eb="2">
      <t>ガープノ</t>
    </rPh>
    <rPh sb="4" eb="5">
      <t>グンカn</t>
    </rPh>
    <phoneticPr fontId="1"/>
  </si>
  <si>
    <t>ゴア王国</t>
    <rPh sb="2" eb="4">
      <t>オウ</t>
    </rPh>
    <phoneticPr fontId="1"/>
  </si>
  <si>
    <t>ゲンコツのガープ/海軍の英雄/伝説の海兵</t>
    <rPh sb="9" eb="11">
      <t>カイグn</t>
    </rPh>
    <rPh sb="12" eb="14">
      <t>エイユウ</t>
    </rPh>
    <rPh sb="15" eb="17">
      <t>デンセテゥ</t>
    </rPh>
    <rPh sb="18" eb="20">
      <t>カイヘイ</t>
    </rPh>
    <phoneticPr fontId="1"/>
  </si>
  <si>
    <t>中将</t>
    <rPh sb="0" eb="1">
      <t>チュウ</t>
    </rPh>
    <phoneticPr fontId="1"/>
  </si>
  <si>
    <t>せんべい、カレー</t>
    <rPh sb="4" eb="5">
      <t>、</t>
    </rPh>
    <phoneticPr fontId="1"/>
  </si>
  <si>
    <t>ピーマン</t>
    <phoneticPr fontId="1"/>
  </si>
  <si>
    <t>せんべいパーティー</t>
    <phoneticPr fontId="1"/>
  </si>
  <si>
    <t>セントバーナード</t>
    <phoneticPr fontId="1"/>
  </si>
  <si>
    <t>Dの一族/掲げる正義「おれの正義」</t>
    <rPh sb="2" eb="4">
      <t>イチゾク</t>
    </rPh>
    <rPh sb="4" eb="5">
      <t>/</t>
    </rPh>
    <rPh sb="5" eb="6">
      <t>カカゲ</t>
    </rPh>
    <rPh sb="8" eb="10">
      <t>セイギ</t>
    </rPh>
    <rPh sb="14" eb="16">
      <t>セイ</t>
    </rPh>
    <phoneticPr fontId="1"/>
  </si>
  <si>
    <t>中将</t>
    <rPh sb="0" eb="2">
      <t>チュウジョウ</t>
    </rPh>
    <phoneticPr fontId="1"/>
  </si>
  <si>
    <t>海軍本部に送検されるも脱走する</t>
    <rPh sb="0" eb="4">
      <t>カイグンホンブ</t>
    </rPh>
    <rPh sb="5" eb="7">
      <t>ソウケン</t>
    </rPh>
    <rPh sb="11" eb="13">
      <t>ダッソウ</t>
    </rPh>
    <phoneticPr fontId="1"/>
  </si>
  <si>
    <t>モーガン送検に立ち会う</t>
    <rPh sb="4" eb="6">
      <t>ソウケン</t>
    </rPh>
    <rPh sb="7" eb="8">
      <t>タ</t>
    </rPh>
    <rPh sb="9" eb="10">
      <t>ア</t>
    </rPh>
    <phoneticPr fontId="1"/>
  </si>
  <si>
    <t>伝説は始まった</t>
    <rPh sb="0" eb="2">
      <t>デンセツ</t>
    </rPh>
    <rPh sb="3" eb="4">
      <t>ハジ</t>
    </rPh>
    <phoneticPr fontId="1"/>
  </si>
  <si>
    <t>ローグタウン</t>
    <phoneticPr fontId="1"/>
  </si>
  <si>
    <t>C012-01</t>
    <phoneticPr fontId="1"/>
  </si>
  <si>
    <t>C012-02</t>
  </si>
  <si>
    <t>C012-03</t>
  </si>
  <si>
    <t>C012-04</t>
  </si>
  <si>
    <t>C012-05</t>
  </si>
  <si>
    <t>C012-06</t>
  </si>
  <si>
    <t>C012-07</t>
  </si>
  <si>
    <t>C012-08</t>
  </si>
  <si>
    <t>C012-09</t>
  </si>
  <si>
    <t>C012-10</t>
  </si>
  <si>
    <t>C012-11</t>
  </si>
  <si>
    <t>C012-12</t>
  </si>
  <si>
    <t>C012-13</t>
  </si>
  <si>
    <t>C012-14</t>
  </si>
  <si>
    <t>モンキー・D・ドラゴン</t>
  </si>
  <si>
    <t>ヴィント・グランマ号</t>
    <rPh sb="9" eb="10">
      <t>ゴウ</t>
    </rPh>
    <phoneticPr fontId="1"/>
  </si>
  <si>
    <t>革命軍</t>
    <rPh sb="0" eb="3">
      <t>カクメイグ</t>
    </rPh>
    <phoneticPr fontId="1"/>
  </si>
  <si>
    <t>総司令官</t>
    <rPh sb="0" eb="4">
      <t>ソウシレイ</t>
    </rPh>
    <phoneticPr fontId="1"/>
  </si>
  <si>
    <t>ボカディート</t>
    <phoneticPr fontId="1"/>
  </si>
  <si>
    <t>ラブーン</t>
  </si>
  <si>
    <t>ルンバー海賊団</t>
    <rPh sb="4" eb="7">
      <t>カイゾク</t>
    </rPh>
    <phoneticPr fontId="1"/>
  </si>
  <si>
    <t>ペット</t>
    <phoneticPr fontId="1"/>
  </si>
  <si>
    <t>大王イカ</t>
    <rPh sb="0" eb="2">
      <t>ダイオウ</t>
    </rPh>
    <phoneticPr fontId="1"/>
  </si>
  <si>
    <t>アイランドクジラ</t>
    <phoneticPr fontId="1"/>
  </si>
  <si>
    <t>クロッカス</t>
  </si>
  <si>
    <t>元ロジャー海賊団</t>
    <rPh sb="0" eb="1">
      <t>モト</t>
    </rPh>
    <rPh sb="5" eb="8">
      <t>カイゾク</t>
    </rPh>
    <phoneticPr fontId="1"/>
  </si>
  <si>
    <t>船医</t>
    <rPh sb="0" eb="2">
      <t>センイ</t>
    </rPh>
    <phoneticPr fontId="1"/>
  </si>
  <si>
    <t>XF /AB</t>
    <phoneticPr fontId="1"/>
  </si>
  <si>
    <t>大王イカ焼き</t>
    <rPh sb="0" eb="2">
      <t>ダイオウ</t>
    </rPh>
    <rPh sb="4" eb="5">
      <t xml:space="preserve">ヤキ </t>
    </rPh>
    <phoneticPr fontId="1"/>
  </si>
  <si>
    <t>アラバスタ王国</t>
    <rPh sb="5" eb="7">
      <t>オウコク</t>
    </rPh>
    <phoneticPr fontId="1"/>
  </si>
  <si>
    <t>カレー、プリン、ムルキーヤ</t>
    <phoneticPr fontId="1"/>
  </si>
  <si>
    <t>スルメ</t>
    <phoneticPr fontId="1"/>
  </si>
  <si>
    <t>ハト</t>
    <phoneticPr fontId="1"/>
  </si>
  <si>
    <t>ミス・ウェンズデー/元・麦わらの一味/王族/Dの一族</t>
    <rPh sb="10" eb="11">
      <t>モト</t>
    </rPh>
    <rPh sb="12" eb="13">
      <t>ムギワル</t>
    </rPh>
    <rPh sb="16" eb="18">
      <t>イチミ</t>
    </rPh>
    <rPh sb="19" eb="21">
      <t>オウ</t>
    </rPh>
    <rPh sb="24" eb="26">
      <t>イティ</t>
    </rPh>
    <phoneticPr fontId="1"/>
  </si>
  <si>
    <t>Mr.9</t>
    <phoneticPr fontId="1"/>
  </si>
  <si>
    <t>元B・Wエージェント</t>
    <rPh sb="0" eb="1">
      <t>モト</t>
    </rPh>
    <phoneticPr fontId="1"/>
  </si>
  <si>
    <t>Mr.13</t>
    <phoneticPr fontId="1"/>
  </si>
  <si>
    <t>”13日の金曜日”（アンラッキーズ）</t>
    <rPh sb="3" eb="4">
      <t>ニティ</t>
    </rPh>
    <rPh sb="5" eb="8">
      <t>キンヨウ</t>
    </rPh>
    <phoneticPr fontId="1"/>
  </si>
  <si>
    <t>バロック・ワークス</t>
    <phoneticPr fontId="1"/>
  </si>
  <si>
    <t>エージェント</t>
    <phoneticPr fontId="1"/>
  </si>
  <si>
    <t>ラッコ</t>
    <phoneticPr fontId="1"/>
  </si>
  <si>
    <t>ミス・フライデー</t>
    <phoneticPr fontId="1"/>
  </si>
  <si>
    <t>ハゲタカ</t>
    <phoneticPr fontId="1"/>
  </si>
  <si>
    <t>雪だるさん</t>
    <rPh sb="0" eb="1">
      <t xml:space="preserve">ユキ </t>
    </rPh>
    <phoneticPr fontId="1"/>
  </si>
  <si>
    <t>メリー号船上</t>
    <rPh sb="4" eb="6">
      <t>セn</t>
    </rPh>
    <phoneticPr fontId="1"/>
  </si>
  <si>
    <t>雪だるま</t>
    <rPh sb="0" eb="1">
      <t>ユキ</t>
    </rPh>
    <phoneticPr fontId="1"/>
  </si>
  <si>
    <t>スノウクイーン</t>
    <phoneticPr fontId="1"/>
  </si>
  <si>
    <t>メリー号船上</t>
    <rPh sb="4" eb="6">
      <t>センジョウ</t>
    </rPh>
    <phoneticPr fontId="1"/>
  </si>
  <si>
    <t>雪像</t>
    <rPh sb="0" eb="2">
      <t>セツゾウ</t>
    </rPh>
    <phoneticPr fontId="1"/>
  </si>
  <si>
    <t>ミス・キャサリーナ</t>
    <phoneticPr fontId="1"/>
  </si>
  <si>
    <t>Mr.ビーンズ</t>
    <phoneticPr fontId="1"/>
  </si>
  <si>
    <t>偉大なる航路</t>
    <rPh sb="0" eb="1">
      <t>イダイ</t>
    </rPh>
    <rPh sb="4" eb="5">
      <t>コウロ</t>
    </rPh>
    <phoneticPr fontId="1"/>
  </si>
  <si>
    <t>賞金稼ぎ</t>
    <rPh sb="0" eb="1">
      <t>ショウキn</t>
    </rPh>
    <phoneticPr fontId="1"/>
  </si>
  <si>
    <t>ミス・キャサリーナのパートナー</t>
    <phoneticPr fontId="1"/>
  </si>
  <si>
    <t>サックス（散弾銃）</t>
    <rPh sb="5" eb="8">
      <t>サンダンジュウ</t>
    </rPh>
    <phoneticPr fontId="1"/>
  </si>
  <si>
    <t>ちくわ</t>
    <phoneticPr fontId="1"/>
  </si>
  <si>
    <t>変装</t>
    <rPh sb="0" eb="2">
      <t>ヘンソウ</t>
    </rPh>
    <phoneticPr fontId="1"/>
  </si>
  <si>
    <t>Mr.8</t>
    <phoneticPr fontId="1"/>
  </si>
  <si>
    <t>Mr.シミズ</t>
    <phoneticPr fontId="1"/>
  </si>
  <si>
    <t>サンジに群がる女性に紛れ、飲み会に参加する粋なオヤジ</t>
    <rPh sb="4" eb="5">
      <t>ムラガル</t>
    </rPh>
    <rPh sb="7" eb="9">
      <t>ジョセイ</t>
    </rPh>
    <rPh sb="10" eb="11">
      <t>マギレ</t>
    </rPh>
    <rPh sb="13" eb="14">
      <t>ノミ</t>
    </rPh>
    <rPh sb="17" eb="19">
      <t>サンカ</t>
    </rPh>
    <rPh sb="21" eb="22">
      <t xml:space="preserve">イキナ </t>
    </rPh>
    <phoneticPr fontId="1"/>
  </si>
  <si>
    <t>ミス・マンデー</t>
    <phoneticPr fontId="1"/>
  </si>
  <si>
    <t>Mr.8のパートナー</t>
    <phoneticPr fontId="1"/>
  </si>
  <si>
    <t>世界最悪の犯罪者</t>
    <rPh sb="0" eb="4">
      <t>セカイ</t>
    </rPh>
    <rPh sb="5" eb="8">
      <t>ハンザイ</t>
    </rPh>
    <phoneticPr fontId="1"/>
  </si>
  <si>
    <t>M-101</t>
  </si>
  <si>
    <t>M-102</t>
  </si>
  <si>
    <t>M-103</t>
  </si>
  <si>
    <t>M-104</t>
  </si>
  <si>
    <t>M-105</t>
  </si>
  <si>
    <t>M-106</t>
  </si>
  <si>
    <t>M-107</t>
  </si>
  <si>
    <t>M-108</t>
  </si>
  <si>
    <t>M-109</t>
  </si>
  <si>
    <t>M-110</t>
  </si>
  <si>
    <t>バラバラカー</t>
    <phoneticPr fontId="1"/>
  </si>
  <si>
    <t>爆弾エンジン</t>
    <rPh sb="0" eb="2">
      <t>バク</t>
    </rPh>
    <phoneticPr fontId="1"/>
  </si>
  <si>
    <t>スベスベシュプール</t>
    <phoneticPr fontId="1"/>
  </si>
  <si>
    <t>ホワイト・アウト</t>
    <phoneticPr fontId="1"/>
  </si>
  <si>
    <t>ホワイト・ブロー</t>
    <phoneticPr fontId="1"/>
  </si>
  <si>
    <t>新鮮卵星</t>
    <rPh sb="0" eb="2">
      <t>シンセn</t>
    </rPh>
    <rPh sb="2" eb="3">
      <t>タマゴ</t>
    </rPh>
    <rPh sb="3" eb="4">
      <t>ホセィ</t>
    </rPh>
    <phoneticPr fontId="1"/>
  </si>
  <si>
    <t>ゴムゴムの生け花</t>
    <rPh sb="5" eb="8">
      <t>イケバナ</t>
    </rPh>
    <phoneticPr fontId="1"/>
  </si>
  <si>
    <t>雪だるパンチ</t>
    <rPh sb="0" eb="1">
      <t>ユキ</t>
    </rPh>
    <phoneticPr fontId="1"/>
  </si>
  <si>
    <t>イガラッパ</t>
    <phoneticPr fontId="1"/>
  </si>
  <si>
    <t>神のご加護目潰し</t>
    <rPh sb="0" eb="1">
      <t xml:space="preserve">カミノ </t>
    </rPh>
    <rPh sb="5" eb="7">
      <t>メテゥ</t>
    </rPh>
    <phoneticPr fontId="1"/>
  </si>
  <si>
    <t>二刀流”鷹波”</t>
    <rPh sb="0" eb="3">
      <t>ニトウ</t>
    </rPh>
    <rPh sb="4" eb="5">
      <t xml:space="preserve">タカ </t>
    </rPh>
    <rPh sb="5" eb="6">
      <t xml:space="preserve">ナミ </t>
    </rPh>
    <phoneticPr fontId="1"/>
  </si>
  <si>
    <t>カ・イ・リ・キ　メリケン</t>
    <phoneticPr fontId="1"/>
  </si>
  <si>
    <t>C001-17</t>
    <phoneticPr fontId="1"/>
  </si>
  <si>
    <t>革命軍</t>
    <rPh sb="0" eb="3">
      <t>カクメイグン</t>
    </rPh>
    <phoneticPr fontId="1"/>
  </si>
  <si>
    <t>犯罪組織</t>
    <rPh sb="0" eb="4">
      <t>ハンザイソシキ</t>
    </rPh>
    <phoneticPr fontId="1"/>
  </si>
  <si>
    <t>ミス・ウェンズデー</t>
    <phoneticPr fontId="1"/>
  </si>
  <si>
    <t>L-021</t>
    <phoneticPr fontId="1"/>
  </si>
  <si>
    <t>乱戦</t>
  </si>
  <si>
    <t>E001-191</t>
  </si>
  <si>
    <t>E001-192</t>
  </si>
  <si>
    <t>E001-193</t>
  </si>
  <si>
    <t>E001-194</t>
  </si>
  <si>
    <t>E001-195</t>
  </si>
  <si>
    <t>E001-196</t>
  </si>
  <si>
    <t>E001-197</t>
  </si>
  <si>
    <t>E001-198</t>
  </si>
  <si>
    <t>E001-199</t>
  </si>
  <si>
    <t>E001-200</t>
  </si>
  <si>
    <t>凪の帯</t>
    <rPh sb="0" eb="1">
      <t xml:space="preserve">ナギ </t>
    </rPh>
    <rPh sb="2" eb="3">
      <t>オビ</t>
    </rPh>
    <phoneticPr fontId="1"/>
  </si>
  <si>
    <t>東の海付近凪の帯</t>
    <rPh sb="0" eb="1">
      <t>ヒガシ</t>
    </rPh>
    <rPh sb="2" eb="3">
      <t>ウミ</t>
    </rPh>
    <rPh sb="3" eb="5">
      <t>フキン</t>
    </rPh>
    <phoneticPr fontId="1"/>
  </si>
  <si>
    <t>凪の帯に入る</t>
    <rPh sb="4" eb="5">
      <t>ハイ</t>
    </rPh>
    <phoneticPr fontId="1"/>
  </si>
  <si>
    <t>赤い土の大陸</t>
    <rPh sb="0" eb="1">
      <t>アカイ</t>
    </rPh>
    <rPh sb="2" eb="3">
      <t>ツティ</t>
    </rPh>
    <rPh sb="4" eb="6">
      <t>タイリク</t>
    </rPh>
    <phoneticPr fontId="1"/>
  </si>
  <si>
    <t>リヴァース・マウンテン</t>
  </si>
  <si>
    <t>L-024</t>
    <phoneticPr fontId="1"/>
  </si>
  <si>
    <t>-</t>
    <phoneticPr fontId="1"/>
  </si>
  <si>
    <t>アイランドクジラ</t>
    <phoneticPr fontId="1"/>
  </si>
  <si>
    <t>ラッコ</t>
    <phoneticPr fontId="1"/>
  </si>
  <si>
    <t>ハゲタカ</t>
    <phoneticPr fontId="1"/>
  </si>
  <si>
    <t>ルフィを逃がす</t>
    <rPh sb="4" eb="5">
      <t>ニ</t>
    </rPh>
    <phoneticPr fontId="1"/>
  </si>
  <si>
    <t>E001-201</t>
  </si>
  <si>
    <t>E001-202</t>
  </si>
  <si>
    <t>E001-203</t>
  </si>
  <si>
    <t>E001-204</t>
  </si>
  <si>
    <t>E001-205</t>
  </si>
  <si>
    <t>E001-206</t>
  </si>
  <si>
    <t>E001-207</t>
  </si>
  <si>
    <t>E001-208</t>
  </si>
  <si>
    <t>E001-209</t>
  </si>
  <si>
    <t>E001-210</t>
  </si>
  <si>
    <t>双子岬</t>
    <rPh sb="0" eb="2">
      <t>フタゴ</t>
    </rPh>
    <rPh sb="2" eb="3">
      <t>ミサキ</t>
    </rPh>
    <phoneticPr fontId="1"/>
  </si>
  <si>
    <t>L-026</t>
  </si>
  <si>
    <t>L-027</t>
  </si>
  <si>
    <t>L-028</t>
  </si>
  <si>
    <t>L-029</t>
  </si>
  <si>
    <t>L-030</t>
  </si>
  <si>
    <t>L-025</t>
    <phoneticPr fontId="1"/>
  </si>
  <si>
    <t>アラバスタ</t>
    <phoneticPr fontId="1"/>
  </si>
  <si>
    <t>偉大なる航路突入</t>
    <rPh sb="0" eb="2">
      <t>イダイ</t>
    </rPh>
    <rPh sb="4" eb="6">
      <t>コウロ</t>
    </rPh>
    <rPh sb="6" eb="8">
      <t>トツニュウ</t>
    </rPh>
    <phoneticPr fontId="1"/>
  </si>
  <si>
    <t>双子岬</t>
    <rPh sb="0" eb="3">
      <t>フタゴミサキ</t>
    </rPh>
    <phoneticPr fontId="1"/>
  </si>
  <si>
    <t>双子岬に滞在する</t>
    <rPh sb="0" eb="3">
      <t>フタゴミサキ</t>
    </rPh>
    <rPh sb="4" eb="6">
      <t>タイザイ</t>
    </rPh>
    <phoneticPr fontId="1"/>
  </si>
  <si>
    <t>捕鯨に失敗する</t>
    <rPh sb="0" eb="2">
      <t>ホゲイ</t>
    </rPh>
    <rPh sb="3" eb="5">
      <t>シッパイ</t>
    </rPh>
    <phoneticPr fontId="1"/>
  </si>
  <si>
    <t>パワポの横cm</t>
    <rPh sb="4" eb="5">
      <t>ヨコ</t>
    </rPh>
    <phoneticPr fontId="1"/>
  </si>
  <si>
    <t>パワポの縦cm</t>
    <rPh sb="4" eb="5">
      <t>タテ</t>
    </rPh>
    <phoneticPr fontId="1"/>
  </si>
  <si>
    <t>X座標</t>
    <rPh sb="1" eb="3">
      <t>ザヒョウ</t>
    </rPh>
    <phoneticPr fontId="1"/>
  </si>
  <si>
    <t>Y座標</t>
    <rPh sb="1" eb="3">
      <t>ザヒョウ</t>
    </rPh>
    <phoneticPr fontId="1"/>
  </si>
  <si>
    <t>仮説</t>
    <rPh sb="0" eb="2">
      <t>カセツ</t>
    </rPh>
    <phoneticPr fontId="1"/>
  </si>
  <si>
    <t>ウイスキーピーク</t>
    <phoneticPr fontId="1"/>
  </si>
  <si>
    <t>ルフィらに出会う</t>
    <rPh sb="5" eb="7">
      <t>デア</t>
    </rPh>
    <phoneticPr fontId="1"/>
  </si>
  <si>
    <t>C012-03</t>
    <phoneticPr fontId="1"/>
  </si>
  <si>
    <t>ラブーンと出会う</t>
    <rPh sb="5" eb="7">
      <t>デア</t>
    </rPh>
    <phoneticPr fontId="1"/>
  </si>
  <si>
    <t>双子岬</t>
    <rPh sb="0" eb="3">
      <t>フタゴミサキ</t>
    </rPh>
    <phoneticPr fontId="1"/>
  </si>
  <si>
    <t>灯台守</t>
    <rPh sb="0" eb="3">
      <t>トウダイモリ</t>
    </rPh>
    <phoneticPr fontId="1"/>
  </si>
  <si>
    <t>G-008</t>
    <phoneticPr fontId="1"/>
  </si>
  <si>
    <t>L-026</t>
    <phoneticPr fontId="1"/>
  </si>
  <si>
    <t>ウイスキーピークに上陸</t>
    <rPh sb="9" eb="11">
      <t>ジョウリク</t>
    </rPh>
    <phoneticPr fontId="1"/>
  </si>
  <si>
    <t>E001-211</t>
  </si>
  <si>
    <t>E001-212</t>
  </si>
  <si>
    <t>E001-213</t>
  </si>
  <si>
    <t>E001-214</t>
  </si>
  <si>
    <t>E001-215</t>
  </si>
  <si>
    <t>E001-216</t>
  </si>
  <si>
    <t>E001-217</t>
  </si>
  <si>
    <t>E001-218</t>
  </si>
  <si>
    <t>E001-219</t>
  </si>
  <si>
    <t>E001-220</t>
  </si>
  <si>
    <t>賞金稼ぎ100人斬り</t>
    <rPh sb="0" eb="3">
      <t>ショウキンカセ</t>
    </rPh>
    <rPh sb="7" eb="8">
      <t>ニン</t>
    </rPh>
    <rPh sb="8" eb="9">
      <t>ギ</t>
    </rPh>
    <phoneticPr fontId="1"/>
  </si>
  <si>
    <t>送検船から脱出する</t>
    <rPh sb="0" eb="2">
      <t>ソウケン</t>
    </rPh>
    <rPh sb="2" eb="3">
      <t>セン</t>
    </rPh>
    <rPh sb="5" eb="7">
      <t>ダッシュツ</t>
    </rPh>
    <phoneticPr fontId="1"/>
  </si>
  <si>
    <t>M-001</t>
    <phoneticPr fontId="1"/>
  </si>
  <si>
    <t>M-007</t>
    <phoneticPr fontId="1"/>
  </si>
  <si>
    <t>フロンティアエージェント</t>
    <phoneticPr fontId="1"/>
  </si>
  <si>
    <t>ウイスキーピーク</t>
    <phoneticPr fontId="1"/>
  </si>
  <si>
    <t>C013-01</t>
    <phoneticPr fontId="1"/>
  </si>
  <si>
    <t>C013-02</t>
  </si>
  <si>
    <t>C013-03</t>
  </si>
  <si>
    <t>C013-04</t>
  </si>
  <si>
    <t>C013-05</t>
  </si>
  <si>
    <t>C013-06</t>
  </si>
  <si>
    <t>C013-07</t>
  </si>
  <si>
    <t>C013-08</t>
  </si>
  <si>
    <t>C013-09</t>
  </si>
  <si>
    <t>C013-10</t>
  </si>
  <si>
    <t>C013-11</t>
  </si>
  <si>
    <t>カルー</t>
  </si>
  <si>
    <t>超カルガモ部隊</t>
    <rPh sb="0" eb="1">
      <t>チョウカルガモ</t>
    </rPh>
    <rPh sb="5" eb="7">
      <t>ブタイ</t>
    </rPh>
    <phoneticPr fontId="1"/>
  </si>
  <si>
    <t>冷たい水、ボルティ</t>
    <rPh sb="0" eb="1">
      <t>ツメタイ</t>
    </rPh>
    <phoneticPr fontId="1"/>
  </si>
  <si>
    <t>超カルガモ</t>
    <rPh sb="0" eb="1">
      <t>チョウ</t>
    </rPh>
    <phoneticPr fontId="1"/>
  </si>
  <si>
    <t>ポップロックキャンディ号</t>
    <rPh sb="11" eb="12">
      <t>ゴウ</t>
    </rPh>
    <phoneticPr fontId="1"/>
  </si>
  <si>
    <t>南の海</t>
    <phoneticPr fontId="1"/>
  </si>
  <si>
    <t>国境のジェム</t>
    <rPh sb="0" eb="2">
      <t>コッキョウ</t>
    </rPh>
    <phoneticPr fontId="1"/>
  </si>
  <si>
    <t>ボムボムの実</t>
    <rPh sb="5" eb="6">
      <t xml:space="preserve">ミ </t>
    </rPh>
    <phoneticPr fontId="1"/>
  </si>
  <si>
    <t>フリントロック式44口径6連発リボルバー</t>
    <rPh sb="7" eb="8">
      <t>シキ</t>
    </rPh>
    <rPh sb="10" eb="12">
      <t>コウケイ</t>
    </rPh>
    <rPh sb="13" eb="15">
      <t>レンパテゥ</t>
    </rPh>
    <phoneticPr fontId="1"/>
  </si>
  <si>
    <t>火薬茶、上質な火薬、かやくご飯</t>
    <rPh sb="0" eb="2">
      <t>カヤク</t>
    </rPh>
    <rPh sb="2" eb="3">
      <t xml:space="preserve">チャ </t>
    </rPh>
    <rPh sb="4" eb="6">
      <t>ジョウセィ</t>
    </rPh>
    <rPh sb="7" eb="9">
      <t>カヤク</t>
    </rPh>
    <phoneticPr fontId="1"/>
  </si>
  <si>
    <t>元B・Wオフィサーエージェント</t>
    <rPh sb="0" eb="1">
      <t>モト</t>
    </rPh>
    <phoneticPr fontId="1"/>
  </si>
  <si>
    <t>西の海</t>
    <phoneticPr fontId="1"/>
  </si>
  <si>
    <t>運び屋ミキータ</t>
    <rPh sb="0" eb="1">
      <t>ハコ</t>
    </rPh>
    <phoneticPr fontId="1"/>
  </si>
  <si>
    <t>キロキロの実</t>
    <rPh sb="5" eb="6">
      <t xml:space="preserve">ミ </t>
    </rPh>
    <phoneticPr fontId="1"/>
  </si>
  <si>
    <t>レモンティー、チョコレート</t>
    <phoneticPr fontId="1"/>
  </si>
  <si>
    <t>へのへのうんち</t>
    <phoneticPr fontId="1"/>
  </si>
  <si>
    <t>ダミー人形</t>
    <rPh sb="3" eb="5">
      <t>ニn</t>
    </rPh>
    <phoneticPr fontId="1"/>
  </si>
  <si>
    <t>ブロントザウルス</t>
    <phoneticPr fontId="1"/>
  </si>
  <si>
    <t>リトルガーデン</t>
    <phoneticPr fontId="1"/>
  </si>
  <si>
    <t>恐竜</t>
    <rPh sb="0" eb="2">
      <t>キョウリュウ</t>
    </rPh>
    <phoneticPr fontId="1"/>
  </si>
  <si>
    <t>ルイ・アーノート</t>
    <phoneticPr fontId="1"/>
  </si>
  <si>
    <t>探検家</t>
    <rPh sb="0" eb="3">
      <t>タンケンカ</t>
    </rPh>
    <phoneticPr fontId="1"/>
  </si>
  <si>
    <t>著書「ブラッグメン（うそつき達）」</t>
    <rPh sb="0" eb="2">
      <t>チョショ</t>
    </rPh>
    <rPh sb="14" eb="15">
      <t xml:space="preserve">タチ </t>
    </rPh>
    <phoneticPr fontId="1"/>
  </si>
  <si>
    <t>ブロギー</t>
  </si>
  <si>
    <t>グレート・エイリーク号</t>
    <rPh sb="10" eb="11">
      <t>ゴウ</t>
    </rPh>
    <phoneticPr fontId="1"/>
  </si>
  <si>
    <t>赤鬼のブロギー</t>
    <rPh sb="0" eb="2">
      <t>アカオニ</t>
    </rPh>
    <phoneticPr fontId="1"/>
  </si>
  <si>
    <t>元巨兵海賊団</t>
    <rPh sb="0" eb="1">
      <t>モト</t>
    </rPh>
    <rPh sb="1" eb="3">
      <t>キョヘイ</t>
    </rPh>
    <rPh sb="3" eb="6">
      <t>カイゾク</t>
    </rPh>
    <phoneticPr fontId="1"/>
  </si>
  <si>
    <t>戦斧ブルーザーアックス</t>
    <rPh sb="0" eb="1">
      <t>イクサ</t>
    </rPh>
    <rPh sb="1" eb="2">
      <t xml:space="preserve">オノ </t>
    </rPh>
    <phoneticPr fontId="1"/>
  </si>
  <si>
    <t>ビール、トリケラトプスの肉</t>
    <rPh sb="12" eb="13">
      <t>ニク</t>
    </rPh>
    <phoneticPr fontId="1"/>
  </si>
  <si>
    <t>巨人族</t>
    <rPh sb="0" eb="3">
      <t>キョジンズ</t>
    </rPh>
    <phoneticPr fontId="1"/>
  </si>
  <si>
    <t>ドリー</t>
  </si>
  <si>
    <t>青鬼のドリー</t>
    <rPh sb="0" eb="2">
      <t>アオオニ</t>
    </rPh>
    <phoneticPr fontId="1"/>
  </si>
  <si>
    <t>巨剣テリーソード</t>
    <rPh sb="0" eb="1">
      <t>キョケn</t>
    </rPh>
    <rPh sb="1" eb="2">
      <t xml:space="preserve">ケン </t>
    </rPh>
    <phoneticPr fontId="1"/>
  </si>
  <si>
    <t>ビール、首長竜の肉</t>
    <rPh sb="4" eb="7">
      <t>クビナガ</t>
    </rPh>
    <rPh sb="8" eb="9">
      <t>ニク</t>
    </rPh>
    <phoneticPr fontId="1"/>
  </si>
  <si>
    <t>サムライ・バッツ</t>
    <phoneticPr fontId="1"/>
  </si>
  <si>
    <t>キューカ島にサーフボードを持ち込む</t>
    <rPh sb="4" eb="5">
      <t>シマ</t>
    </rPh>
    <rPh sb="13" eb="14">
      <t>モチコム</t>
    </rPh>
    <phoneticPr fontId="1"/>
  </si>
  <si>
    <t>闇金ギャルディーノ</t>
    <rPh sb="0" eb="2">
      <t>ヤミ</t>
    </rPh>
    <phoneticPr fontId="1"/>
  </si>
  <si>
    <t>ドルドルの実</t>
    <rPh sb="5" eb="6">
      <t xml:space="preserve">ミ </t>
    </rPh>
    <phoneticPr fontId="1"/>
  </si>
  <si>
    <t>紅茶（アールグレイ）、紅茶に合うクッキー</t>
    <rPh sb="0" eb="2">
      <t>コウチャ</t>
    </rPh>
    <rPh sb="11" eb="13">
      <t>コウチャ</t>
    </rPh>
    <rPh sb="14" eb="15">
      <t xml:space="preserve">アウ </t>
    </rPh>
    <phoneticPr fontId="1"/>
  </si>
  <si>
    <t>元B・Wオフィサーエージェント/Mr.3/姑息な大犯罪</t>
    <rPh sb="0" eb="1">
      <t>モト</t>
    </rPh>
    <rPh sb="21" eb="23">
      <t>コソク</t>
    </rPh>
    <rPh sb="24" eb="27">
      <t>ダイハンザイ</t>
    </rPh>
    <phoneticPr fontId="1"/>
  </si>
  <si>
    <t>智略天然丸</t>
    <rPh sb="0" eb="2">
      <t>チリャク</t>
    </rPh>
    <rPh sb="2" eb="4">
      <t>テンネn</t>
    </rPh>
    <rPh sb="4" eb="5">
      <t>マル</t>
    </rPh>
    <phoneticPr fontId="1"/>
  </si>
  <si>
    <t>自由の旗手マリアンヌ</t>
    <rPh sb="0" eb="2">
      <t>ジユウ</t>
    </rPh>
    <rPh sb="3" eb="5">
      <t>キシュ</t>
    </rPh>
    <phoneticPr fontId="1"/>
  </si>
  <si>
    <t>カラーズトラップ</t>
    <phoneticPr fontId="1"/>
  </si>
  <si>
    <t>せんべい、緑茶</t>
    <rPh sb="5" eb="7">
      <t>リョク</t>
    </rPh>
    <phoneticPr fontId="1"/>
  </si>
  <si>
    <t>オハラ</t>
    <phoneticPr fontId="1"/>
  </si>
  <si>
    <t>”悪魔の子”ニコ・ロビン</t>
    <rPh sb="1" eb="3">
      <t>アク</t>
    </rPh>
    <phoneticPr fontId="1"/>
  </si>
  <si>
    <t>ハナハナの実</t>
    <rPh sb="5" eb="6">
      <t xml:space="preserve">ミ </t>
    </rPh>
    <phoneticPr fontId="1"/>
  </si>
  <si>
    <t>サンドウィッチ、甘すぎないケーキ、コーヒーに合う物</t>
    <rPh sb="8" eb="9">
      <t>アマスギ</t>
    </rPh>
    <rPh sb="22" eb="23">
      <t>アウモン</t>
    </rPh>
    <rPh sb="24" eb="25">
      <t xml:space="preserve">モノ </t>
    </rPh>
    <phoneticPr fontId="1"/>
  </si>
  <si>
    <t>ガム（のみこめないから）</t>
    <phoneticPr fontId="1"/>
  </si>
  <si>
    <t>つる</t>
    <phoneticPr fontId="1"/>
  </si>
  <si>
    <t>99/59/89、元B・W副社長（最高司令官）</t>
    <rPh sb="9" eb="10">
      <t>モト</t>
    </rPh>
    <rPh sb="13" eb="16">
      <t>フクシャチョウ</t>
    </rPh>
    <rPh sb="17" eb="22">
      <t>サイコウ</t>
    </rPh>
    <phoneticPr fontId="1"/>
  </si>
  <si>
    <t>C013-12</t>
  </si>
  <si>
    <t>S-017</t>
  </si>
  <si>
    <t>S-018</t>
  </si>
  <si>
    <t>S-019</t>
  </si>
  <si>
    <t>S-020</t>
  </si>
  <si>
    <t>ミス・オールサンデー</t>
    <phoneticPr fontId="1"/>
  </si>
  <si>
    <t xml:space="preserve"> Mr.3</t>
    <phoneticPr fontId="1"/>
  </si>
  <si>
    <t xml:space="preserve"> Mr.5</t>
    <phoneticPr fontId="1"/>
  </si>
  <si>
    <t>F-006</t>
  </si>
  <si>
    <t>F-007</t>
  </si>
  <si>
    <t>F-008</t>
  </si>
  <si>
    <t>F-009</t>
  </si>
  <si>
    <t>F-010</t>
  </si>
  <si>
    <t>Mr.3</t>
    <phoneticPr fontId="1"/>
  </si>
  <si>
    <t>ミス・ゴールデンウィーク</t>
    <phoneticPr fontId="1"/>
  </si>
  <si>
    <t>ミス・バレンタイン</t>
    <phoneticPr fontId="1"/>
  </si>
  <si>
    <t>Mr.5</t>
    <phoneticPr fontId="1"/>
  </si>
  <si>
    <t>G-021</t>
  </si>
  <si>
    <t>G-022</t>
  </si>
  <si>
    <t>G-023</t>
  </si>
  <si>
    <t>G-024</t>
  </si>
  <si>
    <t>G-025</t>
  </si>
  <si>
    <t>巨人島</t>
    <rPh sb="0" eb="3">
      <t>キョジn</t>
    </rPh>
    <phoneticPr fontId="1"/>
  </si>
  <si>
    <t>G-019</t>
    <phoneticPr fontId="1"/>
  </si>
  <si>
    <t>-</t>
    <phoneticPr fontId="1"/>
  </si>
  <si>
    <t>超カルガモ</t>
    <rPh sb="0" eb="1">
      <t>チョウ</t>
    </rPh>
    <phoneticPr fontId="1"/>
  </si>
  <si>
    <t>恐竜</t>
    <rPh sb="0" eb="2">
      <t>キョウリュウ</t>
    </rPh>
    <phoneticPr fontId="1"/>
  </si>
  <si>
    <t>B</t>
    <phoneticPr fontId="1"/>
  </si>
  <si>
    <t>C</t>
    <phoneticPr fontId="1"/>
  </si>
  <si>
    <t>M-111</t>
  </si>
  <si>
    <t>M-112</t>
  </si>
  <si>
    <t>M-113</t>
  </si>
  <si>
    <t>M-114</t>
  </si>
  <si>
    <t>M-115</t>
  </si>
  <si>
    <t>M-116</t>
  </si>
  <si>
    <t>M-117</t>
  </si>
  <si>
    <t>M-118</t>
  </si>
  <si>
    <t>M-119</t>
  </si>
  <si>
    <t>M-120</t>
  </si>
  <si>
    <t>熱血ナイン根性バット</t>
    <rPh sb="0" eb="2">
      <t>ネッケテゥ</t>
    </rPh>
    <rPh sb="5" eb="7">
      <t>コンジョウ</t>
    </rPh>
    <phoneticPr fontId="1"/>
  </si>
  <si>
    <t>魅惑のメマーイダンス</t>
    <rPh sb="0" eb="2">
      <t>ミワク</t>
    </rPh>
    <phoneticPr fontId="1"/>
  </si>
  <si>
    <t>孔雀スラッシャー（クジャッキースラッシャー）</t>
    <rPh sb="0" eb="2">
      <t>クジャク</t>
    </rPh>
    <phoneticPr fontId="1"/>
  </si>
  <si>
    <t>カッ飛ばせ仕込みバット</t>
    <rPh sb="5" eb="7">
      <t>シコミ</t>
    </rPh>
    <phoneticPr fontId="1"/>
  </si>
  <si>
    <t>イガラッパッパ</t>
    <phoneticPr fontId="1"/>
  </si>
  <si>
    <t>鼻空想砲（ノーズファンシーキャノン）</t>
    <rPh sb="0" eb="3">
      <t>ハナクウソ</t>
    </rPh>
    <rPh sb="3" eb="4">
      <t>ホウ</t>
    </rPh>
    <phoneticPr fontId="1"/>
  </si>
  <si>
    <t>1万kgプレス</t>
    <phoneticPr fontId="1"/>
  </si>
  <si>
    <t>使用回数</t>
    <rPh sb="0" eb="4">
      <t>シヨウカイスウ</t>
    </rPh>
    <phoneticPr fontId="1"/>
  </si>
  <si>
    <t>通算日</t>
    <rPh sb="0" eb="3">
      <t>ツウサンビ</t>
    </rPh>
    <phoneticPr fontId="1"/>
  </si>
  <si>
    <t>B001-31</t>
  </si>
  <si>
    <t>B001-32</t>
  </si>
  <si>
    <t>B001-33</t>
  </si>
  <si>
    <t>B001-34</t>
  </si>
  <si>
    <t>B001-35</t>
  </si>
  <si>
    <t>C013-03</t>
    <phoneticPr fontId="1"/>
  </si>
  <si>
    <t>オフィサーエージェント</t>
    <phoneticPr fontId="1"/>
  </si>
  <si>
    <t>副社長</t>
    <rPh sb="0" eb="3">
      <t>フクシャチョウ</t>
    </rPh>
    <phoneticPr fontId="1"/>
  </si>
  <si>
    <t>最高司令官</t>
    <rPh sb="0" eb="5">
      <t>サイコウシレイカン</t>
    </rPh>
    <phoneticPr fontId="1"/>
  </si>
  <si>
    <t>リトルガーデンに上陸</t>
    <rPh sb="8" eb="10">
      <t>ジョウリク</t>
    </rPh>
    <phoneticPr fontId="1"/>
  </si>
  <si>
    <t>E001-221</t>
  </si>
  <si>
    <t>E001-222</t>
  </si>
  <si>
    <t>E001-223</t>
  </si>
  <si>
    <t>E001-224</t>
  </si>
  <si>
    <t>E001-225</t>
  </si>
  <si>
    <t>E001-226</t>
  </si>
  <si>
    <t>E001-227</t>
  </si>
  <si>
    <t>E001-228</t>
  </si>
  <si>
    <t>E001-229</t>
  </si>
  <si>
    <t>E001-230</t>
  </si>
  <si>
    <t>ルフィらと出会う</t>
    <rPh sb="5" eb="7">
      <t>デア</t>
    </rPh>
    <phoneticPr fontId="1"/>
  </si>
  <si>
    <t>キューカ島</t>
    <rPh sb="4" eb="5">
      <t>シマ</t>
    </rPh>
    <phoneticPr fontId="1"/>
  </si>
  <si>
    <t>キューカ島にて指令を受け取る</t>
    <rPh sb="4" eb="5">
      <t>シマ</t>
    </rPh>
    <rPh sb="7" eb="9">
      <t>シレイ</t>
    </rPh>
    <rPh sb="10" eb="11">
      <t>ウ</t>
    </rPh>
    <rPh sb="12" eb="13">
      <t>ト</t>
    </rPh>
    <phoneticPr fontId="1"/>
  </si>
  <si>
    <t>L-028</t>
    <phoneticPr fontId="1"/>
  </si>
  <si>
    <t>マリンフォード</t>
    <phoneticPr fontId="1"/>
  </si>
  <si>
    <t>海軍本部</t>
    <rPh sb="0" eb="4">
      <t>カイグンホンブ</t>
    </rPh>
    <phoneticPr fontId="1"/>
  </si>
  <si>
    <t>海軍本部で雑用に励む</t>
    <rPh sb="0" eb="4">
      <t>カイグンホンブ</t>
    </rPh>
    <rPh sb="5" eb="7">
      <t>ザツヨウ</t>
    </rPh>
    <rPh sb="8" eb="9">
      <t>ハゲ</t>
    </rPh>
    <phoneticPr fontId="1"/>
  </si>
  <si>
    <t>海軍本部にコビーらを連れて帰る</t>
    <rPh sb="0" eb="4">
      <t>カイグンホンブ</t>
    </rPh>
    <rPh sb="10" eb="11">
      <t>ツ</t>
    </rPh>
    <rPh sb="13" eb="14">
      <t>カエ</t>
    </rPh>
    <phoneticPr fontId="1"/>
  </si>
  <si>
    <t>リトルガーデン</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</si>
</sst>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9">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
      <sz val="9"/>
      <color indexed="81"/>
      <name val="MS P ゴシック"/>
      <family val="3"/>
      <charset val="128"/>
    </font>
    <font>
      <b/>
      <sz val="9"/>
      <color indexed="81"/>
      <name val="MS P ゴシック"/>
      <family val="3"/>
      <charset val="128"/>
    </font>
    <font>
      <sz val="11"/>
      <color theme="1"/>
      <name val="游ゴシック"/>
      <family val="2"/>
      <charset val="128"/>
      <scheme val="minor"/>
    </font>
    <font>
      <b/>
      <sz val="9"/>
      <color rgb="FF000000"/>
      <name val="MS P ゴシック"/>
      <charset val="128"/>
    </font>
    <font>
      <sz val="9"/>
      <color rgb="FF000000"/>
      <name val="MS P ゴシック"/>
      <charset val="128"/>
    </font>
    <font>
      <sz val="9"/>
      <color rgb="FF000000"/>
      <name val="游ゴシック"/>
      <family val="3"/>
      <charset val="128"/>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s>
  <borders count="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alignment vertical="center"/>
    </xf>
    <xf numFmtId="38" fontId="5" fillId="0" borderId="0" applyFont="0" applyFill="0" applyBorder="0" applyAlignment="0" applyProtection="0">
      <alignment vertical="center"/>
    </xf>
  </cellStyleXfs>
  <cellXfs count="35">
    <xf numFmtId="0" fontId="0" fillId="0" borderId="0" xfId="0">
      <alignment vertical="center"/>
    </xf>
    <xf numFmtId="0" fontId="0" fillId="0" borderId="0" xfId="0" applyAlignment="1">
      <alignment vertical="center" wrapText="1"/>
    </xf>
    <xf numFmtId="176" fontId="0" fillId="0" borderId="0" xfId="0" applyNumberFormat="1">
      <alignment vertical="center"/>
    </xf>
    <xf numFmtId="0" fontId="2" fillId="0" borderId="0" xfId="0" applyFont="1">
      <alignment vertical="center"/>
    </xf>
    <xf numFmtId="0" fontId="0" fillId="0" borderId="0" xfId="0" quotePrefix="1">
      <alignment vertical="center"/>
    </xf>
    <xf numFmtId="38" fontId="0" fillId="0" borderId="0" xfId="1" applyFont="1">
      <alignment vertical="center"/>
    </xf>
    <xf numFmtId="0" fontId="0" fillId="2" borderId="0" xfId="0" applyFill="1">
      <alignment vertical="center"/>
    </xf>
    <xf numFmtId="0" fontId="0" fillId="2" borderId="0" xfId="0" applyFill="1" applyAlignment="1">
      <alignment vertical="center" wrapText="1"/>
    </xf>
    <xf numFmtId="0" fontId="2" fillId="2" borderId="0" xfId="0" applyFont="1" applyFill="1">
      <alignment vertical="center"/>
    </xf>
    <xf numFmtId="0" fontId="0" fillId="0" borderId="1" xfId="0" applyBorder="1">
      <alignment vertical="center"/>
    </xf>
    <xf numFmtId="0" fontId="0" fillId="3" borderId="2" xfId="0" applyFill="1" applyBorder="1">
      <alignment vertical="center"/>
    </xf>
    <xf numFmtId="56" fontId="0" fillId="0" borderId="0" xfId="0" applyNumberFormat="1">
      <alignment vertical="center"/>
    </xf>
    <xf numFmtId="0" fontId="0" fillId="0" borderId="0" xfId="0" applyAlignment="1">
      <alignment horizontal="right" vertical="center"/>
    </xf>
    <xf numFmtId="0" fontId="0" fillId="0" borderId="2" xfId="0" applyFont="1" applyBorder="1">
      <alignment vertical="center"/>
    </xf>
    <xf numFmtId="0" fontId="0" fillId="0" borderId="1" xfId="0" applyFont="1" applyBorder="1">
      <alignment vertical="center"/>
    </xf>
    <xf numFmtId="0" fontId="0" fillId="0" borderId="0" xfId="0" applyFont="1">
      <alignment vertical="center"/>
    </xf>
    <xf numFmtId="0" fontId="0" fillId="0" borderId="0" xfId="0" applyFill="1">
      <alignment vertical="center"/>
    </xf>
    <xf numFmtId="0" fontId="0" fillId="2" borderId="0" xfId="0" applyNumberFormat="1" applyFill="1">
      <alignment vertical="center"/>
    </xf>
    <xf numFmtId="0" fontId="0" fillId="0" borderId="0" xfId="0" applyFont="1" applyFill="1" applyBorder="1">
      <alignment vertical="center"/>
    </xf>
    <xf numFmtId="0" fontId="0" fillId="0" borderId="3" xfId="0" applyFont="1" applyBorder="1">
      <alignment vertical="center"/>
    </xf>
    <xf numFmtId="0" fontId="0" fillId="0" borderId="0" xfId="0" applyBorder="1">
      <alignment vertical="center"/>
    </xf>
    <xf numFmtId="0" fontId="0" fillId="3" borderId="1" xfId="0" applyFont="1" applyFill="1" applyBorder="1">
      <alignment vertical="center"/>
    </xf>
    <xf numFmtId="0" fontId="2" fillId="0" borderId="0" xfId="0" applyFont="1" applyFill="1">
      <alignment vertical="center"/>
    </xf>
    <xf numFmtId="0" fontId="0" fillId="0" borderId="0" xfId="0" applyNumberFormat="1" applyFont="1">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4" xfId="0" applyBorder="1">
      <alignment vertical="center"/>
    </xf>
    <xf numFmtId="0" fontId="0" fillId="0" borderId="5" xfId="0" applyBorder="1">
      <alignment vertical="center"/>
    </xf>
    <xf numFmtId="0" fontId="0" fillId="0" borderId="0" xfId="0" applyNumberFormat="1">
      <alignment vertical="center"/>
    </xf>
    <xf numFmtId="3" fontId="0" fillId="0" borderId="0" xfId="0" applyNumberFormat="1">
      <alignment vertical="center"/>
    </xf>
    <xf numFmtId="0" fontId="0" fillId="3" borderId="0" xfId="0" applyFill="1" applyBorder="1">
      <alignment vertical="center"/>
    </xf>
  </cellXfs>
  <cellStyles count="2">
    <cellStyle name="桁区切り" xfId="1" builtinId="6"/>
    <cellStyle name="標準" xfId="0" builtinId="0"/>
  </cellStyles>
  <dxfs count="39">
    <dxf>
      <font>
        <color rgb="FF9C0006"/>
      </font>
      <fill>
        <patternFill>
          <bgColor rgb="FFFFC7CE"/>
        </patternFill>
      </fill>
    </dxf>
    <dxf>
      <border diagonalUp="0" diagonalDown="0" outline="0">
        <left style="thin">
          <color indexed="64"/>
        </left>
        <right style="thin">
          <color indexed="64"/>
        </right>
        <top/>
        <bottom/>
      </border>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numFmt numFmtId="0" formatCode="General"/>
    </dxf>
    <dxf>
      <fill>
        <patternFill patternType="solid">
          <fgColor indexed="64"/>
          <bgColor theme="4" tint="0.59999389629810485"/>
        </patternFill>
      </fill>
    </dxf>
    <dxf>
      <font>
        <b val="0"/>
        <i val="0"/>
        <strike val="0"/>
        <condense val="0"/>
        <extend val="0"/>
        <outline val="0"/>
        <shadow val="0"/>
        <u val="none"/>
        <vertAlign val="baseline"/>
        <sz val="11"/>
        <color rgb="FF000000"/>
        <name val="游ゴシック"/>
        <family val="3"/>
        <charset val="128"/>
        <scheme val="minor"/>
      </font>
      <fill>
        <patternFill patternType="none">
          <fgColor indexed="64"/>
          <bgColor auto="1"/>
        </patternFill>
      </fill>
    </dxf>
    <dxf>
      <font>
        <b val="0"/>
        <i val="0"/>
        <strike val="0"/>
        <condense val="0"/>
        <extend val="0"/>
        <outline val="0"/>
        <shadow val="0"/>
        <u val="none"/>
        <vertAlign val="baseline"/>
        <sz val="11"/>
        <color rgb="FF000000"/>
        <name val="游ゴシック"/>
        <family val="3"/>
        <charset val="128"/>
        <scheme val="minor"/>
      </font>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none">
          <fgColor indexed="64"/>
          <bgColor auto="1"/>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alignment horizontal="general" vertical="center" textRotation="0" wrapText="1" indent="0" justifyLastLine="0" shrinkToFit="0" readingOrder="0"/>
    </dxf>
    <dxf>
      <fill>
        <patternFill patternType="solid">
          <fgColor indexed="64"/>
          <bgColor theme="4" tint="0.59999389629810485"/>
        </patternFill>
      </fill>
    </dxf>
    <dxf>
      <numFmt numFmtId="0" formatCode="General"/>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游ゴシック"/>
        <family val="2"/>
        <charset val="128"/>
        <scheme val="minor"/>
      </font>
    </dxf>
    <dxf>
      <fill>
        <patternFill patternType="solid">
          <fgColor indexed="64"/>
          <bgColor theme="4" tint="0.59999389629810485"/>
        </patternFill>
      </fill>
    </dxf>
    <dxf>
      <numFmt numFmtId="0" formatCode="General"/>
    </dxf>
    <dxf>
      <fill>
        <patternFill patternType="solid">
          <fgColor indexed="64"/>
          <bgColor theme="4" tint="0.59999389629810485"/>
        </patternFill>
      </fill>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numFmt numFmtId="0" formatCode="General"/>
    </dxf>
    <dxf>
      <font>
        <b val="0"/>
        <i val="0"/>
        <strike val="0"/>
        <condense val="0"/>
        <extend val="0"/>
        <outline val="0"/>
        <shadow val="0"/>
        <u val="none"/>
        <vertAlign val="baseline"/>
        <sz val="11"/>
        <color theme="1"/>
        <name val="游ゴシック"/>
        <family val="2"/>
        <charset val="128"/>
        <scheme val="minor"/>
      </font>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游ゴシック"/>
        <family val="2"/>
        <charset val="128"/>
        <scheme val="minor"/>
      </font>
      <border diagonalUp="0" diagonalDown="0">
        <left/>
        <right/>
        <top style="thin">
          <color theme="4" tint="0.39997558519241921"/>
        </top>
        <bottom style="thin">
          <color theme="4" tint="0.39997558519241921"/>
        </bottom>
        <vertical/>
        <horizontal/>
      </border>
    </dxf>
    <dxf>
      <fill>
        <patternFill patternType="solid">
          <fgColor indexed="64"/>
          <bgColor theme="4" tint="0.59999389629810485"/>
        </patternFill>
      </fill>
    </dxf>
    <dxf>
      <numFmt numFmtId="0" formatCode="General"/>
    </dxf>
    <dxf>
      <numFmt numFmtId="0" formatCode="General"/>
    </dxf>
    <dxf>
      <numFmt numFmtId="176" formatCode="m&quot;月&quot;d&quot;日&quot;;@"/>
    </dxf>
    <dxf>
      <numFmt numFmtId="0" formatCode="General"/>
    </dxf>
  </dxfs>
  <tableStyles count="0" defaultTableStyle="TableStyleMedium2" defaultPivotStyle="PivotStyleLight16"/>
  <colors>
    <mruColors>
      <color rgb="FFBF8F00"/>
      <color rgb="FF008F00"/>
      <color rgb="FFFF8AD8"/>
      <color rgb="FFFF40FF"/>
      <color rgb="FFFF2F92"/>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63"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C565B-BF3E-46A4-9DD5-CA9D6CA761C4}" name="キャラマスタ" displayName="キャラマスタ" ref="A1:AP145" totalsRowShown="0">
  <autoFilter ref="A1:AP145" xr:uid="{7354E9E6-E800-49A7-860C-293780632269}"/>
  <tableColumns count="42">
    <tableColumn id="1" xr3:uid="{FF4C9B18-8D35-4DFD-A1B0-69DF004C9361}" name="登場キャラID"/>
    <tableColumn id="2" xr3:uid="{7B413D24-8536-4DC0-B6E6-28AD89133093}" name="名前"/>
    <tableColumn id="3" xr3:uid="{6A09DBF7-403B-4317-A31D-AE227CE3DA8A}" name="初登場時の年齢"/>
    <tableColumn id="42" xr3:uid="{75D2FC1D-136F-8244-946E-E6D8B387DA2E}" name="今の年齢" dataDxfId="38">
      <calculatedColumnFormula>IFERROR(キャラマスタ[[#This Row],[初登場時の年齢]]+2,"")</calculatedColumnFormula>
    </tableColumn>
    <tableColumn id="4" xr3:uid="{4A2CAB4F-3776-4E4B-A3AE-72A9A4C3C871}" name="初登場巻"/>
    <tableColumn id="5" xr3:uid="{A2B61716-CF99-479B-824A-935A8EA4A895}" name="初登場話"/>
    <tableColumn id="6" xr3:uid="{6C91F539-9BA9-4F73-A306-C6A0204EBD8B}" name="誕生日" dataDxfId="37"/>
    <tableColumn id="39" xr3:uid="{D6DABC5F-235B-C94B-B9A4-7B8A424B4EAD}" name="誕生年（海円暦）" dataDxfId="36">
      <calculatedColumnFormula>IFERROR(IF(キャラマスタ[[#This Row],[生存ステータス]]=1,1539-キャラマスタ[[#This Row],[初登場時の年齢]]+キャラマスタ[[#This Row],[死亡年]],1539-キャラマスタ[[#This Row],[初登場時の年齢]]),"")</calculatedColumnFormula>
    </tableColumn>
    <tableColumn id="7" xr3:uid="{C72EA510-7562-427B-8C22-FD026ACBA082}" name="身長"/>
    <tableColumn id="34" xr3:uid="{8F5D53F9-948F-1A49-9093-E1E256D27BC5}" name="船ID"/>
    <tableColumn id="8" xr3:uid="{C97D3A7F-AC7C-48F1-A2D5-7A94044C4064}" name="所属船"/>
    <tableColumn id="9" xr3:uid="{006A1BDF-8185-4B8E-B9DF-1DE636451A66}" name="出身エリア"/>
    <tableColumn id="35" xr3:uid="{6B577332-393F-DC4E-B8D3-D62FB2AE094F}" name="場所ID"/>
    <tableColumn id="10" xr3:uid="{F45DACE6-15D3-4A7B-9483-4EF8DF09B2F5}" name="出身島・国"/>
    <tableColumn id="11" xr3:uid="{E27A3C98-186C-40F5-B010-A987C804175D}" name="二つ名"/>
    <tableColumn id="36" xr3:uid="{3CF29B30-3DDE-A74C-A8E8-5AEA5FF3426C}" name="実ID"/>
    <tableColumn id="12" xr3:uid="{9B661F6C-BD4C-429A-A0C6-C934AE4BD798}" name="悪魔の実"/>
    <tableColumn id="37" xr3:uid="{77DC4C0F-19CF-A94F-8E63-F5CA42460AEF}" name="勢力ID"/>
    <tableColumn id="13" xr3:uid="{C394B7C6-DDA0-4A2C-9E40-4F33E993B8AB}" name="所属"/>
    <tableColumn id="14" xr3:uid="{57B8B414-F11D-4DAC-9729-E735CA63E270}" name="役職"/>
    <tableColumn id="15" xr3:uid="{25CF1FC7-34C5-49B9-8672-4E16E1964D63}" name="覇気"/>
    <tableColumn id="16" xr3:uid="{45ADAFC2-9C58-4F8D-8CFD-A9DB23D1B359}" name="性別"/>
    <tableColumn id="17" xr3:uid="{5C216618-6EC1-4ADA-A2D3-2B14884C8D41}" name="種族"/>
    <tableColumn id="18" xr3:uid="{C996C5CA-A7A6-49D4-B3B6-3BC4A78C10B1}" name="階級（社会的）"/>
    <tableColumn id="19" xr3:uid="{66484A58-A5C1-4278-B4CF-D68BF46AE9DF}" name="死亡年"/>
    <tableColumn id="40" xr3:uid="{FF01CB1D-53CD-F74F-B1E3-B68ECE486B0F}" name="死亡年（海円暦）" dataDxfId="35">
      <calculatedColumnFormula>IF(キャラマスタ[[#This Row],[生存ステータス]]=1,1539+キャラマスタ[[#This Row],[死亡年]],"")</calculatedColumnFormula>
    </tableColumn>
    <tableColumn id="20" xr3:uid="{614A96AB-5EFF-4BDB-B73A-6461D521C4C9}" name="生存ステータス"/>
    <tableColumn id="21" xr3:uid="{2A8BADD1-AD14-4B3D-ADBF-AF7335632D58}" name="重要度"/>
    <tableColumn id="22" xr3:uid="{6852A4E8-D0C6-41DB-B371-EAC33D1EF05D}" name="Dフラグ"/>
    <tableColumn id="41" xr3:uid="{1891A3CE-757C-B740-97A3-B2EE88AE893D}" name="登場日"/>
    <tableColumn id="38" xr3:uid="{9286DE1D-9F6A-1D41-AC9E-477071CBDE09}" name="退場日"/>
    <tableColumn id="23" xr3:uid="{5CA08934-8473-4EBB-9A76-1FB9FABFBAE4}" name="武器"/>
    <tableColumn id="24" xr3:uid="{3070DD73-89C5-445C-BA44-F31358BAB0C7}" name="血液型"/>
    <tableColumn id="25" xr3:uid="{FBA1E2DF-C543-4384-B084-72C756DFDECD}" name="好物"/>
    <tableColumn id="26" xr3:uid="{0526D7BD-B846-4492-9A28-A038A45FEA58}" name="嫌いな食べ物"/>
    <tableColumn id="27" xr3:uid="{15BB6634-EDE5-4E08-AA8C-0B5BDE068FBB}" name="趣味"/>
    <tableColumn id="28" xr3:uid="{8630169C-6D42-45D1-9D13-3BD0195ED44D}" name="イメージ動物"/>
    <tableColumn id="29" xr3:uid="{111369A3-7DFC-4951-ACCB-28A1A283C6BF}" name="国"/>
    <tableColumn id="30" xr3:uid="{0E246012-BB25-48DC-8E90-F23ED07D0B82}" name="職業"/>
    <tableColumn id="31" xr3:uid="{0A6B9D07-4011-4FE9-A068-BF34FAE7334B}" name="花"/>
    <tableColumn id="32" xr3:uid="{49C6D672-4CEB-4649-B4E5-939DFFDC8D3F}" name="好きな島"/>
    <tableColumn id="33" xr3:uid="{CFA98901-191F-4E74-99D4-19B769A7F5D0}" name="その他"/>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B33B99-1EEB-AB40-A787-C89162FEE660}" name="悪魔の実マスタ" displayName="悪魔の実マスタ" ref="A1:I11" totalsRowShown="0">
  <autoFilter ref="A1:I11" xr:uid="{874A597D-65B4-CB47-BBE2-8F028F9CBF73}"/>
  <tableColumns count="9">
    <tableColumn id="1" xr3:uid="{A0D56DD6-B8CE-7348-99F2-3C22F897C00F}" name="実ID"/>
    <tableColumn id="2" xr3:uid="{5C1082C1-5796-1646-AAD6-80E0DB330368}" name="実の名前"/>
    <tableColumn id="3" xr3:uid="{48EC8995-C9D6-AE4A-88C8-D03BA1F727A5}" name="系統"/>
    <tableColumn id="4" xr3:uid="{1018BD05-45BB-2C4D-A6D3-698ED8B81165}" name="キャラID"/>
    <tableColumn id="5" xr3:uid="{8D51DE5B-54E8-CE44-B4E4-42AFA6475981}" name="能力者" dataDxfId="34">
      <calculatedColumnFormula>VLOOKUP(D2,キャラマスタ[],2,FALSE)</calculatedColumnFormula>
    </tableColumn>
    <tableColumn id="6" xr3:uid="{D7DD2242-CB30-A446-82B9-7102B2A75551}" name="覚醒フラグ"/>
    <tableColumn id="7" xr3:uid="{1D9A42E2-D757-E84D-8F98-2D250CE33CBA}" name="入手巻数"/>
    <tableColumn id="8" xr3:uid="{7BD0387B-E182-914F-AB13-F55D94899CAD}" name="入手年"/>
    <tableColumn id="9" xr3:uid="{1CFF3A66-3BC3-0B4A-A687-437D3AB797DD}" name="手放した理由"/>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4E39361-5410-40C8-975C-706257F43DAF}" name="テーブル12" displayName="テーブル12" ref="A1:G21" totalsRowShown="0">
  <autoFilter ref="A1:G21" xr:uid="{5A2E2C05-EEC0-41EB-A22A-C991BDA641C3}"/>
  <tableColumns count="7">
    <tableColumn id="1" xr3:uid="{80E34B1E-5FB8-481F-B425-32CFE917247A}" name="武器ID"/>
    <tableColumn id="2" xr3:uid="{BD1611AC-DC8A-4B5D-BA98-C56643330CE8}" name="武器名" dataDxfId="33"/>
    <tableColumn id="3" xr3:uid="{E01A230A-5098-4336-A76E-13DAC571B62B}" name="位列"/>
    <tableColumn id="4" xr3:uid="{73BF728E-54F3-4489-A425-7D7F20094BA0}" name="所有者ID" dataDxfId="32"/>
    <tableColumn id="5" xr3:uid="{993CB3F3-9032-43C7-8265-F3BD07A7D5FE}" name="所有者" dataDxfId="31">
      <calculatedColumnFormula>+IFERROR(VLOOKUP(D2,キャラマスタ[],2,FALSE),"")</calculatedColumnFormula>
    </tableColumn>
    <tableColumn id="6" xr3:uid="{16AFC11C-0CBF-41A3-9F36-3A1C559011C3}" name="製作者ID"/>
    <tableColumn id="7" xr3:uid="{36E8899A-CEC8-4B83-8447-278462E53071}" name="製作者"/>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369DED5-F643-4C7D-95E7-6D360097C4C7}" name="テーブル15" displayName="テーブル15" ref="A1:F21" totalsRowShown="0">
  <autoFilter ref="A1:F21" xr:uid="{A1A3FB38-D068-4F3B-A3DA-60AA2C9B0ADA}"/>
  <tableColumns count="6">
    <tableColumn id="1" xr3:uid="{217DCE93-CFB5-4B23-B29D-B32F554596F7}" name="船ID"/>
    <tableColumn id="2" xr3:uid="{BD6CE5EC-C0FD-4B18-9943-4BE3275C6910}" name="船名" dataDxfId="30"/>
    <tableColumn id="3" xr3:uid="{DA053993-0962-4F67-9543-A0E36C967D0F}" name="持ち主" dataDxfId="29"/>
    <tableColumn id="4" xr3:uid="{67695EEF-8E0C-4510-9216-3758446923D6}" name="造船者"/>
    <tableColumn id="5" xr3:uid="{071B17A3-F50D-40FA-A864-675B078B9BB3}" name="材質"/>
    <tableColumn id="6" xr3:uid="{00FB9F9D-521C-41B1-A73A-74E0086AEAB6}" name="状態"/>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2B74DB-E768-BF4B-B31A-5E518B6C3EAD}" name="場所マスタ" displayName="場所マスタ" ref="A1:I31" totalsRowShown="0">
  <autoFilter ref="A1:I31" xr:uid="{882B74DB-E768-BF4B-B31A-5E518B6C3EAD}"/>
  <tableColumns count="9">
    <tableColumn id="1" xr3:uid="{C429D786-D446-EE44-AB55-197EFDE09FB1}" name="場所ID"/>
    <tableColumn id="2" xr3:uid="{ECC18602-F127-1F41-A7DB-54C29C0393D7}" name="地域"/>
    <tableColumn id="3" xr3:uid="{0CBD29B7-5DA9-194D-8E64-0D50BE9F9F09}" name="島名・海域"/>
    <tableColumn id="4" xr3:uid="{62CC1AFB-1109-C543-8705-F16915623A10}" name="国名"/>
    <tableColumn id="5" xr3:uid="{29A9E644-F32C-0849-B6BE-5CECA66A4C10}" name="地名"/>
    <tableColumn id="10" xr3:uid="{6960FFEB-743D-5C48-BB45-0425394E51BE}" name="表示名"/>
    <tableColumn id="6" xr3:uid="{08A5474C-2781-694A-87BA-3B439E135CEB}" name="エリアID"/>
    <tableColumn id="7" xr3:uid="{F73C18CE-BE0C-F649-AB16-DCAC7E26DAF2}" name="X"/>
    <tableColumn id="8" xr3:uid="{B058AC99-9A30-A149-B6D2-9FC2418693AB}" name="Y"/>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C95703-0284-D148-BD55-D2AF47086919}" name="技マスタ" displayName="技マスタ" ref="A1:K121" totalsRowShown="0">
  <autoFilter ref="A1:K121" xr:uid="{BC68409D-3A9F-5A45-AFFB-060B3BABBC07}"/>
  <tableColumns count="11">
    <tableColumn id="1" xr3:uid="{E9A41CBF-7BBE-7B4C-814D-9DCE1ED42988}" name="技ID"/>
    <tableColumn id="2" xr3:uid="{5003FE89-DF93-7A49-BF71-654C3B844F8A}" name="技名"/>
    <tableColumn id="3" xr3:uid="{29EFBF63-FABC-A749-990E-113343F5FC3C}" name="使用者ID"/>
    <tableColumn id="4" xr3:uid="{7C2AB1F1-F1CD-AD42-9331-D6E21E398D01}" name="使用者" dataDxfId="28">
      <calculatedColumnFormula>VLOOKUP(C2,キャラマスタ[],2,FALSE)</calculatedColumnFormula>
    </tableColumn>
    <tableColumn id="5" xr3:uid="{FDC7AA63-8AE4-6447-88DB-5DEF79E8D9CB}" name="系統"/>
    <tableColumn id="6" xr3:uid="{CE959AED-2733-2F4F-9086-F901BFDFA9A7}" name="ルーツID"/>
    <tableColumn id="7" xr3:uid="{814A2AB3-8377-0248-A5BE-C717CE0DB6E1}" name="初出巻数"/>
    <tableColumn id="8" xr3:uid="{2386882A-23DE-B744-A2C1-0A1D2C168755}" name="初出話数"/>
    <tableColumn id="11" xr3:uid="{8A8E5031-7429-4F46-9752-DE2E45D14A5F}" name="通算日"/>
    <tableColumn id="9" xr3:uid="{5E68DA3B-664B-CA41-9852-5A8A915784D1}" name="決め技カウント">
      <calculatedColumnFormula>+SUMIF(技ログ!C:C,A2,技ログ!I:I)</calculatedColumnFormula>
    </tableColumn>
    <tableColumn id="10" xr3:uid="{54455F17-1AEF-4CEF-B36D-779DB2AA52BF}" name="使用回数" dataDxfId="27">
      <calculatedColumnFormula>+COUNTIF(技ログ!C:C,技マスタ[[#This Row],[技ID]])</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0EFE0E-8018-ED4C-9D6C-9AED1A26B681}" name="勢力マスタ" displayName="勢力マスタ" ref="A1:D26" totalsRowShown="0">
  <autoFilter ref="A1:D26" xr:uid="{620EFE0E-8018-ED4C-9D6C-9AED1A26B681}"/>
  <tableColumns count="4">
    <tableColumn id="1" xr3:uid="{5E8AB46D-4CB0-384D-A708-63ED9B75DAE8}" name="勢力ID"/>
    <tableColumn id="2" xr3:uid="{FC21AC53-1DB8-EB49-99A1-A0454B48D44F}" name="勢力名"/>
    <tableColumn id="3" xr3:uid="{1EBFBB80-9DF5-4E41-BB95-E8F028A84261}" name="リーダーID"/>
    <tableColumn id="4" xr3:uid="{9753FEEA-66F3-8945-AF4B-BFAE757AE71D}" name="区分"/>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CA44FE-E458-4039-BC5E-51BD14DCBE99}" name="テーブル9" displayName="テーブル9" ref="A1:K30" totalsRowShown="0">
  <autoFilter ref="A1:K30" xr:uid="{3DE25487-9E31-4A2B-B2B6-2122FCA76456}"/>
  <tableColumns count="11">
    <tableColumn id="1" xr3:uid="{D836B7F2-848D-4997-A0BC-0A332C19B141}" name="登場キャラID"/>
    <tableColumn id="2" xr3:uid="{9DFDDED9-06D7-44A5-886C-36532C15984D}" name="登場キャラ" dataDxfId="26">
      <calculatedColumnFormula>VLOOKUP(懸賞金・肩書ログ!A2,キャラマスタ[],2,FALSE)</calculatedColumnFormula>
    </tableColumn>
    <tableColumn id="3" xr3:uid="{AB9FA19B-4B9B-400E-9338-CD1FE6C5E071}" name="懸賞金" dataDxfId="25" dataCellStyle="桁区切り"/>
    <tableColumn id="4" xr3:uid="{BB7B5314-532E-4681-BCA0-2C5E8DBA4289}" name="肩書"/>
    <tableColumn id="5" xr3:uid="{CE075F8C-673F-4AB9-9A54-662D031587EC}" name="区分"/>
    <tableColumn id="6" xr3:uid="{7DC442DC-964F-4A4A-8AEE-E97EF5FF3862}" name="巻数"/>
    <tableColumn id="7" xr3:uid="{9C934B2F-0953-4A3B-961A-A63DFF6E2B84}" name="話数"/>
    <tableColumn id="8" xr3:uid="{178629B1-96FC-4E95-8B93-E84B72141444}" name="年数"/>
    <tableColumn id="9" xr3:uid="{2E3DAC2A-C6E1-4A12-B44A-245DAD1FC615}" name="通算日"/>
    <tableColumn id="10" xr3:uid="{D1C90C61-E875-4A2E-AC82-DA556DF1DCD8}" name="理由"/>
    <tableColumn id="11" xr3:uid="{73867283-143A-4B88-AAF3-66D9A51A3506}" name="備考"/>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73DA2A-B594-274F-A42B-9C82811BFDD8}" name="テーブル6" displayName="テーブル6" ref="A1:N234" totalsRowShown="0" headerRowDxfId="24" dataDxfId="23">
  <autoFilter ref="A1:N234" xr:uid="{DD73DA2A-B594-274F-A42B-9C82811BFDD8}"/>
  <tableColumns count="14">
    <tableColumn id="1" xr3:uid="{9229246D-50D8-D54E-86B3-C5E873399ECA}" name="日誌ID"/>
    <tableColumn id="2" xr3:uid="{CACAD512-D728-3844-82B1-71CFC1A40965}" name="海円暦">
      <calculatedColumnFormula>1539+C2</calculatedColumnFormula>
    </tableColumn>
    <tableColumn id="3" xr3:uid="{BF3E6EB0-5F61-8E44-99B2-D7214198BEFD}" name="年（何年前の出来事か）"/>
    <tableColumn id="4" xr3:uid="{AEC6BDFA-33D8-3341-AEA0-66916D2FF602}" name="通算日"/>
    <tableColumn id="5" xr3:uid="{40AF7DEC-D95E-374F-B6CA-ED9F14965558}" name="巻数"/>
    <tableColumn id="6" xr3:uid="{A1703E74-0BE1-7044-906D-511A252FB4C4}" name="話数"/>
    <tableColumn id="7" xr3:uid="{69480FAF-0050-B841-B292-B15865D4788C}" name="場所ID"/>
    <tableColumn id="8" xr3:uid="{17703415-3420-8D43-9279-C05881A3CBB3}" name="場所名" dataDxfId="22">
      <calculatedColumnFormula>VLOOKUP(G2,場所マスタ[],6,FALSE)</calculatedColumnFormula>
    </tableColumn>
    <tableColumn id="9" xr3:uid="{FA49B804-0EFA-F44B-8C50-48A55076B9D0}" name="エピソード名"/>
    <tableColumn id="10" xr3:uid="{4FDE4F10-9568-9C42-80C1-6FB339EB25F8}" name="出来事"/>
    <tableColumn id="11" xr3:uid="{90DAD6CE-62B3-6441-A458-2DFB85879E7D}" name="登場キャラID"/>
    <tableColumn id="15" xr3:uid="{1E6DE0E7-C4B3-3846-86E8-3723E801F824}" name="登場キャラ" dataDxfId="21">
      <calculatedColumnFormula>IFERROR(VLOOKUP(K2,キャラマスタ[],2,FALSE),"")</calculatedColumnFormula>
    </tableColumn>
    <tableColumn id="19" xr3:uid="{F2BD8A29-D332-1745-B893-FCC2B649862F}" name="移動手段"/>
    <tableColumn id="20" xr3:uid="{69064A20-16C3-9A4E-89CD-AE8AD6D7EE76}" name="備考"/>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8EC3F2-CEDA-464F-8442-6906451EAE75}" name="テーブル10" displayName="テーブル10" ref="A1:W36" totalsRowShown="0" headerRowDxfId="20">
  <autoFilter ref="A1:W36" xr:uid="{2EE29A0E-288F-49D3-B86F-3FEB3D18D2B5}"/>
  <tableColumns count="23">
    <tableColumn id="1" xr3:uid="{665EFF8D-AECF-424E-A613-D443AC37BD1B}" name="バトルID"/>
    <tableColumn id="2" xr3:uid="{7824B9FD-04EB-4F5D-BF79-A0F4EA2F43A5}" name="巻数"/>
    <tableColumn id="3" xr3:uid="{85A1C6B2-BEEC-4954-97F8-9F1E0F4DB2B9}" name="話数"/>
    <tableColumn id="4" xr3:uid="{C8F55462-3F75-474D-A987-D5334CCD899B}" name="年"/>
    <tableColumn id="5" xr3:uid="{FEC4653C-3CDD-406C-92C4-A450811D9D40}" name="通算日"/>
    <tableColumn id="6" xr3:uid="{2B976906-E4C0-43A0-A0C3-DD9FE7CEE574}" name="場所ID"/>
    <tableColumn id="7" xr3:uid="{EB4A9782-6CA6-4883-B987-BEA9D968DB68}" name="場所" dataDxfId="19">
      <calculatedColumnFormula>VLOOKUP(F2,場所マスタ!$A$1:$I$125,5,FALSE)</calculatedColumnFormula>
    </tableColumn>
    <tableColumn id="8" xr3:uid="{CFA82C7D-2642-45AE-ACE8-EF4C011515A3}" name="勢力ID1"/>
    <tableColumn id="9" xr3:uid="{553A26BC-7383-4D08-AC6B-32745577B4F1}" name="勝者勢力" dataDxfId="18"/>
    <tableColumn id="10" xr3:uid="{1951D531-02B3-4CEA-9D67-7B396F154901}" name="勝者ID1"/>
    <tableColumn id="11" xr3:uid="{BB02A948-E219-4123-8CE4-8F47697A2241}" name="勝者ID2"/>
    <tableColumn id="12" xr3:uid="{0419274E-B8C0-4CB2-BF69-2BA981D5DF3F}" name="勝者1" dataDxfId="17">
      <calculatedColumnFormula>IFERROR(VLOOKUP(J2,キャラマスタ[],2,FALSE),"")</calculatedColumnFormula>
    </tableColumn>
    <tableColumn id="13" xr3:uid="{630AFF01-9C3B-454B-817F-8FEBC9ECCF17}" name="勝者2" dataDxfId="16">
      <calculatedColumnFormula>IFERROR(VLOOKUP(K2,キャラマスタ[],2,FALSE),"")</calculatedColumnFormula>
    </tableColumn>
    <tableColumn id="14" xr3:uid="{4ABABD83-A099-4D7C-A08F-DF24FD0FF21B}" name="勢力ID2"/>
    <tableColumn id="15" xr3:uid="{0D1E906C-9C84-4581-8770-1F41DD67BC1C}" name="敗者勢力" dataDxfId="15">
      <calculatedColumnFormula>IFERROR(VLOOKUP(N2,勢力マスタ[],2,FALSE),"")</calculatedColumnFormula>
    </tableColumn>
    <tableColumn id="16" xr3:uid="{23C04646-2120-43A1-8E26-C59F149BE51C}" name="敗者ID1"/>
    <tableColumn id="17" xr3:uid="{00E03334-393F-461B-BA9D-B23603187991}" name="敗者ID2"/>
    <tableColumn id="18" xr3:uid="{D818F6D3-F698-4BF5-B6B4-7C841D08A4B6}" name="敗者1" dataDxfId="14"/>
    <tableColumn id="19" xr3:uid="{E6EC4B0F-F17D-48D6-A5F1-27246E25980B}" name="敗者2" dataDxfId="13"/>
    <tableColumn id="23" xr3:uid="{91A8B9E5-EA44-4DBD-A26E-4D22AAE292DE}" name="技ID" dataDxfId="12"/>
    <tableColumn id="20" xr3:uid="{0A173D63-B697-4250-A542-8DD77349F4E8}" name="決まり手">
      <calculatedColumnFormula>+IFERROR(VLOOKUP(テーブル10[[#This Row],[技ID]],技マスタ[],2,FALSE),"")</calculatedColumnFormula>
    </tableColumn>
    <tableColumn id="21" xr3:uid="{4C4D64F9-A980-4175-87C3-813091899A1C}" name="バトルの種類"/>
    <tableColumn id="22" xr3:uid="{9C207509-46E9-40B1-AA6F-22DEBA03EFE0}" name="軍団戦フラグ"/>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ECF0F2-FC1F-4035-A2B9-A460B5F2B2A9}" name="テーブル8" displayName="テーブル8" ref="A1:I191" totalsRowShown="0">
  <autoFilter ref="A1:I191" xr:uid="{48B7B936-A865-4DF7-8CDA-02399453B58A}"/>
  <tableColumns count="9">
    <tableColumn id="1" xr3:uid="{7801EBBA-730C-42DB-8B21-2FBF6BF89997}" name="使用者ID"/>
    <tableColumn id="2" xr3:uid="{6B7C2A65-A9A7-44E6-86A4-A1A4A476B34B}" name="使用者" dataDxfId="11"/>
    <tableColumn id="3" xr3:uid="{A9CDDDBD-3536-488E-A237-AB4CFB0B6729}" name="技ID"/>
    <tableColumn id="4" xr3:uid="{6832A31E-5B7F-4543-B4A4-F44BFA6BF7F6}" name="技名" dataDxfId="10"/>
    <tableColumn id="5" xr3:uid="{63D3C3F3-BDE1-4FE2-9951-BEA510F79F31}" name="巻数"/>
    <tableColumn id="6" xr3:uid="{373777F2-BCEA-4312-B800-7236AFEF1F33}" name="話数"/>
    <tableColumn id="7" xr3:uid="{F8CE6CDC-9592-4D95-A24D-B8C94B005C01}" name="相手ID"/>
    <tableColumn id="8" xr3:uid="{28B59CFA-8A1E-4C2E-A341-96E3C8652A76}" name="相手" dataDxfId="9"/>
    <tableColumn id="9" xr3:uid="{9960E916-E1CA-4D99-80CC-714BCB203154}" name="決まり手フラグ"/>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E057D8-224A-C448-B60B-EA70442D977B}" name="テーブル7" displayName="テーブル7" ref="A1:T77" totalsRowShown="0">
  <autoFilter ref="A1:T77" xr:uid="{E7E057D8-224A-C448-B60B-EA70442D977B}"/>
  <tableColumns count="20">
    <tableColumn id="1" xr3:uid="{3904C1F1-F3C4-BB48-BBBC-0F652FF2FFBA}" name="登場キャラID"/>
    <tableColumn id="2" xr3:uid="{F731D394-BA3F-964E-A6FB-71470A1383B2}" name="名前" dataDxfId="8">
      <calculatedColumnFormula>VLOOKUP(A2,キャラマスタ[],2,FALSE)</calculatedColumnFormula>
    </tableColumn>
    <tableColumn id="16" xr3:uid="{99C799B5-8D7D-D043-BCFD-1AC44AA1BD72}" name="勢力ID" dataDxfId="7"/>
    <tableColumn id="3" xr3:uid="{26E8DDFC-95FF-BB44-A35B-39349E265A11}" name="所属グループ" dataDxfId="6">
      <calculatedColumnFormula>VLOOKUP(テーブル7[[#This Row],[勢力ID]],勢力マスタ[],2,FALSE)</calculatedColumnFormula>
    </tableColumn>
    <tableColumn id="4" xr3:uid="{DBF746DC-E427-694C-86AC-6AED212A136F}" name="役職"/>
    <tableColumn id="5" xr3:uid="{1B1B59F1-FA85-284B-8970-6E5197C9C4F8}" name="階級"/>
    <tableColumn id="6" xr3:uid="{ACDACCF2-EEE9-8243-8107-36F26E0A5A2F}" name="加入巻数"/>
    <tableColumn id="7" xr3:uid="{3C704A72-EB21-9B4D-8088-00DCBA40105F}" name="加入話数"/>
    <tableColumn id="8" xr3:uid="{2D56B8BC-6286-5943-AECD-15BC9C360A9F}" name="脱退巻数"/>
    <tableColumn id="9" xr3:uid="{C384C78A-1C97-AC4B-9DB3-7FAC5E661A21}" name="脱退話数"/>
    <tableColumn id="20" xr3:uid="{B2B29D7D-F645-7C41-A4C7-FD4C5D6C12CC}" name="海円暦" dataDxfId="5">
      <calculatedColumnFormula>IF(テーブル7[[#This Row],[加入年]]="","",1539+テーブル7[[#This Row],[加入年]])</calculatedColumnFormula>
    </tableColumn>
    <tableColumn id="10" xr3:uid="{828F71F2-7B08-334E-B326-D3BBE6A8F5BE}" name="加入年"/>
    <tableColumn id="17" xr3:uid="{FEAA9E4E-91FD-2D4A-B85B-70A028BCED0E}" name="通算日"/>
    <tableColumn id="11" xr3:uid="{C4FD0753-C3CE-FA43-902A-CD2DF187B146}" name="脱退年数"/>
    <tableColumn id="18" xr3:uid="{A9239E07-1C67-F340-BA0E-4DAAB0B6FD9A}" name="脱退年（通算日）"/>
    <tableColumn id="12" xr3:uid="{9A38E082-5351-1743-B6D5-B88202C68294}" name="加入フラグ"/>
    <tableColumn id="13" xr3:uid="{54A167C4-C9A3-DD46-BE02-312BC9635B44}" name="加入年最古"/>
    <tableColumn id="14" xr3:uid="{9650FF97-2A88-DE40-BFD9-45E57AAABF43}" name="加入年最新"/>
    <tableColumn id="15" xr3:uid="{BDD81B55-F8AF-A44D-96DF-2E0777A10576}" name="考察"/>
    <tableColumn id="19" xr3:uid="{79E29769-DB1A-C046-9650-C3CEA1CCCFBD}" name="備考"/>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50BFB4-7E23-490F-BBE5-6096DD0B9519}" name="テーブル3" displayName="テーブル3" ref="A1:I9" totalsRowShown="0">
  <autoFilter ref="A1:I9" xr:uid="{F7E044FB-523D-469E-BD57-D6DC893ECB81}"/>
  <tableColumns count="9">
    <tableColumn id="1" xr3:uid="{392FF479-DAC7-4CC5-8040-A4D51EA40600}" name="実ID"/>
    <tableColumn id="2" xr3:uid="{17CE7757-DCB3-4DE4-AE04-A67E8031FECA}" name="実の名前" dataDxfId="4">
      <calculatedColumnFormula>VLOOKUP(A2,悪魔の実マスタ[],2,FALSE)</calculatedColumnFormula>
    </tableColumn>
    <tableColumn id="3" xr3:uid="{C402B9D4-AFCE-4074-B109-27F550DD74AC}" name="系統" dataDxfId="3">
      <calculatedColumnFormula>VLOOKUP(A2,悪魔の実マスタ[],3,FALSE)</calculatedColumnFormula>
    </tableColumn>
    <tableColumn id="4" xr3:uid="{0B095A88-744A-42E3-A6A4-6FBC49198F90}" name="キャラID"/>
    <tableColumn id="5" xr3:uid="{8E857942-8FAC-4FC9-8807-FF5C6A412D77}" name="能力者" dataDxfId="2">
      <calculatedColumnFormula>VLOOKUP(D2,キャラマスタ[],2,FALSE)</calculatedColumnFormula>
    </tableColumn>
    <tableColumn id="6" xr3:uid="{BB942D8C-2EA0-4006-8344-0EC9476156E9}" name="入手巻数"/>
    <tableColumn id="7" xr3:uid="{7D6D2D12-401B-4159-B703-B83B4E812644}" name="入手話"/>
    <tableColumn id="8" xr3:uid="{55464289-5732-44A8-838F-A899BD6B07C1}" name="入手年"/>
    <tableColumn id="9" xr3:uid="{49737B9E-5115-4B41-A290-C706D9020AE1}" name="死亡した時期"/>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6069A4-7A3D-446E-A147-85673F33FEEC}" name="テーブル13" displayName="テーブル13" ref="A1:F30" totalsRowShown="0" headerRowDxfId="1">
  <autoFilter ref="A1:F30" xr:uid="{43F7F069-6E72-4B4E-A23F-11C801C904EB}"/>
  <tableColumns count="6">
    <tableColumn id="1" xr3:uid="{640619B4-6CBE-4A63-8148-67A287C4F235}" name="表示名">
      <calculatedColumnFormula>+場所マスタ[[#This Row],[表示名]]</calculatedColumnFormula>
    </tableColumn>
    <tableColumn id="2" xr3:uid="{E0AB975F-D57E-4E40-89FE-00A4DCD20322}" name="パワポの横cm"/>
    <tableColumn id="3" xr3:uid="{DE38C251-5A7B-4253-8AF4-9597E7D312C9}" name="パワポの縦cm"/>
    <tableColumn id="4" xr3:uid="{48120529-647D-4185-9251-405625CFC77C}" name="X座標"/>
    <tableColumn id="5" xr3:uid="{FBA81D1A-772E-4654-A75D-82656BEE6FB5}" name="Y座標"/>
    <tableColumn id="6" xr3:uid="{3D7229EA-BCEF-414C-8C83-AB68846CE2BB}" name="備考"/>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E73A-23E2-4473-A534-603D98A2E757}">
  <sheetPr>
    <tabColor rgb="FFFFFF00"/>
  </sheetPr>
  <dimension ref="A1:AP145"/>
  <sheetViews>
    <sheetView zoomScale="80" zoomScaleNormal="80" workbookViewId="0">
      <selection activeCell="C13" sqref="C13"/>
    </sheetView>
  </sheetViews>
  <sheetFormatPr defaultColWidth="8.875" defaultRowHeight="18.75"/>
  <cols>
    <col min="1" max="1" width="10" customWidth="1"/>
    <col min="2" max="2" width="21.375" customWidth="1"/>
    <col min="3" max="3" width="15.125" customWidth="1"/>
    <col min="4" max="5" width="9.875" customWidth="1"/>
    <col min="6" max="6" width="9.125" style="2" bestFit="1" customWidth="1"/>
    <col min="7" max="7" width="9.125" customWidth="1"/>
    <col min="10" max="10" width="8.125" bestFit="1" customWidth="1"/>
    <col min="11" max="12" width="11.625" customWidth="1"/>
    <col min="13" max="13" width="10" bestFit="1" customWidth="1"/>
    <col min="14" max="14" width="14.625" customWidth="1"/>
    <col min="15" max="15" width="8.125" bestFit="1" customWidth="1"/>
    <col min="16" max="17" width="9.875" customWidth="1"/>
    <col min="18" max="18" width="14.375" customWidth="1"/>
    <col min="23" max="23" width="15.125" customWidth="1"/>
    <col min="26" max="26" width="15.125" customWidth="1"/>
    <col min="28" max="30" width="9.375" customWidth="1"/>
    <col min="34" max="34" width="13.375" customWidth="1"/>
    <col min="36" max="36" width="13.375" customWidth="1"/>
    <col min="40" max="40" width="9.875" customWidth="1"/>
  </cols>
  <sheetData>
    <row r="1" spans="1:42">
      <c r="A1" t="s">
        <v>491</v>
      </c>
      <c r="B1" t="s">
        <v>14</v>
      </c>
      <c r="C1" t="s">
        <v>183</v>
      </c>
      <c r="D1" t="s">
        <v>569</v>
      </c>
      <c r="E1" t="s">
        <v>184</v>
      </c>
      <c r="F1" t="s">
        <v>185</v>
      </c>
      <c r="G1" s="2" t="s">
        <v>182</v>
      </c>
      <c r="H1" t="s">
        <v>493</v>
      </c>
      <c r="I1" t="s">
        <v>0</v>
      </c>
      <c r="J1" t="s">
        <v>398</v>
      </c>
      <c r="K1" t="s">
        <v>26</v>
      </c>
      <c r="L1" t="s">
        <v>197</v>
      </c>
      <c r="M1" t="s">
        <v>401</v>
      </c>
      <c r="N1" t="s">
        <v>198</v>
      </c>
      <c r="O1" t="s">
        <v>33</v>
      </c>
      <c r="P1" t="s">
        <v>395</v>
      </c>
      <c r="Q1" t="s">
        <v>186</v>
      </c>
      <c r="R1" t="s">
        <v>435</v>
      </c>
      <c r="S1" t="s">
        <v>37</v>
      </c>
      <c r="T1" t="s">
        <v>38</v>
      </c>
      <c r="U1" t="s">
        <v>187</v>
      </c>
      <c r="V1" t="s">
        <v>188</v>
      </c>
      <c r="W1" t="s">
        <v>144</v>
      </c>
      <c r="X1" t="s">
        <v>365</v>
      </c>
      <c r="Y1" t="s">
        <v>260</v>
      </c>
      <c r="Z1" t="s">
        <v>494</v>
      </c>
      <c r="AA1" t="s">
        <v>189</v>
      </c>
      <c r="AB1" t="s">
        <v>257</v>
      </c>
      <c r="AC1" t="s">
        <v>371</v>
      </c>
      <c r="AD1" t="s">
        <v>495</v>
      </c>
      <c r="AE1" t="s">
        <v>496</v>
      </c>
      <c r="AF1" t="s">
        <v>98</v>
      </c>
      <c r="AG1" t="s">
        <v>16</v>
      </c>
      <c r="AH1" t="s">
        <v>17</v>
      </c>
      <c r="AI1" t="s">
        <v>24</v>
      </c>
      <c r="AJ1" t="s">
        <v>31</v>
      </c>
      <c r="AK1" t="s">
        <v>44</v>
      </c>
      <c r="AL1" t="s">
        <v>152</v>
      </c>
      <c r="AM1" t="s">
        <v>153</v>
      </c>
      <c r="AN1" t="s">
        <v>154</v>
      </c>
      <c r="AO1" t="s">
        <v>261</v>
      </c>
      <c r="AP1" t="s">
        <v>1</v>
      </c>
    </row>
    <row r="2" spans="1:42">
      <c r="A2" t="s">
        <v>288</v>
      </c>
      <c r="B2" t="s">
        <v>228</v>
      </c>
      <c r="C2">
        <v>17</v>
      </c>
      <c r="D2">
        <f>IFERROR(キャラマスタ[[#This Row],[初登場時の年齢]]+2,"")</f>
        <v>19</v>
      </c>
      <c r="E2">
        <v>1</v>
      </c>
      <c r="F2">
        <v>1</v>
      </c>
      <c r="G2" s="2">
        <v>44686</v>
      </c>
      <c r="H2">
        <f>IFERROR(IF(キャラマスタ[[#This Row],[生存ステータス]]=1,1539-キャラマスタ[[#This Row],[初登場時の年齢]]+キャラマスタ[[#This Row],[死亡年]],1539-キャラマスタ[[#This Row],[初登場時の年齢]]),"")</f>
        <v>1522</v>
      </c>
      <c r="I2">
        <v>172</v>
      </c>
      <c r="J2" t="s">
        <v>400</v>
      </c>
      <c r="K2" s="9" t="s">
        <v>581</v>
      </c>
      <c r="L2" t="s">
        <v>18</v>
      </c>
      <c r="M2" t="s">
        <v>384</v>
      </c>
      <c r="N2" t="s">
        <v>19</v>
      </c>
      <c r="O2" t="s">
        <v>35</v>
      </c>
      <c r="Q2" t="s">
        <v>36</v>
      </c>
      <c r="R2" t="s">
        <v>507</v>
      </c>
      <c r="S2" t="s">
        <v>15</v>
      </c>
      <c r="T2" t="s">
        <v>39</v>
      </c>
      <c r="V2" t="s">
        <v>274</v>
      </c>
      <c r="W2" t="s">
        <v>277</v>
      </c>
      <c r="X2" t="s">
        <v>372</v>
      </c>
      <c r="Z2" t="str">
        <f>IF(キャラマスタ[[#This Row],[生存ステータス]]=1,1539+キャラマスタ[[#This Row],[死亡年]],"")</f>
        <v/>
      </c>
      <c r="AA2">
        <v>0</v>
      </c>
      <c r="AB2" t="s">
        <v>258</v>
      </c>
      <c r="AC2">
        <v>1</v>
      </c>
      <c r="AD2">
        <v>-3650</v>
      </c>
      <c r="AE2">
        <v>9999</v>
      </c>
      <c r="AG2" t="s">
        <v>149</v>
      </c>
      <c r="AH2" t="s">
        <v>41</v>
      </c>
      <c r="AI2" t="s">
        <v>200</v>
      </c>
      <c r="AK2" t="s">
        <v>201</v>
      </c>
      <c r="AP2" t="s">
        <v>42</v>
      </c>
    </row>
    <row r="3" spans="1:42">
      <c r="A3" t="s">
        <v>289</v>
      </c>
      <c r="B3" t="s">
        <v>2</v>
      </c>
      <c r="C3">
        <v>53</v>
      </c>
      <c r="D3" t="s">
        <v>139</v>
      </c>
      <c r="E3">
        <v>1</v>
      </c>
      <c r="F3">
        <v>1</v>
      </c>
      <c r="G3" s="2">
        <v>44196</v>
      </c>
      <c r="H3">
        <f>IFERROR(IF(キャラマスタ[[#This Row],[生存ステータス]]=1,1539-キャラマスタ[[#This Row],[初登場時の年齢]]+キャラマスタ[[#This Row],[死亡年]],1539-キャラマスタ[[#This Row],[初登場時の年齢]]),"")</f>
        <v>1464</v>
      </c>
      <c r="I3">
        <v>274</v>
      </c>
      <c r="J3" t="s">
        <v>582</v>
      </c>
      <c r="K3" t="s">
        <v>27</v>
      </c>
      <c r="L3" t="s">
        <v>18</v>
      </c>
      <c r="M3" t="s">
        <v>1809</v>
      </c>
      <c r="N3" t="s">
        <v>21</v>
      </c>
      <c r="O3" t="s">
        <v>389</v>
      </c>
      <c r="R3" t="s">
        <v>440</v>
      </c>
      <c r="S3" t="s">
        <v>40</v>
      </c>
      <c r="T3" t="s">
        <v>39</v>
      </c>
      <c r="V3" t="s">
        <v>274</v>
      </c>
      <c r="W3" t="s">
        <v>277</v>
      </c>
      <c r="X3" t="s">
        <v>372</v>
      </c>
      <c r="Y3">
        <v>-22</v>
      </c>
      <c r="Z3">
        <f>IF(キャラマスタ[[#This Row],[生存ステータス]]=1,1539+キャラマスタ[[#This Row],[死亡年]],"")</f>
        <v>1517</v>
      </c>
      <c r="AA3">
        <v>1</v>
      </c>
      <c r="AB3" t="s">
        <v>259</v>
      </c>
      <c r="AC3">
        <v>1</v>
      </c>
      <c r="AD3">
        <v>-9125</v>
      </c>
      <c r="AE3">
        <v>-8000</v>
      </c>
      <c r="AF3" t="s">
        <v>100</v>
      </c>
      <c r="AG3" t="s">
        <v>22</v>
      </c>
      <c r="AH3" t="s">
        <v>203</v>
      </c>
      <c r="AI3" t="s">
        <v>25</v>
      </c>
      <c r="AK3" t="s">
        <v>204</v>
      </c>
      <c r="AP3" t="s">
        <v>23</v>
      </c>
    </row>
    <row r="4" spans="1:42">
      <c r="A4" t="s">
        <v>290</v>
      </c>
      <c r="B4" t="s">
        <v>205</v>
      </c>
      <c r="C4" t="s">
        <v>139</v>
      </c>
      <c r="E4">
        <v>1</v>
      </c>
      <c r="F4">
        <v>1</v>
      </c>
      <c r="G4" s="2">
        <v>44562</v>
      </c>
      <c r="H4" t="str">
        <f>IFERROR(IF(キャラマスタ[[#This Row],[生存ステータス]]=1,1539-キャラマスタ[[#This Row],[初登場時の年齢]]+キャラマスタ[[#This Row],[死亡年]],1539-キャラマスタ[[#This Row],[初登場時の年齢]]),"")</f>
        <v/>
      </c>
      <c r="L4" t="s">
        <v>18</v>
      </c>
      <c r="V4" t="s">
        <v>274</v>
      </c>
      <c r="W4" t="s">
        <v>277</v>
      </c>
      <c r="X4" t="s">
        <v>373</v>
      </c>
      <c r="Z4" t="str">
        <f>IF(キャラマスタ[[#This Row],[生存ステータス]]=1,1539+キャラマスタ[[#This Row],[死亡年]],"")</f>
        <v/>
      </c>
      <c r="AA4" t="s">
        <v>275</v>
      </c>
      <c r="AB4" t="s">
        <v>280</v>
      </c>
      <c r="AC4">
        <v>0</v>
      </c>
      <c r="AP4" t="s">
        <v>114</v>
      </c>
    </row>
    <row r="5" spans="1:42">
      <c r="A5" t="s">
        <v>291</v>
      </c>
      <c r="B5" t="s">
        <v>206</v>
      </c>
      <c r="C5" t="s">
        <v>139</v>
      </c>
      <c r="D5" t="str">
        <f>IFERROR(キャラマスタ[[#This Row],[初登場時の年齢]]+2,"")</f>
        <v/>
      </c>
      <c r="E5">
        <v>1</v>
      </c>
      <c r="F5">
        <v>1</v>
      </c>
      <c r="G5" s="2">
        <v>44865</v>
      </c>
      <c r="H5" t="str">
        <f>IFERROR(IF(キャラマスタ[[#This Row],[生存ステータス]]=1,1539-キャラマスタ[[#This Row],[初登場時の年齢]]+キャラマスタ[[#This Row],[死亡年]],1539-キャラマスタ[[#This Row],[初登場時の年齢]]),"")</f>
        <v/>
      </c>
      <c r="J5" t="s">
        <v>583</v>
      </c>
      <c r="K5" t="s">
        <v>43</v>
      </c>
      <c r="L5" t="s">
        <v>18</v>
      </c>
      <c r="R5" t="s">
        <v>441</v>
      </c>
      <c r="S5" t="s">
        <v>51</v>
      </c>
      <c r="T5" t="s">
        <v>143</v>
      </c>
      <c r="V5" t="s">
        <v>275</v>
      </c>
      <c r="W5" t="s">
        <v>278</v>
      </c>
      <c r="X5" t="s">
        <v>372</v>
      </c>
      <c r="Z5" t="str">
        <f>IF(キャラマスタ[[#This Row],[生存ステータス]]=1,1539+キャラマスタ[[#This Row],[死亡年]],"")</f>
        <v/>
      </c>
      <c r="AA5">
        <v>0</v>
      </c>
      <c r="AB5" t="s">
        <v>259</v>
      </c>
      <c r="AC5">
        <v>0</v>
      </c>
      <c r="AP5" t="s">
        <v>115</v>
      </c>
    </row>
    <row r="6" spans="1:42">
      <c r="A6" t="s">
        <v>292</v>
      </c>
      <c r="B6" t="s">
        <v>231</v>
      </c>
      <c r="C6">
        <v>37</v>
      </c>
      <c r="D6">
        <f>IFERROR(キャラマスタ[[#This Row],[初登場時の年齢]]+2,"")</f>
        <v>39</v>
      </c>
      <c r="E6">
        <v>1</v>
      </c>
      <c r="F6">
        <v>1</v>
      </c>
      <c r="G6" s="2">
        <v>43899</v>
      </c>
      <c r="H6">
        <f>IFERROR(IF(キャラマスタ[[#This Row],[生存ステータス]]=1,1539-キャラマスタ[[#This Row],[初登場時の年齢]]+キャラマスタ[[#This Row],[死亡年]],1539-キャラマスタ[[#This Row],[初登場時の年齢]]),"")</f>
        <v>1502</v>
      </c>
      <c r="I6">
        <v>199</v>
      </c>
      <c r="J6" t="s">
        <v>583</v>
      </c>
      <c r="K6" t="s">
        <v>43</v>
      </c>
      <c r="L6" t="s">
        <v>28</v>
      </c>
      <c r="O6" t="s">
        <v>34</v>
      </c>
      <c r="R6" t="s">
        <v>441</v>
      </c>
      <c r="S6" t="s">
        <v>45</v>
      </c>
      <c r="T6" t="s">
        <v>46</v>
      </c>
      <c r="V6" t="s">
        <v>274</v>
      </c>
      <c r="W6" t="s">
        <v>277</v>
      </c>
      <c r="X6" t="s">
        <v>372</v>
      </c>
      <c r="Z6" t="str">
        <f>IF(キャラマスタ[[#This Row],[生存ステータス]]=1,1539+キャラマスタ[[#This Row],[死亡年]],"")</f>
        <v/>
      </c>
      <c r="AA6">
        <v>0</v>
      </c>
      <c r="AB6" t="s">
        <v>259</v>
      </c>
      <c r="AC6">
        <v>0</v>
      </c>
      <c r="AD6">
        <v>-9125</v>
      </c>
      <c r="AE6">
        <v>9999</v>
      </c>
      <c r="AF6" t="s">
        <v>100</v>
      </c>
      <c r="AG6" t="s">
        <v>29</v>
      </c>
      <c r="AH6" t="s">
        <v>30</v>
      </c>
      <c r="AI6" t="s">
        <v>207</v>
      </c>
      <c r="AJ6" t="s">
        <v>32</v>
      </c>
      <c r="AK6" t="s">
        <v>208</v>
      </c>
    </row>
    <row r="7" spans="1:42">
      <c r="A7" t="s">
        <v>409</v>
      </c>
      <c r="B7" t="s">
        <v>3</v>
      </c>
      <c r="C7">
        <v>33</v>
      </c>
      <c r="D7">
        <f>IFERROR(キャラマスタ[[#This Row],[初登場時の年齢]]+2,"")</f>
        <v>35</v>
      </c>
      <c r="E7">
        <v>1</v>
      </c>
      <c r="F7">
        <v>1</v>
      </c>
      <c r="G7" s="2">
        <v>44018</v>
      </c>
      <c r="H7">
        <f>IFERROR(IF(キャラマスタ[[#This Row],[生存ステータス]]=1,1539-キャラマスタ[[#This Row],[初登場時の年齢]]+キャラマスタ[[#This Row],[死亡年]],1539-キャラマスタ[[#This Row],[初登場時の年齢]]),"")</f>
        <v>1506</v>
      </c>
      <c r="I7">
        <v>241</v>
      </c>
      <c r="J7" t="s">
        <v>583</v>
      </c>
      <c r="K7" t="s">
        <v>43</v>
      </c>
      <c r="L7" t="s">
        <v>47</v>
      </c>
      <c r="R7" t="s">
        <v>441</v>
      </c>
      <c r="S7" t="s">
        <v>45</v>
      </c>
      <c r="T7" t="s">
        <v>160</v>
      </c>
      <c r="V7" t="s">
        <v>274</v>
      </c>
      <c r="W7" t="s">
        <v>277</v>
      </c>
      <c r="X7" t="s">
        <v>372</v>
      </c>
      <c r="Z7" t="str">
        <f>IF(キャラマスタ[[#This Row],[生存ステータス]]=1,1539+キャラマスタ[[#This Row],[死亡年]],"")</f>
        <v/>
      </c>
      <c r="AA7">
        <v>0</v>
      </c>
      <c r="AB7" t="s">
        <v>259</v>
      </c>
      <c r="AC7">
        <v>0</v>
      </c>
      <c r="AD7">
        <v>-4015</v>
      </c>
      <c r="AE7">
        <v>9999</v>
      </c>
      <c r="AG7" t="s">
        <v>149</v>
      </c>
      <c r="AH7" t="s">
        <v>48</v>
      </c>
    </row>
    <row r="8" spans="1:42">
      <c r="A8" t="s">
        <v>294</v>
      </c>
      <c r="B8" t="s">
        <v>4</v>
      </c>
      <c r="C8">
        <v>45</v>
      </c>
      <c r="D8">
        <f>IFERROR(キャラマスタ[[#This Row],[初登場時の年齢]]+2,"")</f>
        <v>47</v>
      </c>
      <c r="E8">
        <v>1</v>
      </c>
      <c r="F8">
        <v>1</v>
      </c>
      <c r="G8" s="2">
        <v>44045</v>
      </c>
      <c r="H8">
        <f>IFERROR(IF(キャラマスタ[[#This Row],[生存ステータス]]=1,1539-キャラマスタ[[#This Row],[初登場時の年齢]]+キャラマスタ[[#This Row],[死亡年]],1539-キャラマスタ[[#This Row],[初登場時の年齢]]),"")</f>
        <v>1494</v>
      </c>
      <c r="I8">
        <v>183</v>
      </c>
      <c r="J8" t="s">
        <v>583</v>
      </c>
      <c r="K8" t="s">
        <v>43</v>
      </c>
      <c r="L8" t="s">
        <v>18</v>
      </c>
      <c r="M8" t="s">
        <v>730</v>
      </c>
      <c r="N8" t="s">
        <v>49</v>
      </c>
      <c r="O8" t="s">
        <v>61</v>
      </c>
      <c r="R8" t="s">
        <v>441</v>
      </c>
      <c r="S8" t="s">
        <v>51</v>
      </c>
      <c r="T8" t="s">
        <v>52</v>
      </c>
      <c r="V8" t="s">
        <v>274</v>
      </c>
      <c r="W8" t="s">
        <v>277</v>
      </c>
      <c r="X8" t="s">
        <v>372</v>
      </c>
      <c r="Z8" t="str">
        <f>IF(キャラマスタ[[#This Row],[生存ステータス]]=1,1539+キャラマスタ[[#This Row],[死亡年]],"")</f>
        <v/>
      </c>
      <c r="AA8">
        <v>0</v>
      </c>
      <c r="AB8" t="s">
        <v>259</v>
      </c>
      <c r="AC8">
        <v>0</v>
      </c>
      <c r="AD8">
        <v>-4380</v>
      </c>
      <c r="AE8">
        <v>9999</v>
      </c>
      <c r="AF8" t="s">
        <v>101</v>
      </c>
      <c r="AG8" t="s">
        <v>22</v>
      </c>
      <c r="AH8" t="s">
        <v>50</v>
      </c>
    </row>
    <row r="9" spans="1:42">
      <c r="A9" t="s">
        <v>295</v>
      </c>
      <c r="B9" t="s">
        <v>5</v>
      </c>
      <c r="C9">
        <v>48</v>
      </c>
      <c r="D9">
        <f>IFERROR(キャラマスタ[[#This Row],[初登場時の年齢]]+2,"")</f>
        <v>50</v>
      </c>
      <c r="E9">
        <v>1</v>
      </c>
      <c r="F9">
        <v>1</v>
      </c>
      <c r="G9" s="2">
        <v>44144</v>
      </c>
      <c r="H9">
        <f>IFERROR(IF(キャラマスタ[[#This Row],[生存ステータス]]=1,1539-キャラマスタ[[#This Row],[初登場時の年齢]]+キャラマスタ[[#This Row],[死亡年]],1539-キャラマスタ[[#This Row],[初登場時の年齢]]),"")</f>
        <v>1491</v>
      </c>
      <c r="I9">
        <v>206</v>
      </c>
      <c r="J9" t="s">
        <v>583</v>
      </c>
      <c r="K9" t="s">
        <v>43</v>
      </c>
      <c r="L9" t="s">
        <v>53</v>
      </c>
      <c r="R9" t="s">
        <v>441</v>
      </c>
      <c r="S9" t="s">
        <v>51</v>
      </c>
      <c r="T9" t="s">
        <v>55</v>
      </c>
      <c r="V9" t="s">
        <v>274</v>
      </c>
      <c r="W9" t="s">
        <v>277</v>
      </c>
      <c r="X9" t="s">
        <v>372</v>
      </c>
      <c r="Z9" t="str">
        <f>IF(キャラマスタ[[#This Row],[生存ステータス]]=1,1539+キャラマスタ[[#This Row],[死亡年]],"")</f>
        <v/>
      </c>
      <c r="AA9">
        <v>0</v>
      </c>
      <c r="AB9" t="s">
        <v>259</v>
      </c>
      <c r="AC9">
        <v>0</v>
      </c>
      <c r="AD9">
        <v>-4015</v>
      </c>
      <c r="AE9">
        <v>9999</v>
      </c>
      <c r="AF9" t="s">
        <v>101</v>
      </c>
      <c r="AG9" t="s">
        <v>54</v>
      </c>
      <c r="AH9" t="s">
        <v>209</v>
      </c>
    </row>
    <row r="10" spans="1:42">
      <c r="A10" t="s">
        <v>296</v>
      </c>
      <c r="B10" t="s">
        <v>210</v>
      </c>
      <c r="C10" t="s">
        <v>139</v>
      </c>
      <c r="D10" t="str">
        <f>IFERROR(キャラマスタ[[#This Row],[初登場時の年齢]]+2,"")</f>
        <v/>
      </c>
      <c r="E10">
        <v>1</v>
      </c>
      <c r="F10">
        <v>1</v>
      </c>
      <c r="G10" s="2">
        <v>44646</v>
      </c>
      <c r="H10" t="str">
        <f>IFERROR(IF(キャラマスタ[[#This Row],[生存ステータス]]=1,1539-キャラマスタ[[#This Row],[初登場時の年齢]]+キャラマスタ[[#This Row],[死亡年]],1539-キャラマスタ[[#This Row],[初登場時の年齢]]),"")</f>
        <v/>
      </c>
      <c r="L10" t="s">
        <v>18</v>
      </c>
      <c r="V10" t="s">
        <v>274</v>
      </c>
      <c r="W10" t="s">
        <v>277</v>
      </c>
      <c r="X10" t="s">
        <v>379</v>
      </c>
      <c r="Z10" t="str">
        <f>IF(キャラマスタ[[#This Row],[生存ステータス]]=1,1539+キャラマスタ[[#This Row],[死亡年]],"")</f>
        <v/>
      </c>
      <c r="AA10" t="s">
        <v>275</v>
      </c>
      <c r="AB10" t="s">
        <v>280</v>
      </c>
      <c r="AC10">
        <v>0</v>
      </c>
    </row>
    <row r="11" spans="1:42">
      <c r="A11" t="s">
        <v>297</v>
      </c>
      <c r="B11" t="s">
        <v>6</v>
      </c>
      <c r="C11">
        <v>29</v>
      </c>
      <c r="D11">
        <f>IFERROR(キャラマスタ[[#This Row],[初登場時の年齢]]+2,"")</f>
        <v>31</v>
      </c>
      <c r="E11">
        <v>1</v>
      </c>
      <c r="F11">
        <v>1</v>
      </c>
      <c r="G11" s="2">
        <v>43884</v>
      </c>
      <c r="H11">
        <f>IFERROR(IF(キャラマスタ[[#This Row],[生存ステータス]]=1,1539-キャラマスタ[[#This Row],[初登場時の年齢]]+キャラマスタ[[#This Row],[死亡年]],1539-キャラマスタ[[#This Row],[初登場時の年齢]]),"")</f>
        <v>1510</v>
      </c>
      <c r="I11">
        <v>166</v>
      </c>
      <c r="L11" t="s">
        <v>18</v>
      </c>
      <c r="M11" t="s">
        <v>384</v>
      </c>
      <c r="N11" t="s">
        <v>19</v>
      </c>
      <c r="S11" t="s">
        <v>211</v>
      </c>
      <c r="T11" t="s">
        <v>57</v>
      </c>
      <c r="V11" t="s">
        <v>276</v>
      </c>
      <c r="W11" t="s">
        <v>277</v>
      </c>
      <c r="X11" t="s">
        <v>373</v>
      </c>
      <c r="Z11" t="str">
        <f>IF(キャラマスタ[[#This Row],[生存ステータス]]=1,1539+キャラマスタ[[#This Row],[死亡年]],"")</f>
        <v/>
      </c>
      <c r="AA11">
        <v>0</v>
      </c>
      <c r="AB11" t="s">
        <v>259</v>
      </c>
      <c r="AC11">
        <v>0</v>
      </c>
      <c r="AG11" t="s">
        <v>22</v>
      </c>
      <c r="AH11" t="s">
        <v>56</v>
      </c>
    </row>
    <row r="12" spans="1:42">
      <c r="A12" t="s">
        <v>410</v>
      </c>
      <c r="B12" t="s">
        <v>7</v>
      </c>
      <c r="C12">
        <v>46</v>
      </c>
      <c r="D12" t="s">
        <v>534</v>
      </c>
      <c r="E12">
        <v>1</v>
      </c>
      <c r="F12">
        <v>1</v>
      </c>
      <c r="G12" s="2">
        <v>44153</v>
      </c>
      <c r="H12">
        <f>IFERROR(IF(キャラマスタ[[#This Row],[生存ステータス]]=1,1539-キャラマスタ[[#This Row],[初登場時の年齢]]+キャラマスタ[[#This Row],[死亡年]],1539-キャラマスタ[[#This Row],[初登場時の年齢]]),"")</f>
        <v>1483</v>
      </c>
      <c r="I12">
        <v>190</v>
      </c>
      <c r="L12" t="s">
        <v>18</v>
      </c>
      <c r="R12" t="s">
        <v>442</v>
      </c>
      <c r="S12" t="s">
        <v>59</v>
      </c>
      <c r="T12" t="s">
        <v>60</v>
      </c>
      <c r="V12" t="s">
        <v>274</v>
      </c>
      <c r="W12" t="s">
        <v>277</v>
      </c>
      <c r="X12" t="s">
        <v>374</v>
      </c>
      <c r="Y12">
        <v>-10</v>
      </c>
      <c r="Z12">
        <f>IF(キャラマスタ[[#This Row],[生存ステータス]]=1,1539+キャラマスタ[[#This Row],[死亡年]],"")</f>
        <v>1529</v>
      </c>
      <c r="AA12">
        <v>1</v>
      </c>
      <c r="AB12" t="s">
        <v>259</v>
      </c>
      <c r="AC12">
        <v>0</v>
      </c>
      <c r="AD12">
        <v>-3650</v>
      </c>
      <c r="AE12">
        <v>-3640</v>
      </c>
      <c r="AF12" t="s">
        <v>100</v>
      </c>
      <c r="AG12" t="s">
        <v>54</v>
      </c>
      <c r="AH12" t="s">
        <v>58</v>
      </c>
      <c r="AP12" t="s">
        <v>150</v>
      </c>
    </row>
    <row r="13" spans="1:42">
      <c r="A13" t="s">
        <v>299</v>
      </c>
      <c r="B13" t="s">
        <v>212</v>
      </c>
      <c r="C13" t="s">
        <v>139</v>
      </c>
      <c r="D13" t="str">
        <f>IFERROR(キャラマスタ[[#This Row],[初登場時の年齢]]+2,"")</f>
        <v/>
      </c>
      <c r="E13">
        <v>1</v>
      </c>
      <c r="F13">
        <v>1</v>
      </c>
      <c r="G13" s="2">
        <v>44627</v>
      </c>
      <c r="H13" t="str">
        <f>IFERROR(IF(キャラマスタ[[#This Row],[生存ステータス]]=1,1539-キャラマスタ[[#This Row],[初登場時の年齢]]+キャラマスタ[[#This Row],[死亡年]],1539-キャラマスタ[[#This Row],[初登場時の年齢]]),"")</f>
        <v/>
      </c>
      <c r="L13" t="s">
        <v>18</v>
      </c>
      <c r="M13" t="s">
        <v>384</v>
      </c>
      <c r="N13" t="s">
        <v>19</v>
      </c>
      <c r="S13" t="s">
        <v>19</v>
      </c>
      <c r="T13" t="s">
        <v>116</v>
      </c>
      <c r="V13" t="s">
        <v>274</v>
      </c>
      <c r="W13" t="s">
        <v>277</v>
      </c>
      <c r="X13" t="s">
        <v>373</v>
      </c>
      <c r="Z13" t="str">
        <f>IF(キャラマスタ[[#This Row],[生存ステータス]]=1,1539+キャラマスタ[[#This Row],[死亡年]],"")</f>
        <v/>
      </c>
      <c r="AA13" t="s">
        <v>275</v>
      </c>
      <c r="AB13" t="s">
        <v>280</v>
      </c>
      <c r="AC13">
        <v>0</v>
      </c>
    </row>
    <row r="14" spans="1:42">
      <c r="A14" t="s">
        <v>300</v>
      </c>
      <c r="B14" t="s">
        <v>213</v>
      </c>
      <c r="C14" t="s">
        <v>139</v>
      </c>
      <c r="D14" t="str">
        <f>IFERROR(キャラマスタ[[#This Row],[初登場時の年齢]]+2,"")</f>
        <v/>
      </c>
      <c r="E14">
        <v>1</v>
      </c>
      <c r="F14">
        <v>1</v>
      </c>
      <c r="G14" s="2">
        <v>44600</v>
      </c>
      <c r="H14" t="str">
        <f>IFERROR(IF(キャラマスタ[[#This Row],[生存ステータス]]=1,1539-キャラマスタ[[#This Row],[初登場時の年齢]]+キャラマスタ[[#This Row],[死亡年]],1539-キャラマスタ[[#This Row],[初登場時の年齢]]),"")</f>
        <v/>
      </c>
      <c r="I14" t="s">
        <v>139</v>
      </c>
      <c r="L14" t="s">
        <v>18</v>
      </c>
      <c r="M14" t="s">
        <v>384</v>
      </c>
      <c r="N14" t="s">
        <v>19</v>
      </c>
      <c r="S14" t="s">
        <v>19</v>
      </c>
      <c r="T14" t="s">
        <v>116</v>
      </c>
      <c r="V14" t="s">
        <v>276</v>
      </c>
      <c r="W14" t="s">
        <v>277</v>
      </c>
      <c r="X14" t="s">
        <v>373</v>
      </c>
      <c r="Z14" t="str">
        <f>IF(キャラマスタ[[#This Row],[生存ステータス]]=1,1539+キャラマスタ[[#This Row],[死亡年]],"")</f>
        <v/>
      </c>
      <c r="AA14" t="s">
        <v>275</v>
      </c>
      <c r="AB14" t="s">
        <v>280</v>
      </c>
      <c r="AC14">
        <v>0</v>
      </c>
      <c r="AP14" t="s">
        <v>214</v>
      </c>
    </row>
    <row r="15" spans="1:42">
      <c r="A15" t="s">
        <v>301</v>
      </c>
      <c r="B15" t="s">
        <v>215</v>
      </c>
      <c r="C15" t="s">
        <v>139</v>
      </c>
      <c r="D15" t="str">
        <f>IFERROR(キャラマスタ[[#This Row],[初登場時の年齢]]+2,"")</f>
        <v/>
      </c>
      <c r="E15">
        <v>1</v>
      </c>
      <c r="F15">
        <v>1</v>
      </c>
      <c r="G15" s="2">
        <v>44620</v>
      </c>
      <c r="H15" t="str">
        <f>IFERROR(IF(キャラマスタ[[#This Row],[生存ステータス]]=1,1539-キャラマスタ[[#This Row],[初登場時の年齢]]+キャラマスタ[[#This Row],[死亡年]],1539-キャラマスタ[[#This Row],[初登場時の年齢]]),"")</f>
        <v/>
      </c>
      <c r="L15" t="s">
        <v>18</v>
      </c>
      <c r="M15" t="s">
        <v>384</v>
      </c>
      <c r="N15" t="s">
        <v>19</v>
      </c>
      <c r="S15" t="s">
        <v>19</v>
      </c>
      <c r="T15" t="s">
        <v>117</v>
      </c>
      <c r="V15" t="s">
        <v>274</v>
      </c>
      <c r="W15" t="s">
        <v>277</v>
      </c>
      <c r="X15" t="s">
        <v>373</v>
      </c>
      <c r="Z15" t="str">
        <f>IF(キャラマスタ[[#This Row],[生存ステータス]]=1,1539+キャラマスタ[[#This Row],[死亡年]],"")</f>
        <v/>
      </c>
      <c r="AA15">
        <v>0</v>
      </c>
      <c r="AB15" t="s">
        <v>259</v>
      </c>
      <c r="AC15">
        <v>0</v>
      </c>
    </row>
    <row r="16" spans="1:42">
      <c r="A16" t="s">
        <v>302</v>
      </c>
      <c r="B16" t="s">
        <v>118</v>
      </c>
      <c r="C16" t="s">
        <v>139</v>
      </c>
      <c r="D16" t="str">
        <f>IFERROR(キャラマスタ[[#This Row],[初登場時の年齢]]+2,"")</f>
        <v/>
      </c>
      <c r="E16">
        <v>1</v>
      </c>
      <c r="F16">
        <v>1</v>
      </c>
      <c r="G16" s="2">
        <v>44818</v>
      </c>
      <c r="H16" t="str">
        <f>IFERROR(IF(キャラマスタ[[#This Row],[生存ステータス]]=1,1539-キャラマスタ[[#This Row],[初登場時の年齢]]+キャラマスタ[[#This Row],[死亡年]],1539-キャラマスタ[[#This Row],[初登場時の年齢]]),"")</f>
        <v/>
      </c>
      <c r="L16" t="s">
        <v>119</v>
      </c>
      <c r="V16" t="s">
        <v>275</v>
      </c>
      <c r="W16" t="s">
        <v>279</v>
      </c>
      <c r="X16" t="s">
        <v>379</v>
      </c>
      <c r="Z16" t="str">
        <f>IF(キャラマスタ[[#This Row],[生存ステータス]]=1,1539+キャラマスタ[[#This Row],[死亡年]],"")</f>
        <v/>
      </c>
      <c r="AA16">
        <v>2</v>
      </c>
      <c r="AB16" t="s">
        <v>259</v>
      </c>
      <c r="AC16">
        <v>0</v>
      </c>
      <c r="AD16">
        <v>-3645</v>
      </c>
      <c r="AE16">
        <v>1</v>
      </c>
    </row>
    <row r="17" spans="1:42">
      <c r="A17" t="s">
        <v>303</v>
      </c>
      <c r="B17" t="s">
        <v>8</v>
      </c>
      <c r="C17">
        <v>16</v>
      </c>
      <c r="D17">
        <f>IFERROR(キャラマスタ[[#This Row],[初登場時の年齢]]+2,"")</f>
        <v>18</v>
      </c>
      <c r="E17">
        <v>1</v>
      </c>
      <c r="F17">
        <v>2</v>
      </c>
      <c r="G17" s="2">
        <v>43964</v>
      </c>
      <c r="H17">
        <f>IFERROR(IF(キャラマスタ[[#This Row],[生存ステータス]]=1,1539-キャラマスタ[[#This Row],[初登場時の年齢]]+キャラマスタ[[#This Row],[死亡年]],1539-キャラマスタ[[#This Row],[初登場時の年齢]]),"")</f>
        <v>1523</v>
      </c>
      <c r="I17">
        <v>167</v>
      </c>
      <c r="L17" t="s">
        <v>18</v>
      </c>
      <c r="R17" t="s">
        <v>446</v>
      </c>
      <c r="S17" t="s">
        <v>239</v>
      </c>
      <c r="T17" t="s">
        <v>376</v>
      </c>
      <c r="V17" t="s">
        <v>274</v>
      </c>
      <c r="W17" t="s">
        <v>277</v>
      </c>
      <c r="X17" t="s">
        <v>375</v>
      </c>
      <c r="Z17" t="str">
        <f>IF(キャラマスタ[[#This Row],[生存ステータス]]=1,1539+キャラマスタ[[#This Row],[死亡年]],"")</f>
        <v/>
      </c>
      <c r="AA17">
        <v>0</v>
      </c>
      <c r="AB17" t="s">
        <v>259</v>
      </c>
      <c r="AC17">
        <v>0</v>
      </c>
      <c r="AD17">
        <v>-730</v>
      </c>
      <c r="AE17">
        <v>9999</v>
      </c>
      <c r="AG17" t="s">
        <v>149</v>
      </c>
      <c r="AH17" t="s">
        <v>63</v>
      </c>
      <c r="AI17" t="s">
        <v>216</v>
      </c>
      <c r="AJ17" t="s">
        <v>64</v>
      </c>
      <c r="AK17" t="s">
        <v>217</v>
      </c>
      <c r="AP17" t="s">
        <v>62</v>
      </c>
    </row>
    <row r="18" spans="1:42">
      <c r="A18" t="s">
        <v>304</v>
      </c>
      <c r="B18" t="s">
        <v>9</v>
      </c>
      <c r="C18">
        <v>25</v>
      </c>
      <c r="D18">
        <f>IFERROR(キャラマスタ[[#This Row],[初登場時の年齢]]+2,"")</f>
        <v>27</v>
      </c>
      <c r="E18">
        <v>1</v>
      </c>
      <c r="F18">
        <v>2</v>
      </c>
      <c r="G18" s="2">
        <v>43904</v>
      </c>
      <c r="H18">
        <f>IFERROR(IF(キャラマスタ[[#This Row],[生存ステータス]]=1,1539-キャラマスタ[[#This Row],[初登場時の年齢]]+キャラマスタ[[#This Row],[死亡年]],1539-キャラマスタ[[#This Row],[初登場時の年齢]]),"")</f>
        <v>1514</v>
      </c>
      <c r="I18">
        <v>198</v>
      </c>
      <c r="J18" t="s">
        <v>584</v>
      </c>
      <c r="K18" t="s">
        <v>65</v>
      </c>
      <c r="L18" t="s">
        <v>18</v>
      </c>
      <c r="O18" t="s">
        <v>67</v>
      </c>
      <c r="P18" t="s">
        <v>1815</v>
      </c>
      <c r="Q18" t="s">
        <v>68</v>
      </c>
      <c r="R18" t="s">
        <v>443</v>
      </c>
      <c r="S18" t="s">
        <v>69</v>
      </c>
      <c r="T18" t="s">
        <v>39</v>
      </c>
      <c r="V18" t="s">
        <v>276</v>
      </c>
      <c r="W18" t="s">
        <v>277</v>
      </c>
      <c r="X18" t="s">
        <v>372</v>
      </c>
      <c r="Z18" t="str">
        <f>IF(キャラマスタ[[#This Row],[生存ステータス]]=1,1539+キャラマスタ[[#This Row],[死亡年]],"")</f>
        <v/>
      </c>
      <c r="AA18">
        <v>0</v>
      </c>
      <c r="AB18" t="s">
        <v>259</v>
      </c>
      <c r="AC18">
        <v>0</v>
      </c>
      <c r="AD18">
        <v>1.3</v>
      </c>
      <c r="AE18">
        <v>9999</v>
      </c>
      <c r="AF18" t="s">
        <v>99</v>
      </c>
      <c r="AG18" t="s">
        <v>22</v>
      </c>
      <c r="AH18" t="s">
        <v>66</v>
      </c>
    </row>
    <row r="19" spans="1:42">
      <c r="A19" t="s">
        <v>305</v>
      </c>
      <c r="B19" t="s">
        <v>218</v>
      </c>
      <c r="C19" t="s">
        <v>139</v>
      </c>
      <c r="D19" t="str">
        <f>IFERROR(キャラマスタ[[#This Row],[初登場時の年齢]]+2,"")</f>
        <v/>
      </c>
      <c r="E19">
        <v>1</v>
      </c>
      <c r="F19">
        <v>2</v>
      </c>
      <c r="G19" s="2">
        <v>44806</v>
      </c>
      <c r="H19" t="str">
        <f>IFERROR(IF(キャラマスタ[[#This Row],[生存ステータス]]=1,1539-キャラマスタ[[#This Row],[初登場時の年齢]]+キャラマスタ[[#This Row],[死亡年]],1539-キャラマスタ[[#This Row],[初登場時の年齢]]),"")</f>
        <v/>
      </c>
      <c r="L19" t="s">
        <v>18</v>
      </c>
      <c r="R19" t="s">
        <v>443</v>
      </c>
      <c r="S19" t="s">
        <v>69</v>
      </c>
      <c r="T19" t="s">
        <v>120</v>
      </c>
      <c r="V19" t="s">
        <v>274</v>
      </c>
      <c r="W19" t="s">
        <v>277</v>
      </c>
      <c r="X19" t="s">
        <v>372</v>
      </c>
      <c r="Z19" t="str">
        <f>IF(キャラマスタ[[#This Row],[生存ステータス]]=1,1539+キャラマスタ[[#This Row],[死亡年]],"")</f>
        <v/>
      </c>
      <c r="AA19" t="s">
        <v>275</v>
      </c>
      <c r="AB19" t="s">
        <v>280</v>
      </c>
      <c r="AC19">
        <v>0</v>
      </c>
    </row>
    <row r="20" spans="1:42">
      <c r="A20" t="s">
        <v>306</v>
      </c>
      <c r="B20" t="s">
        <v>219</v>
      </c>
      <c r="C20" t="s">
        <v>139</v>
      </c>
      <c r="D20" t="str">
        <f>IFERROR(キャラマスタ[[#This Row],[初登場時の年齢]]+2,"")</f>
        <v/>
      </c>
      <c r="E20">
        <v>1</v>
      </c>
      <c r="F20">
        <v>2</v>
      </c>
      <c r="G20" s="2">
        <v>44806</v>
      </c>
      <c r="H20" t="str">
        <f>IFERROR(IF(キャラマスタ[[#This Row],[生存ステータス]]=1,1539-キャラマスタ[[#This Row],[初登場時の年齢]]+キャラマスタ[[#This Row],[死亡年]],1539-キャラマスタ[[#This Row],[初登場時の年齢]]),"")</f>
        <v/>
      </c>
      <c r="L20" t="s">
        <v>18</v>
      </c>
      <c r="R20" t="s">
        <v>443</v>
      </c>
      <c r="S20" t="s">
        <v>69</v>
      </c>
      <c r="T20" t="s">
        <v>120</v>
      </c>
      <c r="V20" t="s">
        <v>274</v>
      </c>
      <c r="W20" t="s">
        <v>277</v>
      </c>
      <c r="X20" t="s">
        <v>372</v>
      </c>
      <c r="Z20" t="str">
        <f>IF(キャラマスタ[[#This Row],[生存ステータス]]=1,1539+キャラマスタ[[#This Row],[死亡年]],"")</f>
        <v/>
      </c>
      <c r="AA20" t="s">
        <v>275</v>
      </c>
      <c r="AB20" t="s">
        <v>280</v>
      </c>
      <c r="AC20">
        <v>0</v>
      </c>
    </row>
    <row r="21" spans="1:42">
      <c r="A21" t="s">
        <v>307</v>
      </c>
      <c r="B21" t="s">
        <v>220</v>
      </c>
      <c r="C21" t="s">
        <v>139</v>
      </c>
      <c r="D21" t="str">
        <f>IFERROR(キャラマスタ[[#This Row],[初登場時の年齢]]+2,"")</f>
        <v/>
      </c>
      <c r="E21">
        <v>1</v>
      </c>
      <c r="F21">
        <v>2</v>
      </c>
      <c r="G21" s="2">
        <v>44806</v>
      </c>
      <c r="H21" t="str">
        <f>IFERROR(IF(キャラマスタ[[#This Row],[生存ステータス]]=1,1539-キャラマスタ[[#This Row],[初登場時の年齢]]+キャラマスタ[[#This Row],[死亡年]],1539-キャラマスタ[[#This Row],[初登場時の年齢]]),"")</f>
        <v/>
      </c>
      <c r="L21" t="s">
        <v>18</v>
      </c>
      <c r="R21" t="s">
        <v>443</v>
      </c>
      <c r="S21" t="s">
        <v>69</v>
      </c>
      <c r="T21" t="s">
        <v>120</v>
      </c>
      <c r="V21" t="s">
        <v>274</v>
      </c>
      <c r="W21" t="s">
        <v>277</v>
      </c>
      <c r="X21" t="s">
        <v>372</v>
      </c>
      <c r="Z21" t="str">
        <f>IF(キャラマスタ[[#This Row],[生存ステータス]]=1,1539+キャラマスタ[[#This Row],[死亡年]],"")</f>
        <v/>
      </c>
      <c r="AA21" t="s">
        <v>275</v>
      </c>
      <c r="AB21" t="s">
        <v>280</v>
      </c>
      <c r="AC21">
        <v>0</v>
      </c>
    </row>
    <row r="22" spans="1:42">
      <c r="A22" t="s">
        <v>308</v>
      </c>
      <c r="B22" t="s">
        <v>229</v>
      </c>
      <c r="C22">
        <v>19</v>
      </c>
      <c r="D22">
        <f>IFERROR(キャラマスタ[[#This Row],[初登場時の年齢]]+2,"")</f>
        <v>21</v>
      </c>
      <c r="E22">
        <v>1</v>
      </c>
      <c r="F22">
        <v>3</v>
      </c>
      <c r="G22" s="2">
        <v>44146</v>
      </c>
      <c r="H22">
        <f>IFERROR(IF(キャラマスタ[[#This Row],[生存ステータス]]=1,1539-キャラマスタ[[#This Row],[初登場時の年齢]]+キャラマスタ[[#This Row],[死亡年]],1539-キャラマスタ[[#This Row],[初登場時の年齢]]),"")</f>
        <v>1520</v>
      </c>
      <c r="I22">
        <v>178</v>
      </c>
      <c r="J22" t="s">
        <v>400</v>
      </c>
      <c r="K22" s="9" t="s">
        <v>581</v>
      </c>
      <c r="L22" t="s">
        <v>18</v>
      </c>
      <c r="M22" t="s">
        <v>402</v>
      </c>
      <c r="N22" t="s">
        <v>71</v>
      </c>
      <c r="O22" t="s">
        <v>73</v>
      </c>
      <c r="R22" t="s">
        <v>507</v>
      </c>
      <c r="S22" t="s">
        <v>15</v>
      </c>
      <c r="T22" t="s">
        <v>74</v>
      </c>
      <c r="V22" t="s">
        <v>274</v>
      </c>
      <c r="W22" t="s">
        <v>277</v>
      </c>
      <c r="X22" t="s">
        <v>372</v>
      </c>
      <c r="Z22" t="str">
        <f>IF(キャラマスタ[[#This Row],[生存ステータス]]=1,1539+キャラマスタ[[#This Row],[死亡年]],"")</f>
        <v/>
      </c>
      <c r="AA22">
        <v>0</v>
      </c>
      <c r="AB22" t="s">
        <v>258</v>
      </c>
      <c r="AC22">
        <v>0</v>
      </c>
      <c r="AD22">
        <v>-4000</v>
      </c>
      <c r="AE22">
        <v>9999</v>
      </c>
      <c r="AF22" t="s">
        <v>100</v>
      </c>
      <c r="AG22" t="s">
        <v>29</v>
      </c>
      <c r="AH22" t="s">
        <v>72</v>
      </c>
      <c r="AK22" t="s">
        <v>159</v>
      </c>
      <c r="AP22" t="s">
        <v>70</v>
      </c>
    </row>
    <row r="23" spans="1:42">
      <c r="A23" t="s">
        <v>309</v>
      </c>
      <c r="B23" t="s">
        <v>221</v>
      </c>
      <c r="C23" t="s">
        <v>139</v>
      </c>
      <c r="D23" t="str">
        <f>IFERROR(キャラマスタ[[#This Row],[初登場時の年齢]]+2,"")</f>
        <v/>
      </c>
      <c r="E23">
        <v>1</v>
      </c>
      <c r="F23">
        <v>3</v>
      </c>
      <c r="G23" s="2">
        <v>44730</v>
      </c>
      <c r="H23" t="str">
        <f>IFERROR(IF(キャラマスタ[[#This Row],[生存ステータス]]=1,1539-キャラマスタ[[#This Row],[初登場時の年齢]]+キャラマスタ[[#This Row],[死亡年]],1539-キャラマスタ[[#This Row],[初登場時の年齢]]),"")</f>
        <v/>
      </c>
      <c r="L23" t="s">
        <v>18</v>
      </c>
      <c r="M23" t="s">
        <v>388</v>
      </c>
      <c r="N23" t="s">
        <v>77</v>
      </c>
      <c r="V23" t="s">
        <v>276</v>
      </c>
      <c r="W23" t="s">
        <v>277</v>
      </c>
      <c r="X23" t="s">
        <v>373</v>
      </c>
      <c r="Z23" t="str">
        <f>IF(キャラマスタ[[#This Row],[生存ステータス]]=1,1539+キャラマスタ[[#This Row],[死亡年]],"")</f>
        <v/>
      </c>
      <c r="AA23">
        <v>0</v>
      </c>
      <c r="AB23" t="s">
        <v>280</v>
      </c>
      <c r="AC23">
        <v>0</v>
      </c>
      <c r="AP23" t="s">
        <v>122</v>
      </c>
    </row>
    <row r="24" spans="1:42">
      <c r="A24" t="s">
        <v>310</v>
      </c>
      <c r="B24" t="s">
        <v>10</v>
      </c>
      <c r="C24">
        <v>20</v>
      </c>
      <c r="D24">
        <f>IFERROR(キャラマスタ[[#This Row],[初登場時の年齢]]+2,"")</f>
        <v>22</v>
      </c>
      <c r="E24">
        <v>1</v>
      </c>
      <c r="F24">
        <v>3</v>
      </c>
      <c r="G24" s="2">
        <v>44028</v>
      </c>
      <c r="H24">
        <f>IFERROR(IF(キャラマスタ[[#This Row],[生存ステータス]]=1,1539-キャラマスタ[[#This Row],[初登場時の年齢]]+キャラマスタ[[#This Row],[死亡年]],1539-キャラマスタ[[#This Row],[初登場時の年齢]]),"")</f>
        <v>1519</v>
      </c>
      <c r="I24">
        <v>179</v>
      </c>
      <c r="L24" t="s">
        <v>18</v>
      </c>
      <c r="M24" t="s">
        <v>388</v>
      </c>
      <c r="N24" t="s">
        <v>77</v>
      </c>
      <c r="R24" t="s">
        <v>446</v>
      </c>
      <c r="S24" t="s">
        <v>473</v>
      </c>
      <c r="T24" t="s">
        <v>474</v>
      </c>
      <c r="V24" t="s">
        <v>274</v>
      </c>
      <c r="W24" t="s">
        <v>277</v>
      </c>
      <c r="X24" t="s">
        <v>375</v>
      </c>
      <c r="Z24" t="str">
        <f>IF(キャラマスタ[[#This Row],[生存ステータス]]=1,1539+キャラマスタ[[#This Row],[死亡年]],"")</f>
        <v/>
      </c>
      <c r="AA24">
        <v>0</v>
      </c>
      <c r="AB24" t="s">
        <v>259</v>
      </c>
      <c r="AC24">
        <v>0</v>
      </c>
      <c r="AD24">
        <v>1.5</v>
      </c>
      <c r="AE24">
        <v>9999</v>
      </c>
      <c r="AG24" t="s">
        <v>22</v>
      </c>
      <c r="AH24" t="s">
        <v>80</v>
      </c>
    </row>
    <row r="25" spans="1:42">
      <c r="A25" t="s">
        <v>311</v>
      </c>
      <c r="B25" t="s">
        <v>222</v>
      </c>
      <c r="C25" t="s">
        <v>139</v>
      </c>
      <c r="D25" t="str">
        <f>IFERROR(キャラマスタ[[#This Row],[初登場時の年齢]]+2,"")</f>
        <v/>
      </c>
      <c r="E25">
        <v>1</v>
      </c>
      <c r="F25">
        <v>3</v>
      </c>
      <c r="G25" s="2">
        <v>44876</v>
      </c>
      <c r="H25" t="str">
        <f>IFERROR(IF(キャラマスタ[[#This Row],[生存ステータス]]=1,1539-キャラマスタ[[#This Row],[初登場時の年齢]]+キャラマスタ[[#This Row],[死亡年]],1539-キャラマスタ[[#This Row],[初登場時の年齢]]),"")</f>
        <v/>
      </c>
      <c r="L25" t="s">
        <v>18</v>
      </c>
      <c r="S25" t="s">
        <v>121</v>
      </c>
      <c r="V25" t="s">
        <v>275</v>
      </c>
      <c r="W25" t="s">
        <v>324</v>
      </c>
      <c r="X25" t="s">
        <v>379</v>
      </c>
      <c r="Z25" t="str">
        <f>IF(キャラマスタ[[#This Row],[生存ステータス]]=1,1539+キャラマスタ[[#This Row],[死亡年]],"")</f>
        <v/>
      </c>
      <c r="AA25" t="s">
        <v>275</v>
      </c>
      <c r="AB25" t="s">
        <v>280</v>
      </c>
      <c r="AC25">
        <v>0</v>
      </c>
    </row>
    <row r="26" spans="1:42">
      <c r="A26" t="s">
        <v>312</v>
      </c>
      <c r="B26" t="s">
        <v>223</v>
      </c>
      <c r="C26" t="s">
        <v>139</v>
      </c>
      <c r="D26" t="str">
        <f>IFERROR(キャラマスタ[[#This Row],[初登場時の年齢]]+2,"")</f>
        <v/>
      </c>
      <c r="E26">
        <v>1</v>
      </c>
      <c r="F26">
        <v>4</v>
      </c>
      <c r="G26" s="2">
        <v>44880</v>
      </c>
      <c r="H26" t="str">
        <f>IFERROR(IF(キャラマスタ[[#This Row],[生存ステータス]]=1,1539-キャラマスタ[[#This Row],[初登場時の年齢]]+キャラマスタ[[#This Row],[死亡年]],1539-キャラマスタ[[#This Row],[初登場時の年齢]]),"")</f>
        <v/>
      </c>
      <c r="L26" t="s">
        <v>18</v>
      </c>
      <c r="M26" t="s">
        <v>388</v>
      </c>
      <c r="N26" t="s">
        <v>77</v>
      </c>
      <c r="V26" t="s">
        <v>276</v>
      </c>
      <c r="W26" t="s">
        <v>277</v>
      </c>
      <c r="X26" t="s">
        <v>373</v>
      </c>
      <c r="Z26" t="str">
        <f>IF(キャラマスタ[[#This Row],[生存ステータス]]=1,1539+キャラマスタ[[#This Row],[死亡年]],"")</f>
        <v/>
      </c>
      <c r="AA26" t="s">
        <v>275</v>
      </c>
      <c r="AB26" t="s">
        <v>280</v>
      </c>
      <c r="AC26">
        <v>0</v>
      </c>
      <c r="AP26" t="s">
        <v>123</v>
      </c>
    </row>
    <row r="27" spans="1:42">
      <c r="A27" t="s">
        <v>313</v>
      </c>
      <c r="B27" t="s">
        <v>11</v>
      </c>
      <c r="C27">
        <v>42</v>
      </c>
      <c r="D27" t="s">
        <v>534</v>
      </c>
      <c r="E27">
        <v>1</v>
      </c>
      <c r="F27">
        <v>4</v>
      </c>
      <c r="G27" s="2">
        <v>43934</v>
      </c>
      <c r="H27">
        <f>IFERROR(IF(キャラマスタ[[#This Row],[生存ステータス]]=1,1539-キャラマスタ[[#This Row],[初登場時の年齢]]+キャラマスタ[[#This Row],[死亡年]],1539-キャラマスタ[[#This Row],[初登場時の年齢]]),"")</f>
        <v>1497</v>
      </c>
      <c r="I27">
        <v>285</v>
      </c>
      <c r="L27" t="s">
        <v>18</v>
      </c>
      <c r="M27" t="s">
        <v>388</v>
      </c>
      <c r="N27" t="s">
        <v>77</v>
      </c>
      <c r="O27" t="s">
        <v>82</v>
      </c>
      <c r="R27" t="s">
        <v>446</v>
      </c>
      <c r="S27" t="s">
        <v>141</v>
      </c>
      <c r="T27" t="s">
        <v>83</v>
      </c>
      <c r="V27" t="s">
        <v>274</v>
      </c>
      <c r="W27" t="s">
        <v>277</v>
      </c>
      <c r="X27" t="s">
        <v>377</v>
      </c>
      <c r="Z27" t="str">
        <f>IF(キャラマスタ[[#This Row],[生存ステータス]]=1,1539+キャラマスタ[[#This Row],[死亡年]],"")</f>
        <v/>
      </c>
      <c r="AA27">
        <v>0</v>
      </c>
      <c r="AB27" t="s">
        <v>259</v>
      </c>
      <c r="AC27">
        <v>0</v>
      </c>
      <c r="AD27">
        <v>1.5</v>
      </c>
      <c r="AE27">
        <v>9999</v>
      </c>
      <c r="AF27" t="s">
        <v>102</v>
      </c>
      <c r="AG27" t="s">
        <v>29</v>
      </c>
      <c r="AH27" t="s">
        <v>81</v>
      </c>
      <c r="AP27" t="s">
        <v>84</v>
      </c>
    </row>
    <row r="28" spans="1:42">
      <c r="A28" t="s">
        <v>314</v>
      </c>
      <c r="B28" t="s">
        <v>124</v>
      </c>
      <c r="C28" t="s">
        <v>139</v>
      </c>
      <c r="D28" t="str">
        <f>IFERROR(キャラマスタ[[#This Row],[初登場時の年齢]]+2,"")</f>
        <v/>
      </c>
      <c r="E28">
        <v>1</v>
      </c>
      <c r="F28">
        <v>4</v>
      </c>
      <c r="G28" s="2">
        <v>44731</v>
      </c>
      <c r="H28" t="str">
        <f>IFERROR(IF(キャラマスタ[[#This Row],[生存ステータス]]=1,1539-キャラマスタ[[#This Row],[初登場時の年齢]]+キャラマスタ[[#This Row],[死亡年]],1539-キャラマスタ[[#This Row],[初登場時の年齢]]),"")</f>
        <v/>
      </c>
      <c r="L28" t="s">
        <v>18</v>
      </c>
      <c r="R28" t="s">
        <v>446</v>
      </c>
      <c r="S28" t="s">
        <v>142</v>
      </c>
      <c r="T28" t="s">
        <v>125</v>
      </c>
      <c r="V28" t="s">
        <v>274</v>
      </c>
      <c r="W28" t="s">
        <v>277</v>
      </c>
      <c r="X28" t="s">
        <v>375</v>
      </c>
      <c r="Z28" t="str">
        <f>IF(キャラマスタ[[#This Row],[生存ステータス]]=1,1539+キャラマスタ[[#This Row],[死亡年]],"")</f>
        <v/>
      </c>
      <c r="AA28" t="s">
        <v>275</v>
      </c>
      <c r="AB28" t="s">
        <v>280</v>
      </c>
      <c r="AC28">
        <v>0</v>
      </c>
      <c r="AP28" t="s">
        <v>126</v>
      </c>
    </row>
    <row r="29" spans="1:42">
      <c r="A29" t="s">
        <v>315</v>
      </c>
      <c r="B29" t="s">
        <v>127</v>
      </c>
      <c r="C29" t="s">
        <v>139</v>
      </c>
      <c r="D29" t="str">
        <f>IFERROR(キャラマスタ[[#This Row],[初登場時の年齢]]+2,"")</f>
        <v/>
      </c>
      <c r="E29">
        <v>1</v>
      </c>
      <c r="F29">
        <v>4</v>
      </c>
      <c r="G29" s="2">
        <v>44609</v>
      </c>
      <c r="H29" t="str">
        <f>IFERROR(IF(キャラマスタ[[#This Row],[生存ステータス]]=1,1539-キャラマスタ[[#This Row],[初登場時の年齢]]+キャラマスタ[[#This Row],[死亡年]],1539-キャラマスタ[[#This Row],[初登場時の年齢]]),"")</f>
        <v/>
      </c>
      <c r="L29" t="s">
        <v>18</v>
      </c>
      <c r="R29" t="s">
        <v>446</v>
      </c>
      <c r="S29" t="s">
        <v>142</v>
      </c>
      <c r="T29" t="s">
        <v>103</v>
      </c>
      <c r="V29" t="s">
        <v>274</v>
      </c>
      <c r="W29" t="s">
        <v>277</v>
      </c>
      <c r="X29" t="s">
        <v>375</v>
      </c>
      <c r="Z29" t="str">
        <f>IF(キャラマスタ[[#This Row],[生存ステータス]]=1,1539+キャラマスタ[[#This Row],[死亡年]],"")</f>
        <v/>
      </c>
      <c r="AA29" t="s">
        <v>275</v>
      </c>
      <c r="AB29" t="s">
        <v>280</v>
      </c>
      <c r="AC29">
        <v>0</v>
      </c>
      <c r="AP29" t="s">
        <v>128</v>
      </c>
    </row>
    <row r="30" spans="1:42">
      <c r="A30" t="s">
        <v>316</v>
      </c>
      <c r="B30" t="s">
        <v>12</v>
      </c>
      <c r="C30">
        <v>11</v>
      </c>
      <c r="D30" t="s">
        <v>534</v>
      </c>
      <c r="E30">
        <v>1</v>
      </c>
      <c r="F30">
        <v>5</v>
      </c>
      <c r="G30" s="2">
        <v>44091</v>
      </c>
      <c r="H30">
        <f>IFERROR(IF(キャラマスタ[[#This Row],[生存ステータス]]=1,1539-キャラマスタ[[#This Row],[初登場時の年齢]]+キャラマスタ[[#This Row],[死亡年]],1539-キャラマスタ[[#This Row],[初登場時の年齢]]),"")</f>
        <v>1517</v>
      </c>
      <c r="I30">
        <v>150</v>
      </c>
      <c r="L30" t="s">
        <v>18</v>
      </c>
      <c r="M30" t="s">
        <v>402</v>
      </c>
      <c r="N30" t="s">
        <v>71</v>
      </c>
      <c r="S30" t="s">
        <v>87</v>
      </c>
      <c r="T30" t="s">
        <v>88</v>
      </c>
      <c r="V30" t="s">
        <v>276</v>
      </c>
      <c r="W30" t="s">
        <v>277</v>
      </c>
      <c r="X30" t="s">
        <v>373</v>
      </c>
      <c r="Y30">
        <v>-11</v>
      </c>
      <c r="Z30">
        <f>IF(キャラマスタ[[#This Row],[生存ステータス]]=1,1539+キャラマスタ[[#This Row],[死亡年]],"")</f>
        <v>1528</v>
      </c>
      <c r="AA30">
        <v>1</v>
      </c>
      <c r="AB30" t="s">
        <v>259</v>
      </c>
      <c r="AC30">
        <v>0</v>
      </c>
      <c r="AD30">
        <v>-4000</v>
      </c>
      <c r="AE30">
        <v>-3950</v>
      </c>
      <c r="AG30" t="s">
        <v>22</v>
      </c>
      <c r="AH30" t="s">
        <v>86</v>
      </c>
      <c r="AP30" t="s">
        <v>157</v>
      </c>
    </row>
    <row r="31" spans="1:42">
      <c r="A31" t="s">
        <v>317</v>
      </c>
      <c r="B31" t="s">
        <v>13</v>
      </c>
      <c r="C31">
        <v>49</v>
      </c>
      <c r="D31">
        <f>IFERROR(キャラマスタ[[#This Row],[初登場時の年齢]]+2,"")</f>
        <v>51</v>
      </c>
      <c r="E31">
        <v>1</v>
      </c>
      <c r="F31">
        <v>5</v>
      </c>
      <c r="G31" s="2">
        <v>43955</v>
      </c>
      <c r="H31">
        <f>IFERROR(IF(キャラマスタ[[#This Row],[生存ステータス]]=1,1539-キャラマスタ[[#This Row],[初登場時の年齢]]+キャラマスタ[[#This Row],[死亡年]],1539-キャラマスタ[[#This Row],[初登場時の年齢]]),"")</f>
        <v>1490</v>
      </c>
      <c r="I31">
        <v>184</v>
      </c>
      <c r="L31" t="s">
        <v>18</v>
      </c>
      <c r="S31" t="s">
        <v>90</v>
      </c>
      <c r="T31" t="s">
        <v>91</v>
      </c>
      <c r="V31" t="s">
        <v>274</v>
      </c>
      <c r="W31" t="s">
        <v>277</v>
      </c>
      <c r="X31" t="s">
        <v>373</v>
      </c>
      <c r="Z31" t="str">
        <f>IF(キャラマスタ[[#This Row],[生存ステータス]]=1,1539+キャラマスタ[[#This Row],[死亡年]],"")</f>
        <v/>
      </c>
      <c r="AA31">
        <v>0</v>
      </c>
      <c r="AB31" t="s">
        <v>259</v>
      </c>
      <c r="AC31">
        <v>0</v>
      </c>
      <c r="AG31" t="s">
        <v>22</v>
      </c>
      <c r="AH31" t="s">
        <v>89</v>
      </c>
      <c r="AP31" t="s">
        <v>158</v>
      </c>
    </row>
    <row r="32" spans="1:42">
      <c r="A32" t="s">
        <v>318</v>
      </c>
      <c r="B32" t="s">
        <v>129</v>
      </c>
      <c r="C32" t="s">
        <v>139</v>
      </c>
      <c r="D32" t="str">
        <f>IFERROR(キャラマスタ[[#This Row],[初登場時の年齢]]+2,"")</f>
        <v/>
      </c>
      <c r="E32">
        <v>1</v>
      </c>
      <c r="F32">
        <v>7</v>
      </c>
      <c r="G32" s="2">
        <v>44725</v>
      </c>
      <c r="H32" t="str">
        <f>IFERROR(IF(キャラマスタ[[#This Row],[生存ステータス]]=1,1539-キャラマスタ[[#This Row],[初登場時の年齢]]+キャラマスタ[[#This Row],[死亡年]],1539-キャラマスタ[[#This Row],[初登場時の年齢]]),"")</f>
        <v/>
      </c>
      <c r="L32" t="s">
        <v>18</v>
      </c>
      <c r="R32" t="s">
        <v>446</v>
      </c>
      <c r="S32" t="s">
        <v>142</v>
      </c>
      <c r="T32" t="s">
        <v>131</v>
      </c>
      <c r="V32" t="s">
        <v>274</v>
      </c>
      <c r="W32" t="s">
        <v>277</v>
      </c>
      <c r="X32" t="s">
        <v>375</v>
      </c>
      <c r="Z32" t="str">
        <f>IF(キャラマスタ[[#This Row],[生存ステータス]]=1,1539+キャラマスタ[[#This Row],[死亡年]],"")</f>
        <v/>
      </c>
      <c r="AA32" t="s">
        <v>275</v>
      </c>
      <c r="AB32" t="s">
        <v>280</v>
      </c>
      <c r="AC32">
        <v>0</v>
      </c>
      <c r="AP32" t="s">
        <v>130</v>
      </c>
    </row>
    <row r="33" spans="1:42">
      <c r="A33" t="s">
        <v>319</v>
      </c>
      <c r="B33" t="s">
        <v>132</v>
      </c>
      <c r="C33" t="s">
        <v>139</v>
      </c>
      <c r="D33" t="str">
        <f>IFERROR(キャラマスタ[[#This Row],[初登場時の年齢]]+2,"")</f>
        <v/>
      </c>
      <c r="E33">
        <v>1</v>
      </c>
      <c r="F33">
        <v>8</v>
      </c>
      <c r="G33" s="2">
        <v>44833</v>
      </c>
      <c r="H33" t="str">
        <f>IFERROR(IF(キャラマスタ[[#This Row],[生存ステータス]]=1,1539-キャラマスタ[[#This Row],[初登場時の年齢]]+キャラマスタ[[#This Row],[死亡年]],1539-キャラマスタ[[#This Row],[初登場時の年齢]]),"")</f>
        <v/>
      </c>
      <c r="L33" t="s">
        <v>18</v>
      </c>
      <c r="S33" t="s">
        <v>134</v>
      </c>
      <c r="V33" t="s">
        <v>275</v>
      </c>
      <c r="W33" t="s">
        <v>323</v>
      </c>
      <c r="X33" t="s">
        <v>379</v>
      </c>
      <c r="Z33" t="str">
        <f>IF(キャラマスタ[[#This Row],[生存ステータス]]=1,1539+キャラマスタ[[#This Row],[死亡年]],"")</f>
        <v/>
      </c>
      <c r="AA33" t="s">
        <v>275</v>
      </c>
      <c r="AB33" t="s">
        <v>280</v>
      </c>
      <c r="AC33">
        <v>0</v>
      </c>
      <c r="AP33" t="s">
        <v>133</v>
      </c>
    </row>
    <row r="34" spans="1:42">
      <c r="A34" t="s">
        <v>320</v>
      </c>
      <c r="B34" t="s">
        <v>135</v>
      </c>
      <c r="C34" t="s">
        <v>139</v>
      </c>
      <c r="D34" t="str">
        <f>IFERROR(キャラマスタ[[#This Row],[初登場時の年齢]]+2,"")</f>
        <v/>
      </c>
      <c r="E34">
        <v>1</v>
      </c>
      <c r="F34">
        <v>8</v>
      </c>
      <c r="G34" s="2">
        <v>44617</v>
      </c>
      <c r="H34" t="str">
        <f>IFERROR(IF(キャラマスタ[[#This Row],[生存ステータス]]=1,1539-キャラマスタ[[#This Row],[初登場時の年齢]]+キャラマスタ[[#This Row],[死亡年]],1539-キャラマスタ[[#This Row],[初登場時の年齢]]),"")</f>
        <v/>
      </c>
      <c r="L34" t="s">
        <v>18</v>
      </c>
      <c r="R34" t="s">
        <v>449</v>
      </c>
      <c r="S34" t="s">
        <v>97</v>
      </c>
      <c r="V34" t="s">
        <v>274</v>
      </c>
      <c r="W34" t="s">
        <v>277</v>
      </c>
      <c r="X34" t="s">
        <v>372</v>
      </c>
      <c r="Z34" t="str">
        <f>IF(キャラマスタ[[#This Row],[生存ステータス]]=1,1539+キャラマスタ[[#This Row],[死亡年]],"")</f>
        <v/>
      </c>
      <c r="AA34" t="s">
        <v>275</v>
      </c>
      <c r="AB34" t="s">
        <v>280</v>
      </c>
      <c r="AC34">
        <v>0</v>
      </c>
      <c r="AP34" t="s">
        <v>136</v>
      </c>
    </row>
    <row r="35" spans="1:42">
      <c r="A35" t="s">
        <v>321</v>
      </c>
      <c r="B35" t="s">
        <v>230</v>
      </c>
      <c r="C35">
        <v>18</v>
      </c>
      <c r="D35">
        <f>IFERROR(キャラマスタ[[#This Row],[初登場時の年齢]]+2,"")</f>
        <v>20</v>
      </c>
      <c r="E35">
        <v>1</v>
      </c>
      <c r="F35">
        <v>8</v>
      </c>
      <c r="G35" s="2">
        <v>44745</v>
      </c>
      <c r="H35">
        <f>IFERROR(IF(キャラマスタ[[#This Row],[生存ステータス]]=1,1539-キャラマスタ[[#This Row],[初登場時の年齢]]+キャラマスタ[[#This Row],[死亡年]],1539-キャラマスタ[[#This Row],[初登場時の年齢]]),"")</f>
        <v>1521</v>
      </c>
      <c r="I35">
        <v>169</v>
      </c>
      <c r="J35" t="s">
        <v>400</v>
      </c>
      <c r="K35" s="9" t="s">
        <v>581</v>
      </c>
      <c r="L35" t="s">
        <v>18</v>
      </c>
      <c r="M35" t="s">
        <v>1273</v>
      </c>
      <c r="N35" t="s">
        <v>94</v>
      </c>
      <c r="R35" t="s">
        <v>439</v>
      </c>
      <c r="S35" t="s">
        <v>237</v>
      </c>
      <c r="T35" t="s">
        <v>957</v>
      </c>
      <c r="V35" t="s">
        <v>276</v>
      </c>
      <c r="W35" t="s">
        <v>277</v>
      </c>
      <c r="X35" t="s">
        <v>378</v>
      </c>
      <c r="Z35" t="str">
        <f>IF(キャラマスタ[[#This Row],[生存ステータス]]=1,1539+キャラマスタ[[#This Row],[死亡年]],"")</f>
        <v/>
      </c>
      <c r="AA35">
        <v>0</v>
      </c>
      <c r="AB35" t="s">
        <v>258</v>
      </c>
      <c r="AC35">
        <v>0</v>
      </c>
      <c r="AD35">
        <v>-2920</v>
      </c>
      <c r="AE35">
        <v>9999</v>
      </c>
      <c r="AF35" t="s">
        <v>806</v>
      </c>
      <c r="AG35" t="s">
        <v>54</v>
      </c>
      <c r="AH35" t="s">
        <v>95</v>
      </c>
      <c r="AI35" t="s">
        <v>96</v>
      </c>
      <c r="AK35" t="s">
        <v>202</v>
      </c>
      <c r="AP35" t="s">
        <v>140</v>
      </c>
    </row>
    <row r="36" spans="1:42">
      <c r="A36" t="s">
        <v>322</v>
      </c>
      <c r="B36" t="s">
        <v>137</v>
      </c>
      <c r="C36" t="s">
        <v>139</v>
      </c>
      <c r="D36" t="str">
        <f>IFERROR(キャラマスタ[[#This Row],[初登場時の年齢]]+2,"")</f>
        <v/>
      </c>
      <c r="E36">
        <v>1</v>
      </c>
      <c r="F36">
        <v>8</v>
      </c>
      <c r="G36" s="2">
        <v>44611</v>
      </c>
      <c r="H36" t="str">
        <f>IFERROR(IF(キャラマスタ[[#This Row],[生存ステータス]]=1,1539-キャラマスタ[[#This Row],[初登場時の年齢]]+キャラマスタ[[#This Row],[死亡年]],1539-キャラマスタ[[#This Row],[初登場時の年齢]]),"")</f>
        <v/>
      </c>
      <c r="L36" t="s">
        <v>18</v>
      </c>
      <c r="R36" t="s">
        <v>449</v>
      </c>
      <c r="S36" t="s">
        <v>97</v>
      </c>
      <c r="V36" t="s">
        <v>274</v>
      </c>
      <c r="W36" t="s">
        <v>277</v>
      </c>
      <c r="X36" t="s">
        <v>372</v>
      </c>
      <c r="Z36" t="str">
        <f>IF(キャラマスタ[[#This Row],[生存ステータス]]=1,1539+キャラマスタ[[#This Row],[死亡年]],"")</f>
        <v/>
      </c>
      <c r="AA36" t="s">
        <v>275</v>
      </c>
      <c r="AB36" t="s">
        <v>280</v>
      </c>
      <c r="AC36">
        <v>0</v>
      </c>
      <c r="AP36" t="s">
        <v>138</v>
      </c>
    </row>
    <row r="37" spans="1:42">
      <c r="A37" t="s">
        <v>571</v>
      </c>
      <c r="B37" t="s">
        <v>568</v>
      </c>
      <c r="C37">
        <v>37</v>
      </c>
      <c r="D37">
        <f>IFERROR(キャラマスタ[[#This Row],[初登場時の年齢]]+2,"")</f>
        <v>39</v>
      </c>
      <c r="E37">
        <v>2</v>
      </c>
      <c r="F37">
        <v>9</v>
      </c>
      <c r="G37" s="2">
        <v>44051</v>
      </c>
      <c r="H37">
        <f>IFERROR(IF(キャラマスタ[[#This Row],[生存ステータス]]=1,1539-キャラマスタ[[#This Row],[初登場時の年齢]]+キャラマスタ[[#This Row],[死亡年]],1539-キャラマスタ[[#This Row],[初登場時の年齢]]),"")</f>
        <v>1502</v>
      </c>
      <c r="I37">
        <v>192</v>
      </c>
      <c r="J37" t="s">
        <v>585</v>
      </c>
      <c r="K37" t="s">
        <v>540</v>
      </c>
      <c r="L37" t="s">
        <v>527</v>
      </c>
      <c r="O37" t="s">
        <v>591</v>
      </c>
      <c r="P37" t="s">
        <v>592</v>
      </c>
      <c r="Q37" t="s">
        <v>528</v>
      </c>
      <c r="R37" t="s">
        <v>449</v>
      </c>
      <c r="S37" t="s">
        <v>97</v>
      </c>
      <c r="T37" t="s">
        <v>39</v>
      </c>
      <c r="V37" t="s">
        <v>274</v>
      </c>
      <c r="W37" t="s">
        <v>277</v>
      </c>
      <c r="X37" t="s">
        <v>372</v>
      </c>
      <c r="Z37" t="str">
        <f>IF(キャラマスタ[[#This Row],[生存ステータス]]=1,1539+キャラマスタ[[#This Row],[死亡年]],"")</f>
        <v/>
      </c>
      <c r="AA37">
        <v>0</v>
      </c>
      <c r="AB37" t="s">
        <v>598</v>
      </c>
      <c r="AC37">
        <v>0</v>
      </c>
      <c r="AD37">
        <v>-9125</v>
      </c>
      <c r="AE37">
        <v>9999</v>
      </c>
      <c r="AG37" t="s">
        <v>149</v>
      </c>
      <c r="AH37" t="s">
        <v>555</v>
      </c>
      <c r="AI37" t="s">
        <v>556</v>
      </c>
      <c r="AJ37" t="s">
        <v>529</v>
      </c>
      <c r="AK37" t="s">
        <v>557</v>
      </c>
      <c r="AM37" t="s">
        <v>530</v>
      </c>
      <c r="AN37" t="s">
        <v>558</v>
      </c>
      <c r="AO37" t="s">
        <v>531</v>
      </c>
      <c r="AP37" t="s">
        <v>532</v>
      </c>
    </row>
    <row r="38" spans="1:42">
      <c r="A38" t="s">
        <v>572</v>
      </c>
      <c r="B38" t="s">
        <v>533</v>
      </c>
      <c r="C38" t="s">
        <v>139</v>
      </c>
      <c r="D38" t="str">
        <f>IFERROR(キャラマスタ[[#This Row],[初登場時の年齢]]+2,"")</f>
        <v/>
      </c>
      <c r="E38">
        <v>2</v>
      </c>
      <c r="F38">
        <v>9</v>
      </c>
      <c r="G38" s="2">
        <v>44591</v>
      </c>
      <c r="H38" t="str">
        <f>IFERROR(IF(キャラマスタ[[#This Row],[生存ステータス]]=1,1539-キャラマスタ[[#This Row],[初登場時の年齢]]+キャラマスタ[[#This Row],[死亡年]],1539-キャラマスタ[[#This Row],[初登場時の年齢]]),"")</f>
        <v/>
      </c>
      <c r="S38" t="s">
        <v>535</v>
      </c>
      <c r="V38" t="s">
        <v>594</v>
      </c>
      <c r="W38" t="s">
        <v>595</v>
      </c>
      <c r="X38" t="s">
        <v>594</v>
      </c>
      <c r="Z38" t="str">
        <f>IF(キャラマスタ[[#This Row],[生存ステータス]]=1,1539+キャラマスタ[[#This Row],[死亡年]],"")</f>
        <v/>
      </c>
      <c r="AA38" t="s">
        <v>594</v>
      </c>
      <c r="AB38" t="s">
        <v>599</v>
      </c>
      <c r="AC38">
        <v>0</v>
      </c>
      <c r="AP38" t="s">
        <v>536</v>
      </c>
    </row>
    <row r="39" spans="1:42">
      <c r="A39" t="s">
        <v>573</v>
      </c>
      <c r="B39" t="s">
        <v>537</v>
      </c>
      <c r="C39" t="s">
        <v>139</v>
      </c>
      <c r="D39" t="str">
        <f>IFERROR(キャラマスタ[[#This Row],[初登場時の年齢]]+2,"")</f>
        <v/>
      </c>
      <c r="E39">
        <v>2</v>
      </c>
      <c r="F39">
        <v>10</v>
      </c>
      <c r="G39" s="2">
        <v>44755</v>
      </c>
      <c r="H39" t="str">
        <f>IFERROR(IF(キャラマスタ[[#This Row],[生存ステータス]]=1,1539-キャラマスタ[[#This Row],[初登場時の年齢]]+キャラマスタ[[#This Row],[死亡年]],1539-キャラマスタ[[#This Row],[初登場時の年齢]]),"")</f>
        <v/>
      </c>
      <c r="L39" t="s">
        <v>18</v>
      </c>
      <c r="R39" t="s">
        <v>449</v>
      </c>
      <c r="S39" t="s">
        <v>97</v>
      </c>
      <c r="V39" t="s">
        <v>274</v>
      </c>
      <c r="W39" t="s">
        <v>277</v>
      </c>
      <c r="X39" t="s">
        <v>372</v>
      </c>
      <c r="Z39" t="str">
        <f>IF(キャラマスタ[[#This Row],[生存ステータス]]=1,1539+キャラマスタ[[#This Row],[死亡年]],"")</f>
        <v/>
      </c>
      <c r="AA39" t="s">
        <v>594</v>
      </c>
      <c r="AB39" t="s">
        <v>599</v>
      </c>
      <c r="AC39">
        <v>0</v>
      </c>
      <c r="AP39" t="s">
        <v>538</v>
      </c>
    </row>
    <row r="40" spans="1:42">
      <c r="A40" t="s">
        <v>574</v>
      </c>
      <c r="B40" t="s">
        <v>539</v>
      </c>
      <c r="C40">
        <v>27</v>
      </c>
      <c r="D40">
        <f>IFERROR(キャラマスタ[[#This Row],[初登場時の年齢]]+2,"")</f>
        <v>29</v>
      </c>
      <c r="E40">
        <v>2</v>
      </c>
      <c r="F40">
        <v>12</v>
      </c>
      <c r="G40" s="2">
        <v>44105</v>
      </c>
      <c r="H40">
        <f>IFERROR(IF(キャラマスタ[[#This Row],[生存ステータス]]=1,1539-キャラマスタ[[#This Row],[初登場時の年齢]]+キャラマスタ[[#This Row],[死亡年]],1539-キャラマスタ[[#This Row],[初登場時の年齢]]),"")</f>
        <v>1512</v>
      </c>
      <c r="I40">
        <v>197</v>
      </c>
      <c r="J40" t="s">
        <v>585</v>
      </c>
      <c r="K40" t="s">
        <v>540</v>
      </c>
      <c r="L40" t="s">
        <v>18</v>
      </c>
      <c r="O40" t="s">
        <v>541</v>
      </c>
      <c r="R40" t="s">
        <v>449</v>
      </c>
      <c r="S40" t="s">
        <v>97</v>
      </c>
      <c r="T40" t="s">
        <v>55</v>
      </c>
      <c r="V40" t="s">
        <v>274</v>
      </c>
      <c r="W40" t="s">
        <v>277</v>
      </c>
      <c r="X40" t="s">
        <v>372</v>
      </c>
      <c r="Z40" t="str">
        <f>IF(キャラマスタ[[#This Row],[生存ステータス]]=1,1539+キャラマスタ[[#This Row],[死亡年]],"")</f>
        <v/>
      </c>
      <c r="AA40">
        <v>0</v>
      </c>
      <c r="AB40" t="s">
        <v>598</v>
      </c>
      <c r="AC40">
        <v>0</v>
      </c>
      <c r="AD40">
        <v>1.8</v>
      </c>
      <c r="AE40">
        <v>9999</v>
      </c>
      <c r="AG40" t="s">
        <v>22</v>
      </c>
      <c r="AH40" t="s">
        <v>559</v>
      </c>
    </row>
    <row r="41" spans="1:42">
      <c r="A41" t="s">
        <v>575</v>
      </c>
      <c r="B41" t="s">
        <v>560</v>
      </c>
      <c r="C41" t="s">
        <v>139</v>
      </c>
      <c r="D41" t="str">
        <f>IFERROR(キャラマスタ[[#This Row],[初登場時の年齢]]+2,"")</f>
        <v/>
      </c>
      <c r="E41">
        <v>2</v>
      </c>
      <c r="F41">
        <v>12</v>
      </c>
      <c r="G41" s="2">
        <v>44765</v>
      </c>
      <c r="H41" t="str">
        <f>IFERROR(IF(キャラマスタ[[#This Row],[生存ステータス]]=1,1539-キャラマスタ[[#This Row],[初登場時の年齢]]+キャラマスタ[[#This Row],[死亡年]],1539-キャラマスタ[[#This Row],[初登場時の年齢]]),"")</f>
        <v/>
      </c>
      <c r="J41" t="s">
        <v>585</v>
      </c>
      <c r="K41" t="s">
        <v>540</v>
      </c>
      <c r="L41" t="s">
        <v>18</v>
      </c>
      <c r="V41" t="s">
        <v>594</v>
      </c>
      <c r="W41" t="s">
        <v>596</v>
      </c>
      <c r="X41" t="s">
        <v>372</v>
      </c>
      <c r="Z41" t="str">
        <f>IF(キャラマスタ[[#This Row],[生存ステータス]]=1,1539+キャラマスタ[[#This Row],[死亡年]],"")</f>
        <v/>
      </c>
      <c r="AA41">
        <v>0</v>
      </c>
      <c r="AB41" t="s">
        <v>598</v>
      </c>
      <c r="AC41">
        <v>0</v>
      </c>
      <c r="AH41" t="s">
        <v>542</v>
      </c>
    </row>
    <row r="42" spans="1:42">
      <c r="A42" t="s">
        <v>576</v>
      </c>
      <c r="B42" t="s">
        <v>561</v>
      </c>
      <c r="C42">
        <v>12</v>
      </c>
      <c r="D42">
        <f>IFERROR(キャラマスタ[[#This Row],[初登場時の年齢]]+2,"")</f>
        <v>14</v>
      </c>
      <c r="E42">
        <v>2</v>
      </c>
      <c r="F42">
        <v>12</v>
      </c>
      <c r="G42" s="2">
        <v>44887</v>
      </c>
      <c r="H42">
        <f>IFERROR(IF(キャラマスタ[[#This Row],[生存ステータス]]=1,1539-キャラマスタ[[#This Row],[初登場時の年齢]]+キャラマスタ[[#This Row],[死亡年]],1539-キャラマスタ[[#This Row],[初登場時の年齢]]),"")</f>
        <v>1527</v>
      </c>
      <c r="I42">
        <v>40</v>
      </c>
      <c r="L42" t="s">
        <v>18</v>
      </c>
      <c r="M42" t="s">
        <v>403</v>
      </c>
      <c r="N42" t="s">
        <v>562</v>
      </c>
      <c r="S42" t="s">
        <v>543</v>
      </c>
      <c r="T42" t="s">
        <v>544</v>
      </c>
      <c r="V42" t="s">
        <v>594</v>
      </c>
      <c r="W42" t="s">
        <v>597</v>
      </c>
      <c r="X42" t="s">
        <v>594</v>
      </c>
      <c r="Z42" t="str">
        <f>IF(キャラマスタ[[#This Row],[生存ステータス]]=1,1539+キャラマスタ[[#This Row],[死亡年]],"")</f>
        <v/>
      </c>
      <c r="AA42">
        <v>0</v>
      </c>
      <c r="AB42" t="s">
        <v>598</v>
      </c>
      <c r="AC42">
        <v>0</v>
      </c>
      <c r="AD42">
        <v>-3640</v>
      </c>
      <c r="AE42">
        <v>11.5</v>
      </c>
      <c r="AH42" t="s">
        <v>563</v>
      </c>
      <c r="AP42" t="s">
        <v>545</v>
      </c>
    </row>
    <row r="43" spans="1:42">
      <c r="A43" t="s">
        <v>577</v>
      </c>
      <c r="B43" t="s">
        <v>546</v>
      </c>
      <c r="C43">
        <v>73</v>
      </c>
      <c r="D43">
        <f>IFERROR(キャラマスタ[[#This Row],[初登場時の年齢]]+2,"")</f>
        <v>75</v>
      </c>
      <c r="E43">
        <v>2</v>
      </c>
      <c r="F43">
        <v>12</v>
      </c>
      <c r="G43" s="2">
        <v>43846</v>
      </c>
      <c r="H43">
        <f>IFERROR(IF(キャラマスタ[[#This Row],[生存ステータス]]=1,1539-キャラマスタ[[#This Row],[初登場時の年齢]]+キャラマスタ[[#This Row],[死亡年]],1539-キャラマスタ[[#This Row],[初登場時の年齢]]),"")</f>
        <v>1466</v>
      </c>
      <c r="I43">
        <v>172</v>
      </c>
      <c r="L43" t="s">
        <v>18</v>
      </c>
      <c r="M43" t="s">
        <v>403</v>
      </c>
      <c r="N43" t="s">
        <v>543</v>
      </c>
      <c r="S43" t="s">
        <v>543</v>
      </c>
      <c r="T43" t="s">
        <v>547</v>
      </c>
      <c r="V43" t="s">
        <v>274</v>
      </c>
      <c r="W43" t="s">
        <v>277</v>
      </c>
      <c r="X43" t="s">
        <v>373</v>
      </c>
      <c r="Z43" t="str">
        <f>IF(キャラマスタ[[#This Row],[生存ステータス]]=1,1539+キャラマスタ[[#This Row],[死亡年]],"")</f>
        <v/>
      </c>
      <c r="AA43">
        <v>0</v>
      </c>
      <c r="AB43" t="s">
        <v>598</v>
      </c>
      <c r="AC43">
        <v>0</v>
      </c>
      <c r="AD43">
        <v>-14600</v>
      </c>
      <c r="AE43">
        <v>11.5</v>
      </c>
      <c r="AG43" t="s">
        <v>149</v>
      </c>
      <c r="AH43" t="s">
        <v>564</v>
      </c>
    </row>
    <row r="44" spans="1:42">
      <c r="A44" t="s">
        <v>578</v>
      </c>
      <c r="B44" t="s">
        <v>565</v>
      </c>
      <c r="C44" t="s">
        <v>139</v>
      </c>
      <c r="D44" t="str">
        <f>IFERROR(キャラマスタ[[#This Row],[初登場時の年齢]]+2,"")</f>
        <v/>
      </c>
      <c r="E44">
        <v>2</v>
      </c>
      <c r="F44">
        <v>12</v>
      </c>
      <c r="G44" s="2">
        <v>44698</v>
      </c>
      <c r="H44" t="str">
        <f>IFERROR(IF(キャラマスタ[[#This Row],[生存ステータス]]=1,1539-キャラマスタ[[#This Row],[初登場時の年齢]]+キャラマスタ[[#This Row],[死亡年]],1539-キャラマスタ[[#This Row],[初登場時の年齢]]),"")</f>
        <v/>
      </c>
      <c r="L44" t="s">
        <v>18</v>
      </c>
      <c r="M44" t="s">
        <v>403</v>
      </c>
      <c r="N44" t="s">
        <v>562</v>
      </c>
      <c r="S44" t="s">
        <v>548</v>
      </c>
      <c r="T44" t="s">
        <v>549</v>
      </c>
      <c r="V44" t="s">
        <v>274</v>
      </c>
      <c r="W44" t="s">
        <v>277</v>
      </c>
      <c r="X44" t="s">
        <v>373</v>
      </c>
      <c r="Z44" t="str">
        <f>IF(キャラマスタ[[#This Row],[生存ステータス]]=1,1539+キャラマスタ[[#This Row],[死亡年]],"")</f>
        <v/>
      </c>
      <c r="AA44" t="s">
        <v>594</v>
      </c>
      <c r="AB44" t="s">
        <v>599</v>
      </c>
      <c r="AC44">
        <v>0</v>
      </c>
    </row>
    <row r="45" spans="1:42">
      <c r="A45" t="s">
        <v>579</v>
      </c>
      <c r="B45" t="s">
        <v>566</v>
      </c>
      <c r="C45" t="s">
        <v>139</v>
      </c>
      <c r="D45" t="str">
        <f>IFERROR(キャラマスタ[[#This Row],[初登場時の年齢]]+2,"")</f>
        <v/>
      </c>
      <c r="E45">
        <v>2</v>
      </c>
      <c r="F45">
        <v>14</v>
      </c>
      <c r="G45" s="2">
        <v>44692</v>
      </c>
      <c r="H45" t="str">
        <f>IFERROR(IF(キャラマスタ[[#This Row],[生存ステータス]]=1,1539-キャラマスタ[[#This Row],[初登場時の年齢]]+キャラマスタ[[#This Row],[死亡年]],1539-キャラマスタ[[#This Row],[初登場時の年齢]]),"")</f>
        <v/>
      </c>
      <c r="L45" t="s">
        <v>18</v>
      </c>
      <c r="M45" t="s">
        <v>403</v>
      </c>
      <c r="N45" t="s">
        <v>562</v>
      </c>
      <c r="S45" t="s">
        <v>550</v>
      </c>
      <c r="V45" t="s">
        <v>274</v>
      </c>
      <c r="W45" t="s">
        <v>277</v>
      </c>
      <c r="X45" t="s">
        <v>373</v>
      </c>
      <c r="Z45" t="str">
        <f>IF(キャラマスタ[[#This Row],[生存ステータス]]=1,1539+キャラマスタ[[#This Row],[死亡年]],"")</f>
        <v/>
      </c>
      <c r="AA45" t="s">
        <v>594</v>
      </c>
      <c r="AB45" t="s">
        <v>599</v>
      </c>
      <c r="AC45">
        <v>0</v>
      </c>
      <c r="AP45" t="s">
        <v>551</v>
      </c>
    </row>
    <row r="46" spans="1:42">
      <c r="A46" t="s">
        <v>580</v>
      </c>
      <c r="B46" t="s">
        <v>552</v>
      </c>
      <c r="C46">
        <v>32</v>
      </c>
      <c r="D46">
        <f>IFERROR(キャラマスタ[[#This Row],[初登場時の年齢]]+2,"")</f>
        <v>34</v>
      </c>
      <c r="E46">
        <v>2</v>
      </c>
      <c r="F46">
        <v>15</v>
      </c>
      <c r="G46" s="2">
        <v>44082</v>
      </c>
      <c r="H46">
        <f>IFERROR(IF(キャラマスタ[[#This Row],[生存ステータス]]=1,1539-キャラマスタ[[#This Row],[初登場時の年齢]]+キャラマスタ[[#This Row],[死亡年]],1539-キャラマスタ[[#This Row],[初登場時の年齢]]),"")</f>
        <v>1507</v>
      </c>
      <c r="I46">
        <v>208</v>
      </c>
      <c r="J46" t="s">
        <v>585</v>
      </c>
      <c r="K46" t="s">
        <v>540</v>
      </c>
      <c r="L46" t="s">
        <v>18</v>
      </c>
      <c r="O46" t="s">
        <v>553</v>
      </c>
      <c r="R46" t="s">
        <v>449</v>
      </c>
      <c r="S46" t="s">
        <v>97</v>
      </c>
      <c r="T46" t="s">
        <v>554</v>
      </c>
      <c r="V46" t="s">
        <v>274</v>
      </c>
      <c r="W46" t="s">
        <v>277</v>
      </c>
      <c r="X46" t="s">
        <v>372</v>
      </c>
      <c r="Z46" t="str">
        <f>IF(キャラマスタ[[#This Row],[生存ステータス]]=1,1539+キャラマスタ[[#This Row],[死亡年]],"")</f>
        <v/>
      </c>
      <c r="AA46">
        <v>0</v>
      </c>
      <c r="AB46" t="s">
        <v>598</v>
      </c>
      <c r="AC46">
        <v>0</v>
      </c>
      <c r="AD46">
        <v>1.8</v>
      </c>
      <c r="AE46">
        <v>9999</v>
      </c>
      <c r="AG46" t="s">
        <v>54</v>
      </c>
      <c r="AH46" t="s">
        <v>567</v>
      </c>
    </row>
    <row r="47" spans="1:42">
      <c r="A47" t="s">
        <v>716</v>
      </c>
      <c r="B47" t="s">
        <v>665</v>
      </c>
      <c r="C47" t="s">
        <v>534</v>
      </c>
      <c r="D47" t="str">
        <f>IFERROR(キャラマスタ[[#This Row],[初登場時の年齢]]+2,"")</f>
        <v/>
      </c>
      <c r="E47">
        <v>3</v>
      </c>
      <c r="F47">
        <v>22</v>
      </c>
      <c r="G47" s="11">
        <v>44611</v>
      </c>
      <c r="H47" t="str">
        <f>IFERROR(IF(キャラマスタ[[#This Row],[生存ステータス]]=1,1539-キャラマスタ[[#This Row],[初登場時の年齢]]+キャラマスタ[[#This Row],[死亡年]],1539-キャラマスタ[[#This Row],[初登場時の年齢]]),"")</f>
        <v/>
      </c>
      <c r="L47" t="s">
        <v>18</v>
      </c>
      <c r="M47" t="s">
        <v>729</v>
      </c>
      <c r="N47" t="s">
        <v>666</v>
      </c>
      <c r="S47" t="s">
        <v>667</v>
      </c>
      <c r="V47" t="s">
        <v>738</v>
      </c>
      <c r="W47" t="s">
        <v>739</v>
      </c>
      <c r="X47" t="s">
        <v>738</v>
      </c>
      <c r="Z47" t="str">
        <f>IF(キャラマスタ[[#This Row],[生存ステータス]]=1,1539+キャラマスタ[[#This Row],[死亡年]],"")</f>
        <v/>
      </c>
      <c r="AA47" t="s">
        <v>738</v>
      </c>
      <c r="AB47" t="s">
        <v>742</v>
      </c>
      <c r="AC47">
        <v>0</v>
      </c>
      <c r="AP47" t="s">
        <v>668</v>
      </c>
    </row>
    <row r="48" spans="1:42">
      <c r="A48" t="s">
        <v>717</v>
      </c>
      <c r="B48" t="s">
        <v>669</v>
      </c>
      <c r="C48">
        <v>43</v>
      </c>
      <c r="D48">
        <f>IFERROR(キャラマスタ[[#This Row],[初登場時の年齢]]+2,"")</f>
        <v>45</v>
      </c>
      <c r="E48">
        <v>3</v>
      </c>
      <c r="F48">
        <v>22</v>
      </c>
      <c r="G48" s="11">
        <v>44048</v>
      </c>
      <c r="H48">
        <f>IFERROR(IF(キャラマスタ[[#This Row],[生存ステータス]]=1,1539-キャラマスタ[[#This Row],[初登場時の年齢]]+キャラマスタ[[#This Row],[死亡年]],1539-キャラマスタ[[#This Row],[初登場時の年齢]]),"")</f>
        <v>1496</v>
      </c>
      <c r="I48">
        <v>130</v>
      </c>
      <c r="J48" t="s">
        <v>586</v>
      </c>
      <c r="K48" t="s">
        <v>670</v>
      </c>
      <c r="L48" t="s">
        <v>18</v>
      </c>
      <c r="S48" t="s">
        <v>666</v>
      </c>
      <c r="T48" t="s">
        <v>671</v>
      </c>
      <c r="V48" t="s">
        <v>274</v>
      </c>
      <c r="W48" t="s">
        <v>277</v>
      </c>
      <c r="X48" t="s">
        <v>740</v>
      </c>
      <c r="Z48" t="str">
        <f>IF(キャラマスタ[[#This Row],[生存ステータス]]=1,1539+キャラマスタ[[#This Row],[死亡年]],"")</f>
        <v/>
      </c>
      <c r="AA48">
        <v>0</v>
      </c>
      <c r="AB48" t="s">
        <v>743</v>
      </c>
      <c r="AC48">
        <v>0</v>
      </c>
      <c r="AD48">
        <v>-7300</v>
      </c>
      <c r="AE48">
        <v>9999</v>
      </c>
      <c r="AG48" t="s">
        <v>475</v>
      </c>
      <c r="AH48" t="s">
        <v>672</v>
      </c>
      <c r="AP48" t="s">
        <v>673</v>
      </c>
    </row>
    <row r="49" spans="1:42">
      <c r="A49" t="s">
        <v>718</v>
      </c>
      <c r="B49" t="s">
        <v>728</v>
      </c>
      <c r="C49">
        <v>17</v>
      </c>
      <c r="D49">
        <f>IFERROR(キャラマスタ[[#This Row],[初登場時の年齢]]+2,"")</f>
        <v>19</v>
      </c>
      <c r="E49">
        <v>3</v>
      </c>
      <c r="F49">
        <v>23</v>
      </c>
      <c r="G49" s="11">
        <v>44652</v>
      </c>
      <c r="H49">
        <f>IFERROR(IF(キャラマスタ[[#This Row],[生存ステータス]]=1,1539-キャラマスタ[[#This Row],[初登場時の年齢]]+キャラマスタ[[#This Row],[死亡年]],1539-キャラマスタ[[#This Row],[初登場時の年齢]]),"")</f>
        <v>1522</v>
      </c>
      <c r="I49">
        <v>174</v>
      </c>
      <c r="J49" t="s">
        <v>400</v>
      </c>
      <c r="K49" s="9" t="s">
        <v>581</v>
      </c>
      <c r="L49" t="s">
        <v>18</v>
      </c>
      <c r="M49" t="s">
        <v>730</v>
      </c>
      <c r="N49" t="s">
        <v>49</v>
      </c>
      <c r="R49" t="s">
        <v>439</v>
      </c>
      <c r="S49" t="s">
        <v>237</v>
      </c>
      <c r="T49" t="s">
        <v>956</v>
      </c>
      <c r="V49" t="s">
        <v>274</v>
      </c>
      <c r="W49" t="s">
        <v>277</v>
      </c>
      <c r="X49" t="s">
        <v>373</v>
      </c>
      <c r="Z49" t="str">
        <f>IF(キャラマスタ[[#This Row],[生存ステータス]]=1,1539+キャラマスタ[[#This Row],[死亡年]],"")</f>
        <v/>
      </c>
      <c r="AA49">
        <v>0</v>
      </c>
      <c r="AB49" t="s">
        <v>744</v>
      </c>
      <c r="AC49">
        <v>0</v>
      </c>
      <c r="AD49">
        <v>-4200</v>
      </c>
      <c r="AE49">
        <v>9999</v>
      </c>
      <c r="AF49" t="s">
        <v>805</v>
      </c>
      <c r="AG49" t="s">
        <v>686</v>
      </c>
      <c r="AH49" t="s">
        <v>712</v>
      </c>
      <c r="AI49" t="s">
        <v>713</v>
      </c>
      <c r="AK49" t="s">
        <v>714</v>
      </c>
      <c r="AP49" t="s">
        <v>715</v>
      </c>
    </row>
    <row r="50" spans="1:42">
      <c r="A50" t="s">
        <v>719</v>
      </c>
      <c r="B50" t="s">
        <v>674</v>
      </c>
      <c r="C50" t="s">
        <v>139</v>
      </c>
      <c r="D50" t="str">
        <f>IFERROR(キャラマスタ[[#This Row],[初登場時の年齢]]+2,"")</f>
        <v/>
      </c>
      <c r="E50">
        <v>3</v>
      </c>
      <c r="F50">
        <v>23</v>
      </c>
      <c r="G50" s="11">
        <v>44849</v>
      </c>
      <c r="H50" t="str">
        <f>IFERROR(IF(キャラマスタ[[#This Row],[生存ステータス]]=1,1539-キャラマスタ[[#This Row],[初登場時の年齢]]+キャラマスタ[[#This Row],[死亡年]],1539-キャラマスタ[[#This Row],[初登場時の年齢]]),"")</f>
        <v/>
      </c>
      <c r="L50" t="s">
        <v>18</v>
      </c>
      <c r="M50" t="s">
        <v>730</v>
      </c>
      <c r="N50" t="s">
        <v>49</v>
      </c>
      <c r="S50" t="s">
        <v>49</v>
      </c>
      <c r="T50" t="s">
        <v>117</v>
      </c>
      <c r="V50" t="s">
        <v>274</v>
      </c>
      <c r="W50" t="s">
        <v>277</v>
      </c>
      <c r="X50" t="s">
        <v>373</v>
      </c>
      <c r="Z50" t="str">
        <f>IF(キャラマスタ[[#This Row],[生存ステータス]]=1,1539+キャラマスタ[[#This Row],[死亡年]],"")</f>
        <v/>
      </c>
      <c r="AA50" t="s">
        <v>738</v>
      </c>
      <c r="AB50" t="s">
        <v>742</v>
      </c>
      <c r="AC50">
        <v>0</v>
      </c>
      <c r="AP50" t="s">
        <v>675</v>
      </c>
    </row>
    <row r="51" spans="1:42">
      <c r="A51" t="s">
        <v>720</v>
      </c>
      <c r="B51" t="s">
        <v>676</v>
      </c>
      <c r="C51">
        <v>9</v>
      </c>
      <c r="D51">
        <f>IFERROR(キャラマスタ[[#This Row],[初登場時の年齢]]+2,"")</f>
        <v>11</v>
      </c>
      <c r="E51">
        <v>3</v>
      </c>
      <c r="F51">
        <v>23</v>
      </c>
      <c r="G51" s="11">
        <v>43863</v>
      </c>
      <c r="H51">
        <f>IFERROR(IF(キャラマスタ[[#This Row],[生存ステータス]]=1,1539-キャラマスタ[[#This Row],[初登場時の年齢]]+キャラマスタ[[#This Row],[死亡年]],1539-キャラマスタ[[#This Row],[初登場時の年齢]]),"")</f>
        <v>1530</v>
      </c>
      <c r="I51">
        <v>127</v>
      </c>
      <c r="L51" t="s">
        <v>18</v>
      </c>
      <c r="M51" t="s">
        <v>730</v>
      </c>
      <c r="N51" t="s">
        <v>49</v>
      </c>
      <c r="R51" t="s">
        <v>450</v>
      </c>
      <c r="S51" t="s">
        <v>677</v>
      </c>
      <c r="T51" t="s">
        <v>678</v>
      </c>
      <c r="V51" t="s">
        <v>274</v>
      </c>
      <c r="W51" t="s">
        <v>277</v>
      </c>
      <c r="X51" t="s">
        <v>373</v>
      </c>
      <c r="Z51" t="str">
        <f>IF(キャラマスタ[[#This Row],[生存ステータス]]=1,1539+キャラマスタ[[#This Row],[死亡年]],"")</f>
        <v/>
      </c>
      <c r="AA51">
        <v>0</v>
      </c>
      <c r="AB51" t="s">
        <v>743</v>
      </c>
      <c r="AC51">
        <v>0</v>
      </c>
      <c r="AG51" t="s">
        <v>475</v>
      </c>
      <c r="AH51" t="s">
        <v>679</v>
      </c>
      <c r="AP51" t="s">
        <v>680</v>
      </c>
    </row>
    <row r="52" spans="1:42">
      <c r="A52" t="s">
        <v>721</v>
      </c>
      <c r="B52" t="s">
        <v>681</v>
      </c>
      <c r="C52">
        <v>9</v>
      </c>
      <c r="D52">
        <f>IFERROR(キャラマスタ[[#This Row],[初登場時の年齢]]+2,"")</f>
        <v>11</v>
      </c>
      <c r="E52">
        <v>3</v>
      </c>
      <c r="F52">
        <v>23</v>
      </c>
      <c r="G52" s="11">
        <v>43930</v>
      </c>
      <c r="H52">
        <f>IFERROR(IF(キャラマスタ[[#This Row],[生存ステータス]]=1,1539-キャラマスタ[[#This Row],[初登場時の年齢]]+キャラマスタ[[#This Row],[死亡年]],1539-キャラマスタ[[#This Row],[初登場時の年齢]]),"")</f>
        <v>1530</v>
      </c>
      <c r="I52">
        <v>120</v>
      </c>
      <c r="L52" t="s">
        <v>18</v>
      </c>
      <c r="M52" t="s">
        <v>730</v>
      </c>
      <c r="N52" t="s">
        <v>49</v>
      </c>
      <c r="R52" t="s">
        <v>450</v>
      </c>
      <c r="S52" t="s">
        <v>677</v>
      </c>
      <c r="T52" t="s">
        <v>678</v>
      </c>
      <c r="V52" t="s">
        <v>274</v>
      </c>
      <c r="W52" t="s">
        <v>277</v>
      </c>
      <c r="X52" t="s">
        <v>373</v>
      </c>
      <c r="Z52" t="str">
        <f>IF(キャラマスタ[[#This Row],[生存ステータス]]=1,1539+キャラマスタ[[#This Row],[死亡年]],"")</f>
        <v/>
      </c>
      <c r="AA52">
        <v>0</v>
      </c>
      <c r="AB52" t="s">
        <v>743</v>
      </c>
      <c r="AC52">
        <v>0</v>
      </c>
      <c r="AG52" t="s">
        <v>682</v>
      </c>
      <c r="AH52" t="s">
        <v>683</v>
      </c>
      <c r="AP52" t="s">
        <v>684</v>
      </c>
    </row>
    <row r="53" spans="1:42">
      <c r="A53" t="s">
        <v>722</v>
      </c>
      <c r="B53" t="s">
        <v>685</v>
      </c>
      <c r="C53">
        <v>9</v>
      </c>
      <c r="D53">
        <f>IFERROR(キャラマスタ[[#This Row],[初登場時の年齢]]+2,"")</f>
        <v>11</v>
      </c>
      <c r="E53">
        <v>3</v>
      </c>
      <c r="F53">
        <v>23</v>
      </c>
      <c r="G53" s="11">
        <v>43931</v>
      </c>
      <c r="H53">
        <f>IFERROR(IF(キャラマスタ[[#This Row],[生存ステータス]]=1,1539-キャラマスタ[[#This Row],[初登場時の年齢]]+キャラマスタ[[#This Row],[死亡年]],1539-キャラマスタ[[#This Row],[初登場時の年齢]]),"")</f>
        <v>1530</v>
      </c>
      <c r="I53">
        <v>124</v>
      </c>
      <c r="L53" t="s">
        <v>18</v>
      </c>
      <c r="M53" t="s">
        <v>730</v>
      </c>
      <c r="N53" t="s">
        <v>49</v>
      </c>
      <c r="R53" t="s">
        <v>450</v>
      </c>
      <c r="S53" t="s">
        <v>677</v>
      </c>
      <c r="T53" t="s">
        <v>678</v>
      </c>
      <c r="V53" t="s">
        <v>274</v>
      </c>
      <c r="W53" t="s">
        <v>277</v>
      </c>
      <c r="X53" t="s">
        <v>373</v>
      </c>
      <c r="Z53" t="str">
        <f>IF(キャラマスタ[[#This Row],[生存ステータス]]=1,1539+キャラマスタ[[#This Row],[死亡年]],"")</f>
        <v/>
      </c>
      <c r="AA53">
        <v>0</v>
      </c>
      <c r="AB53" t="s">
        <v>743</v>
      </c>
      <c r="AC53">
        <v>0</v>
      </c>
      <c r="AG53" t="s">
        <v>686</v>
      </c>
      <c r="AH53" t="s">
        <v>687</v>
      </c>
      <c r="AP53" t="s">
        <v>688</v>
      </c>
    </row>
    <row r="54" spans="1:42">
      <c r="A54" t="s">
        <v>723</v>
      </c>
      <c r="B54" t="s">
        <v>689</v>
      </c>
      <c r="C54">
        <v>33</v>
      </c>
      <c r="D54">
        <f>IFERROR(キャラマスタ[[#This Row],[初登場時の年齢]]+2,"")</f>
        <v>35</v>
      </c>
      <c r="E54">
        <v>3</v>
      </c>
      <c r="F54">
        <v>24</v>
      </c>
      <c r="G54" s="11">
        <v>43943</v>
      </c>
      <c r="H54">
        <f>IFERROR(IF(キャラマスタ[[#This Row],[生存ステータス]]=1,1539-キャラマスタ[[#This Row],[初登場時の年齢]]+キャラマスタ[[#This Row],[死亡年]],1539-キャラマスタ[[#This Row],[初登場時の年齢]]),"")</f>
        <v>1506</v>
      </c>
      <c r="I54">
        <v>207</v>
      </c>
      <c r="J54" t="s">
        <v>587</v>
      </c>
      <c r="K54" t="s">
        <v>690</v>
      </c>
      <c r="L54" t="s">
        <v>18</v>
      </c>
      <c r="O54" t="s">
        <v>691</v>
      </c>
      <c r="R54" t="s">
        <v>737</v>
      </c>
      <c r="S54" t="s">
        <v>692</v>
      </c>
      <c r="T54" t="s">
        <v>693</v>
      </c>
      <c r="V54" t="s">
        <v>274</v>
      </c>
      <c r="W54" t="s">
        <v>277</v>
      </c>
      <c r="X54" t="s">
        <v>740</v>
      </c>
      <c r="Z54" t="str">
        <f>IF(キャラマスタ[[#This Row],[生存ステータス]]=1,1539+キャラマスタ[[#This Row],[死亡年]],"")</f>
        <v/>
      </c>
      <c r="AA54">
        <v>0</v>
      </c>
      <c r="AB54" t="s">
        <v>743</v>
      </c>
      <c r="AC54">
        <v>0</v>
      </c>
      <c r="AD54">
        <v>-1095</v>
      </c>
      <c r="AE54">
        <v>11.5</v>
      </c>
      <c r="AF54" t="s">
        <v>694</v>
      </c>
      <c r="AG54" t="s">
        <v>475</v>
      </c>
      <c r="AH54" t="s">
        <v>695</v>
      </c>
      <c r="AP54" t="s">
        <v>696</v>
      </c>
    </row>
    <row r="55" spans="1:42">
      <c r="A55" t="s">
        <v>724</v>
      </c>
      <c r="B55" t="s">
        <v>697</v>
      </c>
      <c r="C55">
        <v>17</v>
      </c>
      <c r="D55">
        <f>IFERROR(キャラマスタ[[#This Row],[初登場時の年齢]]+2,"")</f>
        <v>19</v>
      </c>
      <c r="E55">
        <v>3</v>
      </c>
      <c r="F55">
        <v>24</v>
      </c>
      <c r="G55" s="11">
        <v>44067</v>
      </c>
      <c r="H55">
        <f>IFERROR(IF(キャラマスタ[[#This Row],[生存ステータス]]=1,1539-キャラマスタ[[#This Row],[初登場時の年齢]]+キャラマスタ[[#This Row],[死亡年]],1539-キャラマスタ[[#This Row],[初登場時の年齢]]),"")</f>
        <v>1522</v>
      </c>
      <c r="I55">
        <v>169</v>
      </c>
      <c r="L55" t="s">
        <v>18</v>
      </c>
      <c r="M55" t="s">
        <v>730</v>
      </c>
      <c r="N55" t="s">
        <v>49</v>
      </c>
      <c r="S55" t="s">
        <v>49</v>
      </c>
      <c r="T55" t="s">
        <v>698</v>
      </c>
      <c r="V55" t="s">
        <v>276</v>
      </c>
      <c r="W55" t="s">
        <v>277</v>
      </c>
      <c r="X55" t="s">
        <v>373</v>
      </c>
      <c r="Z55" t="str">
        <f>IF(キャラマスタ[[#This Row],[生存ステータス]]=1,1539+キャラマスタ[[#This Row],[死亡年]],"")</f>
        <v/>
      </c>
      <c r="AA55">
        <v>0</v>
      </c>
      <c r="AB55" t="s">
        <v>743</v>
      </c>
      <c r="AC55">
        <v>0</v>
      </c>
      <c r="AG55" t="s">
        <v>699</v>
      </c>
      <c r="AH55" t="s">
        <v>700</v>
      </c>
      <c r="AP55" t="s">
        <v>701</v>
      </c>
    </row>
    <row r="56" spans="1:42">
      <c r="A56" t="s">
        <v>725</v>
      </c>
      <c r="B56" t="s">
        <v>702</v>
      </c>
      <c r="C56" t="s">
        <v>139</v>
      </c>
      <c r="D56" t="str">
        <f>IFERROR(キャラマスタ[[#This Row],[初登場時の年齢]]+2,"")</f>
        <v/>
      </c>
      <c r="E56">
        <v>3</v>
      </c>
      <c r="F56">
        <v>24</v>
      </c>
      <c r="G56" s="11">
        <v>44743</v>
      </c>
      <c r="H56" t="str">
        <f>IFERROR(IF(キャラマスタ[[#This Row],[生存ステータス]]=1,1539-キャラマスタ[[#This Row],[初登場時の年齢]]+キャラマスタ[[#This Row],[死亡年]],1539-キャラマスタ[[#This Row],[初登場時の年齢]]),"")</f>
        <v/>
      </c>
      <c r="L56" t="s">
        <v>18</v>
      </c>
      <c r="M56" t="s">
        <v>730</v>
      </c>
      <c r="N56" t="s">
        <v>49</v>
      </c>
      <c r="S56" t="s">
        <v>703</v>
      </c>
      <c r="T56" t="s">
        <v>704</v>
      </c>
      <c r="V56" t="s">
        <v>274</v>
      </c>
      <c r="W56" t="s">
        <v>277</v>
      </c>
      <c r="X56" t="s">
        <v>373</v>
      </c>
      <c r="Z56" t="str">
        <f>IF(キャラマスタ[[#This Row],[生存ステータス]]=1,1539+キャラマスタ[[#This Row],[死亡年]],"")</f>
        <v/>
      </c>
      <c r="AA56" t="s">
        <v>738</v>
      </c>
      <c r="AB56" t="s">
        <v>742</v>
      </c>
      <c r="AC56">
        <v>0</v>
      </c>
      <c r="AP56" t="s">
        <v>705</v>
      </c>
    </row>
    <row r="57" spans="1:42">
      <c r="A57" t="s">
        <v>726</v>
      </c>
      <c r="B57" t="s">
        <v>706</v>
      </c>
      <c r="C57" t="s">
        <v>139</v>
      </c>
      <c r="D57" t="str">
        <f>IFERROR(キャラマスタ[[#This Row],[初登場時の年齢]]+2,"")</f>
        <v/>
      </c>
      <c r="E57">
        <v>3</v>
      </c>
      <c r="F57">
        <v>24</v>
      </c>
      <c r="G57" s="11">
        <v>44583</v>
      </c>
      <c r="H57" t="str">
        <f>IFERROR(IF(キャラマスタ[[#This Row],[生存ステータス]]=1,1539-キャラマスタ[[#This Row],[初登場時の年齢]]+キャラマスタ[[#This Row],[死亡年]],1539-キャラマスタ[[#This Row],[初登場時の年齢]]),"")</f>
        <v/>
      </c>
      <c r="L57" t="s">
        <v>18</v>
      </c>
      <c r="M57" t="s">
        <v>730</v>
      </c>
      <c r="N57" t="s">
        <v>49</v>
      </c>
      <c r="S57" t="s">
        <v>707</v>
      </c>
      <c r="V57" t="s">
        <v>274</v>
      </c>
      <c r="W57" t="s">
        <v>277</v>
      </c>
      <c r="X57" t="s">
        <v>373</v>
      </c>
      <c r="Z57" t="str">
        <f>IF(キャラマスタ[[#This Row],[生存ステータス]]=1,1539+キャラマスタ[[#This Row],[死亡年]],"")</f>
        <v/>
      </c>
      <c r="AA57">
        <v>0</v>
      </c>
      <c r="AB57" t="s">
        <v>743</v>
      </c>
      <c r="AC57">
        <v>0</v>
      </c>
    </row>
    <row r="58" spans="1:42">
      <c r="A58" t="s">
        <v>727</v>
      </c>
      <c r="B58" t="s">
        <v>708</v>
      </c>
      <c r="C58">
        <v>27</v>
      </c>
      <c r="D58">
        <f>IFERROR(キャラマスタ[[#This Row],[初登場時の年齢]]+2,"")</f>
        <v>29</v>
      </c>
      <c r="E58">
        <v>3</v>
      </c>
      <c r="F58">
        <v>25</v>
      </c>
      <c r="G58" s="11">
        <v>44193</v>
      </c>
      <c r="H58">
        <f>IFERROR(IF(キャラマスタ[[#This Row],[生存ステータス]]=1,1539-キャラマスタ[[#This Row],[初登場時の年齢]]+キャラマスタ[[#This Row],[死亡年]],1539-キャラマスタ[[#This Row],[初登場時の年齢]]),"")</f>
        <v>1512</v>
      </c>
      <c r="I58">
        <v>207</v>
      </c>
      <c r="J58" t="s">
        <v>587</v>
      </c>
      <c r="K58" t="s">
        <v>690</v>
      </c>
      <c r="L58" t="s">
        <v>18</v>
      </c>
      <c r="O58" t="s">
        <v>733</v>
      </c>
      <c r="R58" t="s">
        <v>737</v>
      </c>
      <c r="S58" t="s">
        <v>692</v>
      </c>
      <c r="T58" t="s">
        <v>39</v>
      </c>
      <c r="V58" t="s">
        <v>274</v>
      </c>
      <c r="W58" t="s">
        <v>277</v>
      </c>
      <c r="X58" t="s">
        <v>741</v>
      </c>
      <c r="Z58" t="str">
        <f>IF(キャラマスタ[[#This Row],[生存ステータス]]=1,1539+キャラマスタ[[#This Row],[死亡年]],"")</f>
        <v/>
      </c>
      <c r="AA58">
        <v>0</v>
      </c>
      <c r="AB58" t="s">
        <v>743</v>
      </c>
      <c r="AC58">
        <v>0</v>
      </c>
      <c r="AD58">
        <v>-1095</v>
      </c>
      <c r="AE58">
        <v>9999</v>
      </c>
      <c r="AF58" t="s">
        <v>709</v>
      </c>
      <c r="AG58" t="s">
        <v>686</v>
      </c>
      <c r="AH58" t="s">
        <v>710</v>
      </c>
      <c r="AP58" t="s">
        <v>711</v>
      </c>
    </row>
    <row r="59" spans="1:42">
      <c r="A59" t="s">
        <v>820</v>
      </c>
      <c r="B59" t="s">
        <v>822</v>
      </c>
      <c r="C59">
        <v>21</v>
      </c>
      <c r="D59">
        <f>IFERROR(キャラマスタ[[#This Row],[初登場時の年齢]]+2,"")</f>
        <v>23</v>
      </c>
      <c r="E59">
        <v>4</v>
      </c>
      <c r="F59">
        <v>31</v>
      </c>
      <c r="G59" s="11">
        <v>43940</v>
      </c>
      <c r="H59">
        <f>IFERROR(IF(キャラマスタ[[#This Row],[生存ステータス]]=1,1539-キャラマスタ[[#This Row],[初登場時の年齢]]+キャラマスタ[[#This Row],[死亡年]],1539-キャラマスタ[[#This Row],[初登場時の年齢]]),"")</f>
        <v>1518</v>
      </c>
      <c r="I59">
        <v>201</v>
      </c>
      <c r="J59" t="s">
        <v>587</v>
      </c>
      <c r="K59" t="s">
        <v>690</v>
      </c>
      <c r="L59" t="s">
        <v>18</v>
      </c>
      <c r="R59" t="s">
        <v>737</v>
      </c>
      <c r="S59" t="s">
        <v>692</v>
      </c>
      <c r="T59" t="s">
        <v>823</v>
      </c>
      <c r="V59" t="s">
        <v>274</v>
      </c>
      <c r="W59" t="s">
        <v>277</v>
      </c>
      <c r="X59" t="s">
        <v>372</v>
      </c>
      <c r="Z59" t="str">
        <f>IF(キャラマスタ[[#This Row],[生存ステータス]]=1,1539+キャラマスタ[[#This Row],[死亡年]],"")</f>
        <v/>
      </c>
      <c r="AA59">
        <v>0</v>
      </c>
      <c r="AB59" t="s">
        <v>259</v>
      </c>
      <c r="AC59">
        <v>0</v>
      </c>
      <c r="AD59">
        <v>-1095</v>
      </c>
      <c r="AE59">
        <v>9999</v>
      </c>
      <c r="AG59" t="s">
        <v>475</v>
      </c>
      <c r="AH59" t="s">
        <v>824</v>
      </c>
      <c r="AP59" t="s">
        <v>825</v>
      </c>
    </row>
    <row r="60" spans="1:42">
      <c r="A60" t="s">
        <v>821</v>
      </c>
      <c r="B60" t="s">
        <v>826</v>
      </c>
      <c r="C60">
        <v>21</v>
      </c>
      <c r="D60">
        <f>IFERROR(キャラマスタ[[#This Row],[初登場時の年齢]]+2,"")</f>
        <v>23</v>
      </c>
      <c r="E60">
        <v>4</v>
      </c>
      <c r="F60">
        <v>31</v>
      </c>
      <c r="G60" s="11">
        <v>43868</v>
      </c>
      <c r="H60">
        <f>IFERROR(IF(キャラマスタ[[#This Row],[生存ステータス]]=1,1539-キャラマスタ[[#This Row],[初登場時の年齢]]+キャラマスタ[[#This Row],[死亡年]],1539-キャラマスタ[[#This Row],[初登場時の年齢]]),"")</f>
        <v>1518</v>
      </c>
      <c r="I60">
        <v>216</v>
      </c>
      <c r="J60" t="s">
        <v>587</v>
      </c>
      <c r="K60" t="s">
        <v>690</v>
      </c>
      <c r="L60" t="s">
        <v>18</v>
      </c>
      <c r="R60" t="s">
        <v>737</v>
      </c>
      <c r="S60" t="s">
        <v>827</v>
      </c>
      <c r="T60" t="s">
        <v>828</v>
      </c>
      <c r="V60" t="s">
        <v>274</v>
      </c>
      <c r="W60" t="s">
        <v>277</v>
      </c>
      <c r="X60" t="s">
        <v>372</v>
      </c>
      <c r="Z60" t="str">
        <f>IF(キャラマスタ[[#This Row],[生存ステータス]]=1,1539+キャラマスタ[[#This Row],[死亡年]],"")</f>
        <v/>
      </c>
      <c r="AA60">
        <v>0</v>
      </c>
      <c r="AB60" t="s">
        <v>259</v>
      </c>
      <c r="AC60">
        <v>0</v>
      </c>
      <c r="AD60">
        <v>-1095</v>
      </c>
      <c r="AE60">
        <v>9999</v>
      </c>
      <c r="AG60" t="s">
        <v>475</v>
      </c>
      <c r="AH60" t="s">
        <v>829</v>
      </c>
      <c r="AP60" t="s">
        <v>825</v>
      </c>
    </row>
    <row r="61" spans="1:42">
      <c r="A61" t="s">
        <v>841</v>
      </c>
      <c r="B61" t="s">
        <v>830</v>
      </c>
      <c r="C61" t="s">
        <v>139</v>
      </c>
      <c r="D61" t="str">
        <f>IFERROR(キャラマスタ[[#This Row],[初登場時の年齢]]+2,"")</f>
        <v/>
      </c>
      <c r="E61">
        <v>5</v>
      </c>
      <c r="F61">
        <v>37</v>
      </c>
      <c r="G61" s="11">
        <v>44760</v>
      </c>
      <c r="H61" t="str">
        <f>IFERROR(IF(キャラマスタ[[#This Row],[生存ステータス]]=1,1539-キャラマスタ[[#This Row],[初登場時の年齢]]+キャラマスタ[[#This Row],[死亡年]],1539-キャラマスタ[[#This Row],[初登場時の年齢]]),"")</f>
        <v/>
      </c>
      <c r="L61" t="s">
        <v>18</v>
      </c>
      <c r="S61" t="s">
        <v>692</v>
      </c>
      <c r="V61" t="s">
        <v>274</v>
      </c>
      <c r="W61" t="s">
        <v>277</v>
      </c>
      <c r="X61" t="s">
        <v>372</v>
      </c>
      <c r="Z61" t="str">
        <f>IF(キャラマスタ[[#This Row],[生存ステータス]]=1,1539+キャラマスタ[[#This Row],[死亡年]],"")</f>
        <v/>
      </c>
      <c r="AA61" t="s">
        <v>275</v>
      </c>
      <c r="AB61" t="s">
        <v>280</v>
      </c>
      <c r="AC61">
        <v>0</v>
      </c>
      <c r="AP61" t="s">
        <v>831</v>
      </c>
    </row>
    <row r="62" spans="1:42">
      <c r="A62" t="s">
        <v>842</v>
      </c>
      <c r="B62" t="s">
        <v>888</v>
      </c>
      <c r="C62" t="s">
        <v>139</v>
      </c>
      <c r="D62" t="str">
        <f>IFERROR(キャラマスタ[[#This Row],[初登場時の年齢]]+2,"")</f>
        <v/>
      </c>
      <c r="E62">
        <v>5</v>
      </c>
      <c r="F62">
        <v>41</v>
      </c>
      <c r="G62" s="11">
        <v>44912</v>
      </c>
      <c r="H62" t="str">
        <f>IFERROR(IF(キャラマスタ[[#This Row],[生存ステータス]]=1,1539-キャラマスタ[[#This Row],[初登場時の年齢]]+キャラマスタ[[#This Row],[死亡年]],1539-キャラマスタ[[#This Row],[初登場時の年齢]]),"")</f>
        <v/>
      </c>
      <c r="L62" t="s">
        <v>18</v>
      </c>
      <c r="M62" t="s">
        <v>730</v>
      </c>
      <c r="N62" t="s">
        <v>49</v>
      </c>
      <c r="V62" t="s">
        <v>276</v>
      </c>
      <c r="W62" t="s">
        <v>277</v>
      </c>
      <c r="X62" t="s">
        <v>373</v>
      </c>
      <c r="Z62" t="str">
        <f>IF(キャラマスタ[[#This Row],[生存ステータス]]=1,1539+キャラマスタ[[#This Row],[死亡年]],"")</f>
        <v/>
      </c>
      <c r="AA62" t="s">
        <v>275</v>
      </c>
      <c r="AB62" t="s">
        <v>280</v>
      </c>
      <c r="AC62">
        <v>0</v>
      </c>
      <c r="AP62" t="s">
        <v>889</v>
      </c>
    </row>
    <row r="63" spans="1:42">
      <c r="A63" t="s">
        <v>843</v>
      </c>
      <c r="B63" t="s">
        <v>581</v>
      </c>
      <c r="C63" t="s">
        <v>139</v>
      </c>
      <c r="D63" t="str">
        <f>IFERROR(キャラマスタ[[#This Row],[初登場時の年齢]]+2,"")</f>
        <v/>
      </c>
      <c r="E63">
        <v>5</v>
      </c>
      <c r="F63">
        <v>41</v>
      </c>
      <c r="G63" s="11">
        <v>45313</v>
      </c>
      <c r="I63">
        <v>1300</v>
      </c>
      <c r="R63" t="s">
        <v>507</v>
      </c>
      <c r="S63" t="s">
        <v>15</v>
      </c>
      <c r="T63" t="s">
        <v>1082</v>
      </c>
      <c r="V63" t="s">
        <v>1083</v>
      </c>
      <c r="W63" t="s">
        <v>1083</v>
      </c>
      <c r="Z63" t="str">
        <f>IF(キャラマスタ[[#This Row],[生存ステータス]]=1,1539+キャラマスタ[[#This Row],[死亡年]],"")</f>
        <v/>
      </c>
      <c r="AA63" t="s">
        <v>1083</v>
      </c>
      <c r="AB63" t="s">
        <v>1084</v>
      </c>
      <c r="AC63">
        <v>0</v>
      </c>
    </row>
    <row r="64" spans="1:42">
      <c r="A64" t="s">
        <v>844</v>
      </c>
      <c r="B64" t="s">
        <v>890</v>
      </c>
      <c r="C64">
        <v>24</v>
      </c>
      <c r="D64">
        <f>IFERROR(キャラマスタ[[#This Row],[初登場時の年齢]]+2,"")</f>
        <v>26</v>
      </c>
      <c r="E64">
        <v>5</v>
      </c>
      <c r="F64">
        <v>42</v>
      </c>
      <c r="G64" s="11">
        <v>44145</v>
      </c>
      <c r="H64">
        <f>IFERROR(IF(キャラマスタ[[#This Row],[生存ステータス]]=1,1539-キャラマスタ[[#This Row],[初登場時の年齢]]+キャラマスタ[[#This Row],[死亡年]],1539-キャラマスタ[[#This Row],[初登場時の年齢]]),"")</f>
        <v>1515</v>
      </c>
      <c r="I64">
        <v>185</v>
      </c>
      <c r="J64" t="s">
        <v>588</v>
      </c>
      <c r="K64" t="s">
        <v>891</v>
      </c>
      <c r="L64" t="s">
        <v>18</v>
      </c>
      <c r="R64" t="s">
        <v>447</v>
      </c>
      <c r="S64" t="s">
        <v>958</v>
      </c>
      <c r="V64" t="s">
        <v>274</v>
      </c>
      <c r="W64" t="s">
        <v>277</v>
      </c>
      <c r="X64" t="s">
        <v>508</v>
      </c>
      <c r="Z64" t="str">
        <f>IF(キャラマスタ[[#This Row],[生存ステータス]]=1,1539+キャラマスタ[[#This Row],[死亡年]],"")</f>
        <v/>
      </c>
      <c r="AA64">
        <v>0</v>
      </c>
      <c r="AB64" t="s">
        <v>259</v>
      </c>
      <c r="AC64">
        <v>0</v>
      </c>
      <c r="AD64">
        <v>3.5</v>
      </c>
      <c r="AE64">
        <v>9999</v>
      </c>
      <c r="AF64" t="s">
        <v>892</v>
      </c>
      <c r="AG64" t="s">
        <v>699</v>
      </c>
      <c r="AH64" t="s">
        <v>893</v>
      </c>
    </row>
    <row r="65" spans="1:42">
      <c r="A65" t="s">
        <v>845</v>
      </c>
      <c r="B65" t="s">
        <v>894</v>
      </c>
      <c r="C65">
        <v>23</v>
      </c>
      <c r="D65">
        <f>IFERROR(キャラマスタ[[#This Row],[初登場時の年齢]]+2,"")</f>
        <v>25</v>
      </c>
      <c r="E65">
        <v>5</v>
      </c>
      <c r="F65">
        <v>42</v>
      </c>
      <c r="G65" s="11">
        <v>44147</v>
      </c>
      <c r="H65">
        <f>IFERROR(IF(キャラマスタ[[#This Row],[生存ステータス]]=1,1539-キャラマスタ[[#This Row],[初登場時の年齢]]+キャラマスタ[[#This Row],[死亡年]],1539-キャラマスタ[[#This Row],[初登場時の年齢]]),"")</f>
        <v>1516</v>
      </c>
      <c r="I65">
        <v>186</v>
      </c>
      <c r="J65" t="s">
        <v>588</v>
      </c>
      <c r="K65" t="s">
        <v>895</v>
      </c>
      <c r="L65" t="s">
        <v>18</v>
      </c>
      <c r="R65" t="s">
        <v>447</v>
      </c>
      <c r="S65" t="s">
        <v>958</v>
      </c>
      <c r="V65" t="s">
        <v>274</v>
      </c>
      <c r="W65" t="s">
        <v>277</v>
      </c>
      <c r="X65" t="s">
        <v>508</v>
      </c>
      <c r="Z65" t="str">
        <f>IF(キャラマスタ[[#This Row],[生存ステータス]]=1,1539+キャラマスタ[[#This Row],[死亡年]],"")</f>
        <v/>
      </c>
      <c r="AA65">
        <v>0</v>
      </c>
      <c r="AB65" t="s">
        <v>259</v>
      </c>
      <c r="AC65">
        <v>0</v>
      </c>
      <c r="AD65">
        <v>3.5</v>
      </c>
      <c r="AE65">
        <v>9999</v>
      </c>
      <c r="AF65" t="s">
        <v>892</v>
      </c>
      <c r="AG65" t="s">
        <v>699</v>
      </c>
      <c r="AH65" t="s">
        <v>896</v>
      </c>
    </row>
    <row r="66" spans="1:42">
      <c r="A66" t="s">
        <v>846</v>
      </c>
      <c r="B66" t="s">
        <v>897</v>
      </c>
      <c r="C66">
        <v>26</v>
      </c>
      <c r="D66">
        <f>IFERROR(キャラマスタ[[#This Row],[初登場時の年齢]]+2,"")</f>
        <v>28</v>
      </c>
      <c r="E66">
        <v>5</v>
      </c>
      <c r="F66">
        <v>43</v>
      </c>
      <c r="G66" s="11">
        <v>44081</v>
      </c>
      <c r="H66">
        <f>IFERROR(IF(キャラマスタ[[#This Row],[生存ステータス]]=1,1539-キャラマスタ[[#This Row],[初登場時の年齢]]+キャラマスタ[[#This Row],[死亡年]],1539-キャラマスタ[[#This Row],[初登場時の年齢]]),"")</f>
        <v>1513</v>
      </c>
      <c r="I66">
        <v>184</v>
      </c>
      <c r="L66" t="s">
        <v>53</v>
      </c>
      <c r="O66" t="s">
        <v>948</v>
      </c>
      <c r="R66" t="s">
        <v>446</v>
      </c>
      <c r="S66" t="s">
        <v>898</v>
      </c>
      <c r="T66" t="s">
        <v>965</v>
      </c>
      <c r="V66" t="s">
        <v>274</v>
      </c>
      <c r="W66" t="s">
        <v>277</v>
      </c>
      <c r="X66" t="s">
        <v>375</v>
      </c>
      <c r="Z66" t="str">
        <f>IF(キャラマスタ[[#This Row],[生存ステータス]]=1,1539+キャラマスタ[[#This Row],[死亡年]],"")</f>
        <v/>
      </c>
      <c r="AA66">
        <v>0</v>
      </c>
      <c r="AB66" t="s">
        <v>259</v>
      </c>
      <c r="AC66">
        <v>0</v>
      </c>
      <c r="AD66">
        <v>5</v>
      </c>
      <c r="AE66">
        <v>9999</v>
      </c>
      <c r="AF66" t="s">
        <v>899</v>
      </c>
      <c r="AG66" t="s">
        <v>699</v>
      </c>
      <c r="AH66" t="s">
        <v>900</v>
      </c>
      <c r="AP66" t="s">
        <v>901</v>
      </c>
    </row>
    <row r="67" spans="1:42">
      <c r="A67" t="s">
        <v>847</v>
      </c>
      <c r="B67" t="s">
        <v>902</v>
      </c>
      <c r="C67" t="s">
        <v>139</v>
      </c>
      <c r="D67" t="str">
        <f>IFERROR(キャラマスタ[[#This Row],[初登場時の年齢]]+2,"")</f>
        <v/>
      </c>
      <c r="E67">
        <v>5</v>
      </c>
      <c r="F67">
        <v>43</v>
      </c>
      <c r="G67" s="11">
        <v>44811</v>
      </c>
      <c r="H67" t="str">
        <f>IFERROR(IF(キャラマスタ[[#This Row],[生存ステータス]]=1,1539-キャラマスタ[[#This Row],[初登場時の年齢]]+キャラマスタ[[#This Row],[死亡年]],1539-キャラマスタ[[#This Row],[初登場時の年齢]]),"")</f>
        <v/>
      </c>
      <c r="L67" t="s">
        <v>18</v>
      </c>
      <c r="V67" t="s">
        <v>274</v>
      </c>
      <c r="W67" t="s">
        <v>277</v>
      </c>
      <c r="X67" t="s">
        <v>373</v>
      </c>
      <c r="Z67" t="str">
        <f>IF(キャラマスタ[[#This Row],[生存ステータス]]=1,1539+キャラマスタ[[#This Row],[死亡年]],"")</f>
        <v/>
      </c>
      <c r="AA67" t="s">
        <v>275</v>
      </c>
      <c r="AB67" t="s">
        <v>280</v>
      </c>
      <c r="AC67">
        <v>0</v>
      </c>
      <c r="AP67" t="s">
        <v>903</v>
      </c>
    </row>
    <row r="68" spans="1:42">
      <c r="A68" t="s">
        <v>848</v>
      </c>
      <c r="B68" t="s">
        <v>904</v>
      </c>
      <c r="C68" t="s">
        <v>534</v>
      </c>
      <c r="D68" t="str">
        <f>IFERROR(キャラマスタ[[#This Row],[初登場時の年齢]]+2,"")</f>
        <v/>
      </c>
      <c r="E68">
        <v>5</v>
      </c>
      <c r="F68">
        <v>43</v>
      </c>
      <c r="G68" s="11">
        <v>44882</v>
      </c>
      <c r="H68" t="str">
        <f>IFERROR(IF(キャラマスタ[[#This Row],[生存ステータス]]=1,1539-キャラマスタ[[#This Row],[初登場時の年齢]]+キャラマスタ[[#This Row],[死亡年]],1539-キャラマスタ[[#This Row],[初登場時の年齢]]),"")</f>
        <v/>
      </c>
      <c r="L68" t="s">
        <v>119</v>
      </c>
      <c r="V68" t="s">
        <v>276</v>
      </c>
      <c r="W68" t="s">
        <v>277</v>
      </c>
      <c r="X68" t="s">
        <v>373</v>
      </c>
      <c r="Z68" t="str">
        <f>IF(キャラマスタ[[#This Row],[生存ステータス]]=1,1539+キャラマスタ[[#This Row],[死亡年]],"")</f>
        <v/>
      </c>
      <c r="AA68" t="s">
        <v>275</v>
      </c>
      <c r="AB68" t="s">
        <v>280</v>
      </c>
      <c r="AC68">
        <v>0</v>
      </c>
      <c r="AP68" t="s">
        <v>905</v>
      </c>
    </row>
    <row r="69" spans="1:42">
      <c r="A69" t="s">
        <v>942</v>
      </c>
      <c r="B69" t="s">
        <v>941</v>
      </c>
      <c r="C69">
        <v>19</v>
      </c>
      <c r="D69">
        <f>IFERROR(キャラマスタ[[#This Row],[初登場時の年齢]]+2,"")</f>
        <v>21</v>
      </c>
      <c r="E69">
        <v>5</v>
      </c>
      <c r="F69">
        <v>43</v>
      </c>
      <c r="G69" s="11">
        <v>43892</v>
      </c>
      <c r="H69">
        <f>IFERROR(IF(キャラマスタ[[#This Row],[生存ステータス]]=1,1539-キャラマスタ[[#This Row],[初登場時の年齢]]+キャラマスタ[[#This Row],[死亡年]],1539-キャラマスタ[[#This Row],[初登場時の年齢]]),"")</f>
        <v>1520</v>
      </c>
      <c r="I69">
        <v>177</v>
      </c>
      <c r="J69" t="s">
        <v>400</v>
      </c>
      <c r="K69" t="s">
        <v>581</v>
      </c>
      <c r="L69" t="s">
        <v>53</v>
      </c>
      <c r="N69" t="s">
        <v>935</v>
      </c>
      <c r="R69" t="s">
        <v>959</v>
      </c>
      <c r="S69" t="s">
        <v>908</v>
      </c>
      <c r="T69" t="s">
        <v>961</v>
      </c>
      <c r="V69" t="s">
        <v>274</v>
      </c>
      <c r="W69" t="s">
        <v>277</v>
      </c>
      <c r="X69" t="s">
        <v>373</v>
      </c>
      <c r="Z69" t="str">
        <f>IF(キャラマスタ[[#This Row],[生存ステータス]]=1,1539+キャラマスタ[[#This Row],[死亡年]],"")</f>
        <v/>
      </c>
      <c r="AA69">
        <v>0</v>
      </c>
      <c r="AB69" t="s">
        <v>258</v>
      </c>
      <c r="AC69">
        <v>0</v>
      </c>
      <c r="AD69">
        <v>-3285</v>
      </c>
      <c r="AE69">
        <v>9999</v>
      </c>
      <c r="AF69" t="s">
        <v>910</v>
      </c>
      <c r="AG69" t="s">
        <v>936</v>
      </c>
      <c r="AH69" t="s">
        <v>937</v>
      </c>
      <c r="AI69" t="s">
        <v>938</v>
      </c>
      <c r="AK69" t="s">
        <v>939</v>
      </c>
      <c r="AP69" t="s">
        <v>940</v>
      </c>
    </row>
    <row r="70" spans="1:42">
      <c r="A70" t="s">
        <v>943</v>
      </c>
      <c r="B70" t="s">
        <v>906</v>
      </c>
      <c r="C70">
        <v>65</v>
      </c>
      <c r="D70">
        <f>IFERROR(キャラマスタ[[#This Row],[初登場時の年齢]]+2,"")</f>
        <v>67</v>
      </c>
      <c r="E70">
        <v>5</v>
      </c>
      <c r="F70">
        <v>43</v>
      </c>
      <c r="G70" s="11">
        <v>43923</v>
      </c>
      <c r="H70">
        <f>IFERROR(IF(キャラマスタ[[#This Row],[生存ステータス]]=1,1539-キャラマスタ[[#This Row],[初登場時の年齢]]+キャラマスタ[[#This Row],[死亡年]],1539-キャラマスタ[[#This Row],[初登場時の年齢]]),"")</f>
        <v>1474</v>
      </c>
      <c r="I70">
        <v>189</v>
      </c>
      <c r="J70" t="s">
        <v>589</v>
      </c>
      <c r="K70" t="s">
        <v>917</v>
      </c>
      <c r="L70" t="s">
        <v>119</v>
      </c>
      <c r="O70" t="s">
        <v>907</v>
      </c>
      <c r="R70" t="s">
        <v>959</v>
      </c>
      <c r="S70" t="s">
        <v>908</v>
      </c>
      <c r="T70" t="s">
        <v>909</v>
      </c>
      <c r="V70" t="s">
        <v>274</v>
      </c>
      <c r="W70" t="s">
        <v>277</v>
      </c>
      <c r="X70" t="s">
        <v>373</v>
      </c>
      <c r="Z70" t="str">
        <f>IF(キャラマスタ[[#This Row],[生存ステータス]]=1,1539+キャラマスタ[[#This Row],[死亡年]],"")</f>
        <v/>
      </c>
      <c r="AA70">
        <v>0</v>
      </c>
      <c r="AB70" t="s">
        <v>259</v>
      </c>
      <c r="AC70">
        <v>0</v>
      </c>
      <c r="AD70">
        <v>-3650</v>
      </c>
      <c r="AE70">
        <v>11.5</v>
      </c>
      <c r="AF70" t="s">
        <v>910</v>
      </c>
      <c r="AG70" t="s">
        <v>682</v>
      </c>
      <c r="AH70" t="s">
        <v>911</v>
      </c>
      <c r="AP70" t="s">
        <v>912</v>
      </c>
    </row>
    <row r="71" spans="1:42">
      <c r="A71" t="s">
        <v>944</v>
      </c>
      <c r="B71" t="s">
        <v>913</v>
      </c>
      <c r="C71" t="s">
        <v>534</v>
      </c>
      <c r="D71" t="str">
        <f>IFERROR(キャラマスタ[[#This Row],[初登場時の年齢]]+2,"")</f>
        <v/>
      </c>
      <c r="E71">
        <v>5</v>
      </c>
      <c r="F71">
        <v>43</v>
      </c>
      <c r="G71" s="11">
        <v>44743</v>
      </c>
      <c r="H71" t="str">
        <f>IFERROR(IF(キャラマスタ[[#This Row],[生存ステータス]]=1,1539-キャラマスタ[[#This Row],[初登場時の年齢]]+キャラマスタ[[#This Row],[死亡年]],1539-キャラマスタ[[#This Row],[初登場時の年齢]]),"")</f>
        <v/>
      </c>
      <c r="L71" t="s">
        <v>119</v>
      </c>
      <c r="S71" t="s">
        <v>914</v>
      </c>
      <c r="V71" t="s">
        <v>275</v>
      </c>
      <c r="W71" t="s">
        <v>963</v>
      </c>
      <c r="X71" t="s">
        <v>962</v>
      </c>
      <c r="Z71" t="str">
        <f>IF(キャラマスタ[[#This Row],[生存ステータス]]=1,1539+キャラマスタ[[#This Row],[死亡年]],"")</f>
        <v/>
      </c>
      <c r="AA71" t="s">
        <v>275</v>
      </c>
      <c r="AB71" t="s">
        <v>280</v>
      </c>
      <c r="AC71">
        <v>0</v>
      </c>
      <c r="AP71" t="s">
        <v>915</v>
      </c>
    </row>
    <row r="72" spans="1:42">
      <c r="A72" t="s">
        <v>945</v>
      </c>
      <c r="B72" t="s">
        <v>916</v>
      </c>
      <c r="C72">
        <v>27</v>
      </c>
      <c r="D72">
        <f>IFERROR(キャラマスタ[[#This Row],[初登場時の年齢]]+2,"")</f>
        <v>29</v>
      </c>
      <c r="E72">
        <v>5</v>
      </c>
      <c r="F72">
        <v>44</v>
      </c>
      <c r="G72" s="11">
        <v>43902</v>
      </c>
      <c r="H72">
        <f>IFERROR(IF(キャラマスタ[[#This Row],[生存ステータス]]=1,1539-キャラマスタ[[#This Row],[初登場時の年齢]]+キャラマスタ[[#This Row],[死亡年]],1539-キャラマスタ[[#This Row],[初登場時の年齢]]),"")</f>
        <v>1512</v>
      </c>
      <c r="I72">
        <v>204</v>
      </c>
      <c r="J72" t="s">
        <v>589</v>
      </c>
      <c r="K72" t="s">
        <v>917</v>
      </c>
      <c r="L72" t="s">
        <v>18</v>
      </c>
      <c r="R72" t="s">
        <v>959</v>
      </c>
      <c r="S72" t="s">
        <v>908</v>
      </c>
      <c r="T72" t="s">
        <v>328</v>
      </c>
      <c r="V72" t="s">
        <v>274</v>
      </c>
      <c r="W72" t="s">
        <v>277</v>
      </c>
      <c r="X72" t="s">
        <v>373</v>
      </c>
      <c r="Z72" t="str">
        <f>IF(キャラマスタ[[#This Row],[生存ステータス]]=1,1539+キャラマスタ[[#This Row],[死亡年]],"")</f>
        <v/>
      </c>
      <c r="AA72">
        <v>0</v>
      </c>
      <c r="AB72" t="s">
        <v>259</v>
      </c>
      <c r="AC72">
        <v>0</v>
      </c>
      <c r="AG72" t="s">
        <v>475</v>
      </c>
      <c r="AH72" t="s">
        <v>918</v>
      </c>
      <c r="AP72" t="s">
        <v>919</v>
      </c>
    </row>
    <row r="73" spans="1:42">
      <c r="A73" t="s">
        <v>946</v>
      </c>
      <c r="B73" t="s">
        <v>920</v>
      </c>
      <c r="C73" t="s">
        <v>534</v>
      </c>
      <c r="D73" t="str">
        <f>IFERROR(キャラマスタ[[#This Row],[初登場時の年齢]]+2,"")</f>
        <v/>
      </c>
      <c r="E73">
        <v>5</v>
      </c>
      <c r="F73">
        <v>44</v>
      </c>
      <c r="G73" s="11">
        <v>44922</v>
      </c>
      <c r="H73" t="str">
        <f>IFERROR(IF(キャラマスタ[[#This Row],[生存ステータス]]=1,1539-キャラマスタ[[#This Row],[初登場時の年齢]]+キャラマスタ[[#This Row],[死亡年]],1539-キャラマスタ[[#This Row],[初登場時の年齢]]),"")</f>
        <v/>
      </c>
      <c r="L73" t="s">
        <v>119</v>
      </c>
      <c r="R73" t="s">
        <v>446</v>
      </c>
      <c r="S73" t="s">
        <v>898</v>
      </c>
      <c r="T73" t="s">
        <v>921</v>
      </c>
      <c r="V73" t="s">
        <v>274</v>
      </c>
      <c r="W73" t="s">
        <v>277</v>
      </c>
      <c r="X73" t="s">
        <v>375</v>
      </c>
      <c r="Z73" t="str">
        <f>IF(キャラマスタ[[#This Row],[生存ステータス]]=1,1539+キャラマスタ[[#This Row],[死亡年]],"")</f>
        <v/>
      </c>
      <c r="AA73" t="s">
        <v>275</v>
      </c>
      <c r="AB73" t="s">
        <v>280</v>
      </c>
      <c r="AC73">
        <v>0</v>
      </c>
      <c r="AP73" t="s">
        <v>922</v>
      </c>
    </row>
    <row r="74" spans="1:42">
      <c r="A74" t="s">
        <v>947</v>
      </c>
      <c r="B74" t="s">
        <v>923</v>
      </c>
      <c r="C74" t="s">
        <v>534</v>
      </c>
      <c r="D74" t="str">
        <f>IFERROR(キャラマスタ[[#This Row],[初登場時の年齢]]+2,"")</f>
        <v/>
      </c>
      <c r="E74">
        <v>5</v>
      </c>
      <c r="F74">
        <v>44</v>
      </c>
      <c r="G74" s="12" t="s">
        <v>924</v>
      </c>
      <c r="H74" t="str">
        <f>IFERROR(IF(キャラマスタ[[#This Row],[生存ステータス]]=1,1539-キャラマスタ[[#This Row],[初登場時の年齢]]+キャラマスタ[[#This Row],[死亡年]],1539-キャラマスタ[[#This Row],[初登場時の年齢]]),"")</f>
        <v/>
      </c>
      <c r="I74">
        <v>200</v>
      </c>
      <c r="L74" t="s">
        <v>925</v>
      </c>
      <c r="S74" t="s">
        <v>926</v>
      </c>
      <c r="V74" t="s">
        <v>274</v>
      </c>
      <c r="W74" t="s">
        <v>964</v>
      </c>
      <c r="X74" t="s">
        <v>373</v>
      </c>
      <c r="Z74" t="str">
        <f>IF(キャラマスタ[[#This Row],[生存ステータス]]=1,1539+キャラマスタ[[#This Row],[死亡年]],"")</f>
        <v/>
      </c>
      <c r="AA74" t="s">
        <v>275</v>
      </c>
      <c r="AB74" t="s">
        <v>280</v>
      </c>
      <c r="AC74">
        <v>0</v>
      </c>
      <c r="AP74" t="s">
        <v>927</v>
      </c>
    </row>
    <row r="75" spans="1:42">
      <c r="A75" t="s">
        <v>1085</v>
      </c>
      <c r="B75" t="s">
        <v>928</v>
      </c>
      <c r="C75">
        <v>25</v>
      </c>
      <c r="D75">
        <f>IFERROR(キャラマスタ[[#This Row],[初登場時の年齢]]+2,"")</f>
        <v>27</v>
      </c>
      <c r="E75">
        <v>5</v>
      </c>
      <c r="F75">
        <v>44</v>
      </c>
      <c r="G75" s="11">
        <v>43928</v>
      </c>
      <c r="H75">
        <f>IFERROR(IF(キャラマスタ[[#This Row],[生存ステータス]]=1,1539-キャラマスタ[[#This Row],[初登場時の年齢]]+キャラマスタ[[#This Row],[死亡年]],1539-キャラマスタ[[#This Row],[初登場時の年齢]]),"")</f>
        <v>1514</v>
      </c>
      <c r="I75">
        <v>186</v>
      </c>
      <c r="J75" t="s">
        <v>950</v>
      </c>
      <c r="K75" t="s">
        <v>929</v>
      </c>
      <c r="L75" t="s">
        <v>119</v>
      </c>
      <c r="O75" t="s">
        <v>930</v>
      </c>
      <c r="R75" t="s">
        <v>960</v>
      </c>
      <c r="S75" t="s">
        <v>931</v>
      </c>
      <c r="T75" t="s">
        <v>932</v>
      </c>
      <c r="V75" t="s">
        <v>274</v>
      </c>
      <c r="W75" t="s">
        <v>277</v>
      </c>
      <c r="X75" t="s">
        <v>372</v>
      </c>
      <c r="Z75" t="str">
        <f>IF(キャラマスタ[[#This Row],[生存ステータス]]=1,1539+キャラマスタ[[#This Row],[死亡年]],"")</f>
        <v/>
      </c>
      <c r="AA75">
        <v>0</v>
      </c>
      <c r="AB75" t="s">
        <v>259</v>
      </c>
      <c r="AC75">
        <v>0</v>
      </c>
      <c r="AD75">
        <v>-5</v>
      </c>
      <c r="AE75">
        <v>11.5</v>
      </c>
      <c r="AF75" t="s">
        <v>933</v>
      </c>
      <c r="AG75" t="s">
        <v>686</v>
      </c>
      <c r="AH75" t="s">
        <v>934</v>
      </c>
    </row>
    <row r="76" spans="1:42">
      <c r="A76" t="s">
        <v>1097</v>
      </c>
      <c r="B76" t="s">
        <v>1101</v>
      </c>
      <c r="C76">
        <v>32</v>
      </c>
      <c r="D76">
        <f>IFERROR(キャラマスタ[[#This Row],[初登場時の年齢]]+2,"")</f>
        <v>34</v>
      </c>
      <c r="E76">
        <v>6</v>
      </c>
      <c r="F76">
        <v>45</v>
      </c>
      <c r="G76" s="2">
        <v>43870</v>
      </c>
      <c r="H76">
        <f>IFERROR(IF(キャラマスタ[[#This Row],[生存ステータス]]=1,1539-キャラマスタ[[#This Row],[初登場時の年齢]]+キャラマスタ[[#This Row],[死亡年]],1539-キャラマスタ[[#This Row],[初登場時の年齢]]),"")</f>
        <v>1507</v>
      </c>
      <c r="I76">
        <v>171</v>
      </c>
      <c r="J76" t="s">
        <v>589</v>
      </c>
      <c r="K76" t="s">
        <v>1102</v>
      </c>
      <c r="L76" t="s">
        <v>119</v>
      </c>
      <c r="R76" t="s">
        <v>959</v>
      </c>
      <c r="S76" t="s">
        <v>908</v>
      </c>
      <c r="T76" t="s">
        <v>160</v>
      </c>
      <c r="V76" t="s">
        <v>274</v>
      </c>
      <c r="W76" t="s">
        <v>277</v>
      </c>
      <c r="X76" t="s">
        <v>373</v>
      </c>
      <c r="Z76" t="str">
        <f>IF(キャラマスタ[[#This Row],[生存ステータス]]=1,1539+キャラマスタ[[#This Row],[死亡年]],"")</f>
        <v/>
      </c>
      <c r="AA76">
        <v>0</v>
      </c>
      <c r="AB76" t="s">
        <v>1142</v>
      </c>
      <c r="AC76">
        <v>0</v>
      </c>
      <c r="AG76" t="s">
        <v>22</v>
      </c>
      <c r="AH76" t="s">
        <v>1103</v>
      </c>
      <c r="AP76" t="s">
        <v>1104</v>
      </c>
    </row>
    <row r="77" spans="1:42">
      <c r="A77" t="s">
        <v>1098</v>
      </c>
      <c r="B77" t="s">
        <v>1105</v>
      </c>
      <c r="C77" t="s">
        <v>139</v>
      </c>
      <c r="D77" t="str">
        <f>IFERROR(キャラマスタ[[#This Row],[初登場時の年齢]]+2,"")</f>
        <v/>
      </c>
      <c r="E77">
        <v>6</v>
      </c>
      <c r="F77">
        <v>46</v>
      </c>
      <c r="G77" s="2">
        <v>44584</v>
      </c>
      <c r="H77" t="str">
        <f>IFERROR(IF(キャラマスタ[[#This Row],[生存ステータス]]=1,1539-キャラマスタ[[#This Row],[初登場時の年齢]]+キャラマスタ[[#This Row],[死亡年]],1539-キャラマスタ[[#This Row],[初登場時の年齢]]),"")</f>
        <v/>
      </c>
      <c r="L77" t="s">
        <v>18</v>
      </c>
      <c r="V77" t="s">
        <v>276</v>
      </c>
      <c r="W77" t="s">
        <v>277</v>
      </c>
      <c r="X77" t="s">
        <v>373</v>
      </c>
      <c r="Z77" t="str">
        <f>IF(キャラマスタ[[#This Row],[生存ステータス]]=1,1539+キャラマスタ[[#This Row],[死亡年]],"")</f>
        <v/>
      </c>
      <c r="AA77" t="s">
        <v>1083</v>
      </c>
      <c r="AB77" t="s">
        <v>1083</v>
      </c>
      <c r="AC77">
        <v>0</v>
      </c>
      <c r="AP77" t="s">
        <v>1106</v>
      </c>
    </row>
    <row r="78" spans="1:42">
      <c r="A78" t="s">
        <v>1099</v>
      </c>
      <c r="B78" t="s">
        <v>1107</v>
      </c>
      <c r="C78">
        <v>42</v>
      </c>
      <c r="D78">
        <f>IFERROR(キャラマスタ[[#This Row],[初登場時の年齢]]+2,"")</f>
        <v>44</v>
      </c>
      <c r="E78">
        <v>6</v>
      </c>
      <c r="F78">
        <v>46</v>
      </c>
      <c r="G78" s="2">
        <v>44093</v>
      </c>
      <c r="H78">
        <f>IFERROR(IF(キャラマスタ[[#This Row],[生存ステータス]]=1,1539-キャラマスタ[[#This Row],[初登場時の年齢]]+キャラマスタ[[#This Row],[死亡年]],1539-キャラマスタ[[#This Row],[初登場時の年齢]]),"")</f>
        <v>1497</v>
      </c>
      <c r="I78">
        <v>243</v>
      </c>
      <c r="J78" t="s">
        <v>950</v>
      </c>
      <c r="K78" t="s">
        <v>929</v>
      </c>
      <c r="L78" t="s">
        <v>119</v>
      </c>
      <c r="O78" t="s">
        <v>1108</v>
      </c>
      <c r="R78" t="s">
        <v>960</v>
      </c>
      <c r="S78" t="s">
        <v>931</v>
      </c>
      <c r="T78" t="s">
        <v>1109</v>
      </c>
      <c r="V78" t="s">
        <v>274</v>
      </c>
      <c r="W78" t="s">
        <v>277</v>
      </c>
      <c r="X78" t="s">
        <v>372</v>
      </c>
      <c r="Z78" t="str">
        <f>IF(キャラマスタ[[#This Row],[生存ステータス]]=1,1539+キャラマスタ[[#This Row],[死亡年]],"")</f>
        <v/>
      </c>
      <c r="AA78">
        <v>0</v>
      </c>
      <c r="AB78" t="s">
        <v>1142</v>
      </c>
      <c r="AC78">
        <v>0</v>
      </c>
      <c r="AD78">
        <v>-5</v>
      </c>
      <c r="AE78">
        <v>11.5</v>
      </c>
      <c r="AF78" t="s">
        <v>1110</v>
      </c>
      <c r="AG78" t="s">
        <v>29</v>
      </c>
      <c r="AH78" t="s">
        <v>1111</v>
      </c>
    </row>
    <row r="79" spans="1:42">
      <c r="A79" t="s">
        <v>1100</v>
      </c>
      <c r="B79" t="s">
        <v>1112</v>
      </c>
      <c r="C79">
        <v>41</v>
      </c>
      <c r="D79">
        <f>IFERROR(キャラマスタ[[#This Row],[初登場時の年齢]]+2,"")</f>
        <v>43</v>
      </c>
      <c r="E79">
        <v>6</v>
      </c>
      <c r="F79">
        <v>50</v>
      </c>
      <c r="G79" s="2">
        <v>43899</v>
      </c>
      <c r="H79">
        <f>IFERROR(IF(キャラマスタ[[#This Row],[生存ステータス]]=1,1539-キャラマスタ[[#This Row],[初登場時の年齢]]+キャラマスタ[[#This Row],[死亡年]],1539-キャラマスタ[[#This Row],[初登場時の年齢]]),"")</f>
        <v>1498</v>
      </c>
      <c r="I79">
        <v>198</v>
      </c>
      <c r="J79" t="s">
        <v>951</v>
      </c>
      <c r="K79" t="s">
        <v>1139</v>
      </c>
      <c r="O79" t="s">
        <v>1143</v>
      </c>
      <c r="R79" t="s">
        <v>1146</v>
      </c>
      <c r="S79" t="s">
        <v>1140</v>
      </c>
      <c r="V79" t="s">
        <v>274</v>
      </c>
      <c r="W79" t="s">
        <v>277</v>
      </c>
      <c r="X79" t="s">
        <v>1141</v>
      </c>
      <c r="Z79" t="str">
        <f>IF(キャラマスタ[[#This Row],[生存ステータス]]=1,1539+キャラマスタ[[#This Row],[死亡年]],"")</f>
        <v/>
      </c>
      <c r="AA79">
        <v>0</v>
      </c>
      <c r="AB79" t="s">
        <v>1142</v>
      </c>
      <c r="AC79">
        <v>0</v>
      </c>
      <c r="AD79">
        <v>2</v>
      </c>
      <c r="AE79">
        <v>11.5</v>
      </c>
      <c r="AF79" t="s">
        <v>100</v>
      </c>
      <c r="AG79" t="s">
        <v>22</v>
      </c>
      <c r="AH79" t="s">
        <v>1113</v>
      </c>
      <c r="AI79" t="s">
        <v>1114</v>
      </c>
      <c r="AJ79" t="s">
        <v>1115</v>
      </c>
      <c r="AK79" t="s">
        <v>1116</v>
      </c>
      <c r="AP79" t="s">
        <v>1117</v>
      </c>
    </row>
    <row r="80" spans="1:42">
      <c r="A80" t="s">
        <v>1236</v>
      </c>
      <c r="B80" t="s">
        <v>1240</v>
      </c>
      <c r="C80">
        <v>23</v>
      </c>
      <c r="D80">
        <f>IFERROR(キャラマスタ[[#This Row],[初登場時の年齢]]+2,"")</f>
        <v>25</v>
      </c>
      <c r="E80">
        <v>7</v>
      </c>
      <c r="F80">
        <v>54</v>
      </c>
      <c r="G80" s="11">
        <v>44753</v>
      </c>
      <c r="H80">
        <f>IFERROR(IF(キャラマスタ[[#This Row],[生存ステータス]]=1,1539-キャラマスタ[[#This Row],[初登場時の年齢]]+キャラマスタ[[#This Row],[死亡年]],1539-キャラマスタ[[#This Row],[初登場時の年齢]]),"")</f>
        <v>1516</v>
      </c>
      <c r="I80">
        <v>239</v>
      </c>
      <c r="J80" t="s">
        <v>950</v>
      </c>
      <c r="K80" t="s">
        <v>929</v>
      </c>
      <c r="L80" t="s">
        <v>18</v>
      </c>
      <c r="O80" t="s">
        <v>1241</v>
      </c>
      <c r="R80" t="s">
        <v>960</v>
      </c>
      <c r="S80" t="s">
        <v>931</v>
      </c>
      <c r="T80" t="s">
        <v>1242</v>
      </c>
      <c r="V80" t="s">
        <v>274</v>
      </c>
      <c r="W80" t="s">
        <v>277</v>
      </c>
      <c r="X80" t="s">
        <v>372</v>
      </c>
      <c r="Z80" t="str">
        <f>IF(キャラマスタ[[#This Row],[生存ステータス]]=1,1539+キャラマスタ[[#This Row],[死亡年]],"")</f>
        <v/>
      </c>
      <c r="AA80">
        <v>0</v>
      </c>
      <c r="AB80" t="s">
        <v>259</v>
      </c>
      <c r="AC80">
        <v>0</v>
      </c>
      <c r="AF80" t="s">
        <v>1243</v>
      </c>
      <c r="AG80" t="s">
        <v>699</v>
      </c>
      <c r="AH80" t="s">
        <v>1244</v>
      </c>
      <c r="AP80" t="s">
        <v>1245</v>
      </c>
    </row>
    <row r="81" spans="1:42">
      <c r="A81" t="s">
        <v>1237</v>
      </c>
      <c r="B81" t="s">
        <v>1246</v>
      </c>
      <c r="C81" t="s">
        <v>534</v>
      </c>
      <c r="D81" t="str">
        <f>IFERROR(キャラマスタ[[#This Row],[初登場時の年齢]]+2,"")</f>
        <v/>
      </c>
      <c r="E81">
        <v>7</v>
      </c>
      <c r="F81">
        <v>55</v>
      </c>
      <c r="G81" s="11">
        <v>44637</v>
      </c>
      <c r="H81" t="str">
        <f>IFERROR(IF(キャラマスタ[[#This Row],[生存ステータス]]=1,1539-キャラマスタ[[#This Row],[初登場時の年齢]]+キャラマスタ[[#This Row],[死亡年]],1539-キャラマスタ[[#This Row],[初登場時の年齢]]),"")</f>
        <v/>
      </c>
      <c r="J81" t="s">
        <v>950</v>
      </c>
      <c r="K81" t="s">
        <v>929</v>
      </c>
      <c r="L81" t="s">
        <v>18</v>
      </c>
      <c r="R81" t="s">
        <v>960</v>
      </c>
      <c r="S81" t="s">
        <v>931</v>
      </c>
      <c r="T81" t="s">
        <v>1247</v>
      </c>
      <c r="V81" t="s">
        <v>274</v>
      </c>
      <c r="W81" t="s">
        <v>277</v>
      </c>
      <c r="X81" t="s">
        <v>372</v>
      </c>
      <c r="Z81" t="str">
        <f>IF(キャラマスタ[[#This Row],[生存ステータス]]=1,1539+キャラマスタ[[#This Row],[死亡年]],"")</f>
        <v/>
      </c>
      <c r="AA81" t="s">
        <v>1255</v>
      </c>
      <c r="AB81" t="s">
        <v>280</v>
      </c>
      <c r="AC81">
        <v>0</v>
      </c>
    </row>
    <row r="82" spans="1:42">
      <c r="A82" t="s">
        <v>1238</v>
      </c>
      <c r="B82" t="s">
        <v>1248</v>
      </c>
      <c r="C82" t="s">
        <v>534</v>
      </c>
      <c r="D82" t="str">
        <f>IFERROR(キャラマスタ[[#This Row],[初登場時の年齢]]+2,"")</f>
        <v/>
      </c>
      <c r="E82">
        <v>7</v>
      </c>
      <c r="F82">
        <v>60</v>
      </c>
      <c r="G82" s="11">
        <v>44770</v>
      </c>
      <c r="H82" t="str">
        <f>IFERROR(IF(キャラマスタ[[#This Row],[生存ステータス]]=1,1539-キャラマスタ[[#This Row],[初登場時の年齢]]+キャラマスタ[[#This Row],[死亡年]],1539-キャラマスタ[[#This Row],[初登場時の年齢]]),"")</f>
        <v/>
      </c>
      <c r="J82" t="s">
        <v>950</v>
      </c>
      <c r="K82" t="s">
        <v>929</v>
      </c>
      <c r="L82" t="s">
        <v>119</v>
      </c>
      <c r="R82" t="s">
        <v>960</v>
      </c>
      <c r="S82" t="s">
        <v>931</v>
      </c>
      <c r="T82" t="s">
        <v>1249</v>
      </c>
      <c r="V82" t="s">
        <v>274</v>
      </c>
      <c r="W82" t="s">
        <v>277</v>
      </c>
      <c r="X82" t="s">
        <v>372</v>
      </c>
      <c r="Z82" t="str">
        <f>IF(キャラマスタ[[#This Row],[生存ステータス]]=1,1539+キャラマスタ[[#This Row],[死亡年]],"")</f>
        <v/>
      </c>
      <c r="AA82" t="s">
        <v>1255</v>
      </c>
      <c r="AB82" t="s">
        <v>280</v>
      </c>
      <c r="AC82">
        <v>0</v>
      </c>
    </row>
    <row r="83" spans="1:42">
      <c r="A83" t="s">
        <v>1239</v>
      </c>
      <c r="B83" t="s">
        <v>1250</v>
      </c>
      <c r="C83" t="s">
        <v>139</v>
      </c>
      <c r="D83" t="str">
        <f>IFERROR(キャラマスタ[[#This Row],[初登場時の年齢]]+2,"")</f>
        <v/>
      </c>
      <c r="E83">
        <v>7</v>
      </c>
      <c r="F83">
        <v>62</v>
      </c>
      <c r="G83" s="11">
        <v>44824</v>
      </c>
      <c r="H83" t="str">
        <f>IFERROR(IF(キャラマスタ[[#This Row],[生存ステータス]]=1,1539-キャラマスタ[[#This Row],[初登場時の年齢]]+キャラマスタ[[#This Row],[死亡年]],1539-キャラマスタ[[#This Row],[初登場時の年齢]]),"")</f>
        <v/>
      </c>
      <c r="L83" t="s">
        <v>18</v>
      </c>
      <c r="V83" t="s">
        <v>274</v>
      </c>
      <c r="W83" t="s">
        <v>277</v>
      </c>
      <c r="X83" t="s">
        <v>373</v>
      </c>
      <c r="Z83" t="str">
        <f>IF(キャラマスタ[[#This Row],[生存ステータス]]=1,1539+キャラマスタ[[#This Row],[死亡年]],"")</f>
        <v/>
      </c>
      <c r="AA83" t="s">
        <v>1255</v>
      </c>
      <c r="AB83" t="s">
        <v>280</v>
      </c>
      <c r="AC83">
        <v>0</v>
      </c>
      <c r="AP83" t="s">
        <v>1251</v>
      </c>
    </row>
    <row r="84" spans="1:42">
      <c r="A84" t="s">
        <v>1306</v>
      </c>
      <c r="B84" t="s">
        <v>1252</v>
      </c>
      <c r="C84" t="s">
        <v>534</v>
      </c>
      <c r="D84" t="str">
        <f>IFERROR(キャラマスタ[[#This Row],[初登場時の年齢]]+2,"")</f>
        <v/>
      </c>
      <c r="E84">
        <v>8</v>
      </c>
      <c r="F84">
        <v>64</v>
      </c>
      <c r="G84" s="11">
        <v>44861</v>
      </c>
      <c r="H84" t="str">
        <f>IFERROR(IF(キャラマスタ[[#This Row],[生存ステータス]]=1,1539-キャラマスタ[[#This Row],[初登場時の年齢]]+キャラマスタ[[#This Row],[死亡年]],1539-キャラマスタ[[#This Row],[初登場時の年齢]]),"")</f>
        <v/>
      </c>
      <c r="J84" t="s">
        <v>950</v>
      </c>
      <c r="K84" t="s">
        <v>929</v>
      </c>
      <c r="L84" t="s">
        <v>18</v>
      </c>
      <c r="R84" t="s">
        <v>960</v>
      </c>
      <c r="S84" t="s">
        <v>1253</v>
      </c>
      <c r="T84" t="s">
        <v>1254</v>
      </c>
      <c r="V84" t="s">
        <v>274</v>
      </c>
      <c r="W84" t="s">
        <v>277</v>
      </c>
      <c r="X84" t="s">
        <v>372</v>
      </c>
      <c r="Z84" t="str">
        <f>IF(キャラマスタ[[#This Row],[生存ステータス]]=1,1539+キャラマスタ[[#This Row],[死亡年]],"")</f>
        <v/>
      </c>
      <c r="AA84" t="s">
        <v>1255</v>
      </c>
      <c r="AB84" t="s">
        <v>280</v>
      </c>
      <c r="AC84">
        <v>0</v>
      </c>
    </row>
    <row r="85" spans="1:42">
      <c r="A85" t="s">
        <v>1307</v>
      </c>
      <c r="B85" t="s">
        <v>1315</v>
      </c>
      <c r="C85" t="s">
        <v>139</v>
      </c>
      <c r="D85" t="str">
        <f>IFERROR(キャラマスタ[[#This Row],[初登場時の年齢]]+2,"")</f>
        <v/>
      </c>
      <c r="E85">
        <v>8</v>
      </c>
      <c r="F85">
        <v>68</v>
      </c>
      <c r="G85" s="11">
        <v>44802</v>
      </c>
      <c r="H85" t="str">
        <f>IFERROR(IF(キャラマスタ[[#This Row],[生存ステータス]]=1,1539-キャラマスタ[[#This Row],[初登場時の年齢]]+キャラマスタ[[#This Row],[死亡年]],1539-キャラマスタ[[#This Row],[初登場時の年齢]]),"")</f>
        <v/>
      </c>
      <c r="L85" t="s">
        <v>18</v>
      </c>
      <c r="V85" t="s">
        <v>1339</v>
      </c>
      <c r="W85" t="s">
        <v>1344</v>
      </c>
      <c r="X85" t="s">
        <v>1339</v>
      </c>
      <c r="Z85" t="str">
        <f>IF(キャラマスタ[[#This Row],[生存ステータス]]=1,1539+キャラマスタ[[#This Row],[死亡年]],"")</f>
        <v/>
      </c>
      <c r="AA85" t="s">
        <v>1339</v>
      </c>
      <c r="AB85" t="s">
        <v>280</v>
      </c>
      <c r="AC85">
        <v>0</v>
      </c>
      <c r="AP85" t="s">
        <v>1315</v>
      </c>
    </row>
    <row r="86" spans="1:42">
      <c r="A86" t="s">
        <v>1308</v>
      </c>
      <c r="B86" t="s">
        <v>1316</v>
      </c>
      <c r="C86" t="s">
        <v>139</v>
      </c>
      <c r="D86" t="str">
        <f>IFERROR(キャラマスタ[[#This Row],[初登場時の年齢]]+2,"")</f>
        <v/>
      </c>
      <c r="E86">
        <v>8</v>
      </c>
      <c r="F86">
        <v>69</v>
      </c>
      <c r="G86" s="11">
        <v>44015</v>
      </c>
      <c r="H86" t="str">
        <f>IFERROR(IF(キャラマスタ[[#This Row],[生存ステータス]]=1,1539-キャラマスタ[[#This Row],[初登場時の年齢]]+キャラマスタ[[#This Row],[死亡年]],1539-キャラマスタ[[#This Row],[初登場時の年齢]]),"")</f>
        <v/>
      </c>
      <c r="L86" t="s">
        <v>18</v>
      </c>
      <c r="V86" t="s">
        <v>276</v>
      </c>
      <c r="W86" t="s">
        <v>1341</v>
      </c>
      <c r="X86" t="s">
        <v>373</v>
      </c>
      <c r="Z86" t="str">
        <f>IF(キャラマスタ[[#This Row],[生存ステータス]]=1,1539+キャラマスタ[[#This Row],[死亡年]],"")</f>
        <v/>
      </c>
      <c r="AA86" t="s">
        <v>1339</v>
      </c>
      <c r="AB86" t="s">
        <v>280</v>
      </c>
      <c r="AC86">
        <v>0</v>
      </c>
    </row>
    <row r="87" spans="1:42">
      <c r="A87" t="s">
        <v>1309</v>
      </c>
      <c r="B87" t="s">
        <v>1317</v>
      </c>
      <c r="C87">
        <v>34</v>
      </c>
      <c r="D87">
        <f>IFERROR(キャラマスタ[[#This Row],[初登場時の年齢]]+2,"")</f>
        <v>36</v>
      </c>
      <c r="E87">
        <v>8</v>
      </c>
      <c r="F87">
        <v>69</v>
      </c>
      <c r="G87" s="11">
        <v>44177</v>
      </c>
      <c r="H87">
        <f>IFERROR(IF(キャラマスタ[[#This Row],[生存ステータス]]=1,1539-キャラマスタ[[#This Row],[初登場時の年齢]]+キャラマスタ[[#This Row],[死亡年]],1539-キャラマスタ[[#This Row],[初登場時の年齢]]),"")</f>
        <v>1505</v>
      </c>
      <c r="I87">
        <v>182</v>
      </c>
      <c r="L87" t="s">
        <v>18</v>
      </c>
      <c r="R87" t="s">
        <v>446</v>
      </c>
      <c r="S87" t="s">
        <v>1318</v>
      </c>
      <c r="T87" t="s">
        <v>83</v>
      </c>
      <c r="V87" t="s">
        <v>274</v>
      </c>
      <c r="W87" t="s">
        <v>277</v>
      </c>
      <c r="X87" t="s">
        <v>375</v>
      </c>
      <c r="Z87" t="str">
        <f>IF(キャラマスタ[[#This Row],[生存ステータス]]=1,1539+キャラマスタ[[#This Row],[死亡年]],"")</f>
        <v/>
      </c>
      <c r="AA87">
        <v>0</v>
      </c>
      <c r="AB87" t="s">
        <v>1342</v>
      </c>
      <c r="AC87">
        <v>0</v>
      </c>
      <c r="AG87" t="s">
        <v>682</v>
      </c>
      <c r="AH87" t="s">
        <v>1319</v>
      </c>
    </row>
    <row r="88" spans="1:42">
      <c r="A88" t="s">
        <v>1310</v>
      </c>
      <c r="B88" t="s">
        <v>1320</v>
      </c>
      <c r="C88">
        <v>39</v>
      </c>
      <c r="D88">
        <f>IFERROR(キャラマスタ[[#This Row],[初登場時の年齢]]+2,"")</f>
        <v>41</v>
      </c>
      <c r="E88">
        <v>8</v>
      </c>
      <c r="F88">
        <v>69</v>
      </c>
      <c r="G88" s="11">
        <v>43954</v>
      </c>
      <c r="H88">
        <f>IFERROR(IF(キャラマスタ[[#This Row],[生存ステータス]]=1,1539-キャラマスタ[[#This Row],[初登場時の年齢]]+キャラマスタ[[#This Row],[死亡年]],1539-キャラマスタ[[#This Row],[初登場時の年齢]]),"")</f>
        <v>1500</v>
      </c>
      <c r="I88">
        <v>263</v>
      </c>
      <c r="J88" t="s">
        <v>953</v>
      </c>
      <c r="K88" t="s">
        <v>1321</v>
      </c>
      <c r="L88" t="s">
        <v>527</v>
      </c>
      <c r="N88" t="s">
        <v>1322</v>
      </c>
      <c r="O88" t="s">
        <v>1323</v>
      </c>
      <c r="R88" t="s">
        <v>1292</v>
      </c>
      <c r="S88" t="s">
        <v>1324</v>
      </c>
      <c r="T88" t="s">
        <v>39</v>
      </c>
      <c r="V88" t="s">
        <v>274</v>
      </c>
      <c r="W88" t="s">
        <v>1341</v>
      </c>
      <c r="X88" t="s">
        <v>372</v>
      </c>
      <c r="Z88" t="str">
        <f>IF(キャラマスタ[[#This Row],[生存ステータス]]=1,1539+キャラマスタ[[#This Row],[死亡年]],"")</f>
        <v/>
      </c>
      <c r="AA88">
        <v>0</v>
      </c>
      <c r="AB88" t="s">
        <v>1342</v>
      </c>
      <c r="AC88">
        <v>0</v>
      </c>
      <c r="AD88">
        <v>-2920</v>
      </c>
      <c r="AE88">
        <v>9999</v>
      </c>
      <c r="AF88" t="s">
        <v>1325</v>
      </c>
      <c r="AG88" t="s">
        <v>699</v>
      </c>
      <c r="AH88" t="s">
        <v>1326</v>
      </c>
      <c r="AP88" t="s">
        <v>1327</v>
      </c>
    </row>
    <row r="89" spans="1:42">
      <c r="A89" t="s">
        <v>1311</v>
      </c>
      <c r="B89" t="s">
        <v>1328</v>
      </c>
      <c r="C89">
        <v>36</v>
      </c>
      <c r="D89">
        <f>IFERROR(キャラマスタ[[#This Row],[初登場時の年齢]]+2,"")</f>
        <v>38</v>
      </c>
      <c r="E89">
        <v>8</v>
      </c>
      <c r="F89">
        <v>69</v>
      </c>
      <c r="G89" s="11">
        <v>44051</v>
      </c>
      <c r="H89">
        <f>IFERROR(IF(キャラマスタ[[#This Row],[生存ステータス]]=1,1539-キャラマスタ[[#This Row],[初登場時の年齢]]+キャラマスタ[[#This Row],[死亡年]],1539-キャラマスタ[[#This Row],[初登場時の年齢]]),"")</f>
        <v>1503</v>
      </c>
      <c r="I89">
        <v>220</v>
      </c>
      <c r="J89" t="s">
        <v>953</v>
      </c>
      <c r="K89" t="s">
        <v>1321</v>
      </c>
      <c r="L89" t="s">
        <v>527</v>
      </c>
      <c r="N89" t="s">
        <v>1322</v>
      </c>
      <c r="O89" t="s">
        <v>1329</v>
      </c>
      <c r="R89" t="s">
        <v>1292</v>
      </c>
      <c r="S89" t="s">
        <v>1324</v>
      </c>
      <c r="T89" t="s">
        <v>1340</v>
      </c>
      <c r="V89" t="s">
        <v>274</v>
      </c>
      <c r="W89" t="s">
        <v>1341</v>
      </c>
      <c r="X89" t="s">
        <v>372</v>
      </c>
      <c r="Z89" t="str">
        <f>IF(キャラマスタ[[#This Row],[生存ステータス]]=1,1539+キャラマスタ[[#This Row],[死亡年]],"")</f>
        <v/>
      </c>
      <c r="AA89">
        <v>0</v>
      </c>
      <c r="AB89" t="s">
        <v>1342</v>
      </c>
      <c r="AC89">
        <v>0</v>
      </c>
      <c r="AD89">
        <v>-2920</v>
      </c>
      <c r="AE89">
        <v>9999</v>
      </c>
      <c r="AF89" t="s">
        <v>100</v>
      </c>
      <c r="AG89" t="s">
        <v>686</v>
      </c>
      <c r="AH89" t="s">
        <v>1330</v>
      </c>
      <c r="AP89" t="s">
        <v>1331</v>
      </c>
    </row>
    <row r="90" spans="1:42">
      <c r="A90" t="s">
        <v>1312</v>
      </c>
      <c r="B90" t="s">
        <v>1332</v>
      </c>
      <c r="C90" t="s">
        <v>139</v>
      </c>
      <c r="D90" t="str">
        <f>IFERROR(キャラマスタ[[#This Row],[初登場時の年齢]]+2,"")</f>
        <v/>
      </c>
      <c r="E90">
        <v>8</v>
      </c>
      <c r="F90">
        <v>69</v>
      </c>
      <c r="G90" s="11">
        <v>44726</v>
      </c>
      <c r="H90" t="str">
        <f>IFERROR(IF(キャラマスタ[[#This Row],[生存ステータス]]=1,1539-キャラマスタ[[#This Row],[初登場時の年齢]]+キャラマスタ[[#This Row],[死亡年]],1539-キャラマスタ[[#This Row],[初登場時の年齢]]),"")</f>
        <v/>
      </c>
      <c r="L90" t="s">
        <v>119</v>
      </c>
      <c r="N90" t="s">
        <v>1333</v>
      </c>
      <c r="V90" t="s">
        <v>274</v>
      </c>
      <c r="W90" t="s">
        <v>277</v>
      </c>
      <c r="X90" t="s">
        <v>373</v>
      </c>
      <c r="Z90" t="str">
        <f>IF(キャラマスタ[[#This Row],[生存ステータス]]=1,1539+キャラマスタ[[#This Row],[死亡年]],"")</f>
        <v/>
      </c>
      <c r="AA90" t="s">
        <v>1339</v>
      </c>
      <c r="AB90" t="s">
        <v>1343</v>
      </c>
      <c r="AC90">
        <v>0</v>
      </c>
    </row>
    <row r="91" spans="1:42">
      <c r="A91" t="s">
        <v>1313</v>
      </c>
      <c r="B91" t="s">
        <v>1334</v>
      </c>
      <c r="C91">
        <v>20</v>
      </c>
      <c r="D91">
        <f>IFERROR(キャラマスタ[[#This Row],[初登場時の年齢]]+2,"")</f>
        <v>22</v>
      </c>
      <c r="E91">
        <v>8</v>
      </c>
      <c r="F91">
        <v>70</v>
      </c>
      <c r="G91" s="11">
        <v>44037</v>
      </c>
      <c r="H91">
        <f>IFERROR(IF(キャラマスタ[[#This Row],[生存ステータス]]=1,1539-キャラマスタ[[#This Row],[初登場時の年齢]]+キャラマスタ[[#This Row],[死亡年]],1539-キャラマスタ[[#This Row],[初登場時の年齢]]),"")</f>
        <v>1519</v>
      </c>
      <c r="I91">
        <v>170</v>
      </c>
      <c r="L91" t="s">
        <v>119</v>
      </c>
      <c r="M91" t="s">
        <v>1273</v>
      </c>
      <c r="N91" t="s">
        <v>94</v>
      </c>
      <c r="S91" t="s">
        <v>94</v>
      </c>
      <c r="T91" t="s">
        <v>671</v>
      </c>
      <c r="V91" t="s">
        <v>276</v>
      </c>
      <c r="W91" t="s">
        <v>277</v>
      </c>
      <c r="X91" t="s">
        <v>373</v>
      </c>
      <c r="Z91" t="str">
        <f>IF(キャラマスタ[[#This Row],[生存ステータス]]=1,1539+キャラマスタ[[#This Row],[死亡年]],"")</f>
        <v/>
      </c>
      <c r="AA91">
        <v>0</v>
      </c>
      <c r="AB91" t="s">
        <v>1342</v>
      </c>
      <c r="AC91">
        <v>0</v>
      </c>
      <c r="AG91" t="s">
        <v>686</v>
      </c>
      <c r="AH91" t="s">
        <v>1335</v>
      </c>
    </row>
    <row r="92" spans="1:42">
      <c r="A92" t="s">
        <v>1314</v>
      </c>
      <c r="B92" t="s">
        <v>1336</v>
      </c>
      <c r="C92">
        <v>46</v>
      </c>
      <c r="D92">
        <f>IFERROR(キャラマスタ[[#This Row],[初登場時の年齢]]+2,"")</f>
        <v>48</v>
      </c>
      <c r="E92">
        <v>8</v>
      </c>
      <c r="F92">
        <v>71</v>
      </c>
      <c r="G92" s="11">
        <v>43999</v>
      </c>
      <c r="H92">
        <f>IFERROR(IF(キャラマスタ[[#This Row],[生存ステータス]]=1,1539-キャラマスタ[[#This Row],[初登場時の年齢]]+キャラマスタ[[#This Row],[死亡年]],1539-キャラマスタ[[#This Row],[初登場時の年齢]]),"")</f>
        <v>1493</v>
      </c>
      <c r="I92">
        <v>173</v>
      </c>
      <c r="L92" t="s">
        <v>119</v>
      </c>
      <c r="M92" t="s">
        <v>1273</v>
      </c>
      <c r="N92" t="s">
        <v>94</v>
      </c>
      <c r="S92" t="s">
        <v>94</v>
      </c>
      <c r="T92" t="s">
        <v>1337</v>
      </c>
      <c r="V92" t="s">
        <v>274</v>
      </c>
      <c r="W92" t="s">
        <v>277</v>
      </c>
      <c r="X92" t="s">
        <v>373</v>
      </c>
      <c r="Z92" t="str">
        <f>IF(キャラマスタ[[#This Row],[生存ステータス]]=1,1539+キャラマスタ[[#This Row],[死亡年]],"")</f>
        <v/>
      </c>
      <c r="AA92">
        <v>0</v>
      </c>
      <c r="AB92" t="s">
        <v>1342</v>
      </c>
      <c r="AC92">
        <v>0</v>
      </c>
      <c r="AG92" t="s">
        <v>699</v>
      </c>
      <c r="AH92" t="s">
        <v>1338</v>
      </c>
    </row>
    <row r="93" spans="1:42">
      <c r="A93" t="s">
        <v>1451</v>
      </c>
      <c r="B93" t="s">
        <v>1461</v>
      </c>
      <c r="C93" t="s">
        <v>534</v>
      </c>
      <c r="D93" t="str">
        <f>IFERROR(キャラマスタ[[#This Row],[初登場時の年齢]]+2,"")</f>
        <v/>
      </c>
      <c r="E93">
        <v>9</v>
      </c>
      <c r="F93">
        <v>72</v>
      </c>
      <c r="G93" s="11">
        <v>44897</v>
      </c>
      <c r="H93" t="str">
        <f>IFERROR(IF(キャラマスタ[[#This Row],[生存ステータス]]=1,1539-キャラマスタ[[#This Row],[初登場時の年齢]]+キャラマスタ[[#This Row],[死亡年]],1539-キャラマスタ[[#This Row],[初登場時の年齢]]),"")</f>
        <v/>
      </c>
      <c r="J93" t="s">
        <v>953</v>
      </c>
      <c r="K93" t="s">
        <v>1321</v>
      </c>
      <c r="L93" t="s">
        <v>1462</v>
      </c>
      <c r="N93" t="s">
        <v>1463</v>
      </c>
      <c r="R93" t="s">
        <v>1292</v>
      </c>
      <c r="S93" t="s">
        <v>1324</v>
      </c>
      <c r="T93" t="s">
        <v>1464</v>
      </c>
      <c r="V93" t="s">
        <v>274</v>
      </c>
      <c r="W93" t="s">
        <v>1341</v>
      </c>
      <c r="X93" t="s">
        <v>372</v>
      </c>
      <c r="Z93" t="str">
        <f>IF(キャラマスタ[[#This Row],[生存ステータス]]=1,1539+キャラマスタ[[#This Row],[死亡年]],"")</f>
        <v/>
      </c>
      <c r="AA93" t="s">
        <v>1498</v>
      </c>
      <c r="AB93" t="s">
        <v>599</v>
      </c>
      <c r="AC93">
        <v>0</v>
      </c>
      <c r="AP93" t="s">
        <v>1465</v>
      </c>
    </row>
    <row r="94" spans="1:42">
      <c r="A94" t="s">
        <v>1452</v>
      </c>
      <c r="B94" t="s">
        <v>1466</v>
      </c>
      <c r="C94" t="s">
        <v>534</v>
      </c>
      <c r="D94" t="str">
        <f>IFERROR(キャラマスタ[[#This Row],[初登場時の年齢]]+2,"")</f>
        <v/>
      </c>
      <c r="E94">
        <v>9</v>
      </c>
      <c r="F94">
        <v>72</v>
      </c>
      <c r="G94" s="11">
        <v>44787</v>
      </c>
      <c r="H94" t="str">
        <f>IFERROR(IF(キャラマスタ[[#This Row],[生存ステータス]]=1,1539-キャラマスタ[[#This Row],[初登場時の年齢]]+キャラマスタ[[#This Row],[死亡年]],1539-キャラマスタ[[#This Row],[初登場時の年齢]]),"")</f>
        <v/>
      </c>
      <c r="J94" t="s">
        <v>953</v>
      </c>
      <c r="K94" t="s">
        <v>1467</v>
      </c>
      <c r="L94" t="s">
        <v>1468</v>
      </c>
      <c r="N94" t="s">
        <v>1469</v>
      </c>
      <c r="R94" t="s">
        <v>1292</v>
      </c>
      <c r="S94" t="s">
        <v>1324</v>
      </c>
      <c r="T94" t="s">
        <v>143</v>
      </c>
      <c r="V94" t="s">
        <v>274</v>
      </c>
      <c r="W94" t="s">
        <v>1341</v>
      </c>
      <c r="X94" t="s">
        <v>372</v>
      </c>
      <c r="Z94" t="str">
        <f>IF(キャラマスタ[[#This Row],[生存ステータス]]=1,1539+キャラマスタ[[#This Row],[死亡年]],"")</f>
        <v/>
      </c>
      <c r="AA94" t="s">
        <v>1498</v>
      </c>
      <c r="AB94" t="s">
        <v>599</v>
      </c>
      <c r="AC94">
        <v>0</v>
      </c>
    </row>
    <row r="95" spans="1:42">
      <c r="A95" t="s">
        <v>1453</v>
      </c>
      <c r="B95" t="s">
        <v>1470</v>
      </c>
      <c r="C95">
        <v>14</v>
      </c>
      <c r="D95">
        <f>IFERROR(キャラマスタ[[#This Row],[初登場時の年齢]]+2,"")</f>
        <v>16</v>
      </c>
      <c r="E95">
        <v>9</v>
      </c>
      <c r="F95">
        <v>73</v>
      </c>
      <c r="G95" s="11">
        <v>43930</v>
      </c>
      <c r="H95">
        <f>IFERROR(IF(キャラマスタ[[#This Row],[生存ステータス]]=1,1539-キャラマスタ[[#This Row],[初登場時の年齢]]+キャラマスタ[[#This Row],[死亡年]],1539-キャラマスタ[[#This Row],[初登場時の年齢]]),"")</f>
        <v>1525</v>
      </c>
      <c r="I95">
        <v>3600</v>
      </c>
      <c r="J95" t="s">
        <v>953</v>
      </c>
      <c r="K95" t="s">
        <v>1321</v>
      </c>
      <c r="L95" t="s">
        <v>527</v>
      </c>
      <c r="O95" t="s">
        <v>1471</v>
      </c>
      <c r="R95" t="s">
        <v>1292</v>
      </c>
      <c r="S95" t="s">
        <v>1324</v>
      </c>
      <c r="T95" t="s">
        <v>331</v>
      </c>
      <c r="V95" t="s">
        <v>1498</v>
      </c>
      <c r="W95" t="s">
        <v>1497</v>
      </c>
      <c r="X95" t="s">
        <v>372</v>
      </c>
      <c r="Z95" t="str">
        <f>IF(キャラマスタ[[#This Row],[生存ステータス]]=1,1539+キャラマスタ[[#This Row],[死亡年]],"")</f>
        <v/>
      </c>
      <c r="AA95">
        <v>0</v>
      </c>
      <c r="AB95" t="s">
        <v>1499</v>
      </c>
      <c r="AC95">
        <v>0</v>
      </c>
      <c r="AG95" t="s">
        <v>686</v>
      </c>
      <c r="AH95" t="s">
        <v>1472</v>
      </c>
      <c r="AP95" t="s">
        <v>1473</v>
      </c>
    </row>
    <row r="96" spans="1:42">
      <c r="A96" t="s">
        <v>1454</v>
      </c>
      <c r="B96" t="s">
        <v>1474</v>
      </c>
      <c r="C96">
        <v>33</v>
      </c>
      <c r="D96">
        <f>IFERROR(キャラマスタ[[#This Row],[初登場時の年齢]]+2,"")</f>
        <v>35</v>
      </c>
      <c r="E96">
        <v>9</v>
      </c>
      <c r="F96">
        <v>75</v>
      </c>
      <c r="G96" s="11">
        <v>43974</v>
      </c>
      <c r="H96">
        <f>IFERROR(IF(キャラマスタ[[#This Row],[生存ステータス]]=1,1539-キャラマスタ[[#This Row],[初登場時の年齢]]+キャラマスタ[[#This Row],[死亡年]],1539-キャラマスタ[[#This Row],[初登場時の年齢]]),"")</f>
        <v>1506</v>
      </c>
      <c r="I96">
        <v>257</v>
      </c>
      <c r="J96" t="s">
        <v>953</v>
      </c>
      <c r="K96" t="s">
        <v>1321</v>
      </c>
      <c r="L96" t="s">
        <v>527</v>
      </c>
      <c r="N96" t="s">
        <v>1322</v>
      </c>
      <c r="R96" t="s">
        <v>1292</v>
      </c>
      <c r="S96" t="s">
        <v>1324</v>
      </c>
      <c r="T96" t="s">
        <v>1340</v>
      </c>
      <c r="V96" t="s">
        <v>274</v>
      </c>
      <c r="W96" t="s">
        <v>1341</v>
      </c>
      <c r="X96" t="s">
        <v>372</v>
      </c>
      <c r="Z96" t="str">
        <f>IF(キャラマスタ[[#This Row],[生存ステータス]]=1,1539+キャラマスタ[[#This Row],[死亡年]],"")</f>
        <v/>
      </c>
      <c r="AA96">
        <v>0</v>
      </c>
      <c r="AB96" t="s">
        <v>1499</v>
      </c>
      <c r="AC96">
        <v>0</v>
      </c>
      <c r="AF96" t="s">
        <v>1475</v>
      </c>
      <c r="AG96" t="s">
        <v>475</v>
      </c>
      <c r="AH96" t="s">
        <v>1476</v>
      </c>
      <c r="AP96" t="s">
        <v>1477</v>
      </c>
    </row>
    <row r="97" spans="1:42">
      <c r="A97" t="s">
        <v>1455</v>
      </c>
      <c r="B97" t="s">
        <v>1478</v>
      </c>
      <c r="C97">
        <v>36</v>
      </c>
      <c r="D97">
        <f>IFERROR(キャラマスタ[[#This Row],[初登場時の年齢]]+2,"")</f>
        <v>38</v>
      </c>
      <c r="E97">
        <v>9</v>
      </c>
      <c r="F97">
        <v>75</v>
      </c>
      <c r="G97" s="11">
        <v>44129</v>
      </c>
      <c r="H97">
        <f>IFERROR(IF(キャラマスタ[[#This Row],[生存ステータス]]=1,1539-キャラマスタ[[#This Row],[初登場時の年齢]]+キャラマスタ[[#This Row],[死亡年]],1539-キャラマスタ[[#This Row],[初登場時の年齢]]),"")</f>
        <v>1503</v>
      </c>
      <c r="I97">
        <v>252</v>
      </c>
      <c r="J97" t="s">
        <v>953</v>
      </c>
      <c r="K97" t="s">
        <v>1321</v>
      </c>
      <c r="L97" t="s">
        <v>527</v>
      </c>
      <c r="N97" t="s">
        <v>1322</v>
      </c>
      <c r="R97" t="s">
        <v>1292</v>
      </c>
      <c r="S97" t="s">
        <v>1324</v>
      </c>
      <c r="T97" t="s">
        <v>1340</v>
      </c>
      <c r="V97" t="s">
        <v>274</v>
      </c>
      <c r="W97" t="s">
        <v>1341</v>
      </c>
      <c r="X97" t="s">
        <v>372</v>
      </c>
      <c r="Z97" t="str">
        <f>IF(キャラマスタ[[#This Row],[生存ステータス]]=1,1539+キャラマスタ[[#This Row],[死亡年]],"")</f>
        <v/>
      </c>
      <c r="AA97">
        <v>0</v>
      </c>
      <c r="AB97" t="s">
        <v>1499</v>
      </c>
      <c r="AC97">
        <v>0</v>
      </c>
      <c r="AF97" t="s">
        <v>1479</v>
      </c>
      <c r="AG97" t="s">
        <v>29</v>
      </c>
      <c r="AH97" t="s">
        <v>1480</v>
      </c>
      <c r="AP97" t="s">
        <v>1481</v>
      </c>
    </row>
    <row r="98" spans="1:42">
      <c r="A98" t="s">
        <v>1456</v>
      </c>
      <c r="B98" t="s">
        <v>1482</v>
      </c>
      <c r="C98" t="s">
        <v>534</v>
      </c>
      <c r="D98" t="str">
        <f>IFERROR(キャラマスタ[[#This Row],[初登場時の年齢]]+2,"")</f>
        <v/>
      </c>
      <c r="E98">
        <v>9</v>
      </c>
      <c r="F98">
        <v>75</v>
      </c>
      <c r="G98" s="11">
        <v>44647</v>
      </c>
      <c r="H98" t="str">
        <f>IFERROR(IF(キャラマスタ[[#This Row],[生存ステータス]]=1,1539-キャラマスタ[[#This Row],[初登場時の年齢]]+キャラマスタ[[#This Row],[死亡年]],1539-キャラマスタ[[#This Row],[初登場時の年齢]]),"")</f>
        <v/>
      </c>
      <c r="J98" t="s">
        <v>953</v>
      </c>
      <c r="K98" t="s">
        <v>1321</v>
      </c>
      <c r="L98" t="s">
        <v>1462</v>
      </c>
      <c r="N98" t="s">
        <v>1463</v>
      </c>
      <c r="R98" t="s">
        <v>1292</v>
      </c>
      <c r="S98" t="s">
        <v>1324</v>
      </c>
      <c r="T98" t="s">
        <v>1483</v>
      </c>
      <c r="V98" t="s">
        <v>274</v>
      </c>
      <c r="W98" t="s">
        <v>1341</v>
      </c>
      <c r="X98" t="s">
        <v>372</v>
      </c>
      <c r="Z98" t="str">
        <f>IF(キャラマスタ[[#This Row],[生存ステータス]]=1,1539+キャラマスタ[[#This Row],[死亡年]],"")</f>
        <v/>
      </c>
      <c r="AA98" t="s">
        <v>1498</v>
      </c>
      <c r="AB98" t="s">
        <v>1500</v>
      </c>
      <c r="AC98">
        <v>0</v>
      </c>
      <c r="AP98" t="s">
        <v>1484</v>
      </c>
    </row>
    <row r="99" spans="1:42">
      <c r="A99" t="s">
        <v>1457</v>
      </c>
      <c r="B99" t="s">
        <v>1485</v>
      </c>
      <c r="C99" t="s">
        <v>534</v>
      </c>
      <c r="D99" t="str">
        <f>IFERROR(キャラマスタ[[#This Row],[初登場時の年齢]]+2,"")</f>
        <v/>
      </c>
      <c r="E99">
        <v>9</v>
      </c>
      <c r="F99">
        <v>75</v>
      </c>
      <c r="G99" s="11">
        <v>44794</v>
      </c>
      <c r="H99" t="str">
        <f>IFERROR(IF(キャラマスタ[[#This Row],[生存ステータス]]=1,1539-キャラマスタ[[#This Row],[初登場時の年齢]]+キャラマスタ[[#This Row],[死亡年]],1539-キャラマスタ[[#This Row],[初登場時の年齢]]),"")</f>
        <v/>
      </c>
      <c r="J99" t="s">
        <v>953</v>
      </c>
      <c r="K99" t="s">
        <v>1321</v>
      </c>
      <c r="L99" t="s">
        <v>1462</v>
      </c>
      <c r="N99" t="s">
        <v>1463</v>
      </c>
      <c r="R99" t="s">
        <v>1292</v>
      </c>
      <c r="S99" t="s">
        <v>1324</v>
      </c>
      <c r="T99" t="s">
        <v>1486</v>
      </c>
      <c r="V99" t="s">
        <v>274</v>
      </c>
      <c r="W99" t="s">
        <v>1341</v>
      </c>
      <c r="X99" t="s">
        <v>372</v>
      </c>
      <c r="Z99" t="str">
        <f>IF(キャラマスタ[[#This Row],[生存ステータス]]=1,1539+キャラマスタ[[#This Row],[死亡年]],"")</f>
        <v/>
      </c>
      <c r="AA99" t="s">
        <v>1498</v>
      </c>
      <c r="AB99" t="s">
        <v>1500</v>
      </c>
      <c r="AC99">
        <v>0</v>
      </c>
      <c r="AP99" t="s">
        <v>1487</v>
      </c>
    </row>
    <row r="100" spans="1:42">
      <c r="A100" t="s">
        <v>1458</v>
      </c>
      <c r="B100" t="s">
        <v>1488</v>
      </c>
      <c r="C100" t="s">
        <v>534</v>
      </c>
      <c r="D100" t="str">
        <f>IFERROR(キャラマスタ[[#This Row],[初登場時の年齢]]+2,"")</f>
        <v/>
      </c>
      <c r="E100">
        <v>9</v>
      </c>
      <c r="F100">
        <v>75</v>
      </c>
      <c r="G100" s="11">
        <v>44697</v>
      </c>
      <c r="H100" t="str">
        <f>IFERROR(IF(キャラマスタ[[#This Row],[生存ステータス]]=1,1539-キャラマスタ[[#This Row],[初登場時の年齢]]+キャラマスタ[[#This Row],[死亡年]],1539-キャラマスタ[[#This Row],[初登場時の年齢]]),"")</f>
        <v/>
      </c>
      <c r="L100" t="s">
        <v>18</v>
      </c>
      <c r="R100" t="s">
        <v>446</v>
      </c>
      <c r="S100" t="s">
        <v>1489</v>
      </c>
      <c r="T100" t="s">
        <v>1490</v>
      </c>
      <c r="V100" t="s">
        <v>274</v>
      </c>
      <c r="W100" t="s">
        <v>277</v>
      </c>
      <c r="X100" t="s">
        <v>375</v>
      </c>
      <c r="Z100" t="str">
        <f>IF(キャラマスタ[[#This Row],[生存ステータス]]=1,1539+キャラマスタ[[#This Row],[死亡年]],"")</f>
        <v/>
      </c>
      <c r="AA100">
        <v>0</v>
      </c>
      <c r="AB100" t="s">
        <v>1499</v>
      </c>
      <c r="AC100">
        <v>0</v>
      </c>
    </row>
    <row r="101" spans="1:42">
      <c r="A101" t="s">
        <v>1459</v>
      </c>
      <c r="B101" t="s">
        <v>1491</v>
      </c>
      <c r="C101">
        <v>28</v>
      </c>
      <c r="D101">
        <f>IFERROR(キャラマスタ[[#This Row],[初登場時の年齢]]+2,"")</f>
        <v>30</v>
      </c>
      <c r="E101">
        <v>9</v>
      </c>
      <c r="F101">
        <v>77</v>
      </c>
      <c r="G101" s="11">
        <v>44168</v>
      </c>
      <c r="H101">
        <f>IFERROR(IF(キャラマスタ[[#This Row],[生存ステータス]]=1,1539-キャラマスタ[[#This Row],[初登場時の年齢]]+キャラマスタ[[#This Row],[死亡年]],1539-キャラマスタ[[#This Row],[初登場時の年齢]]),"")</f>
        <v>1503</v>
      </c>
      <c r="I101">
        <v>186</v>
      </c>
      <c r="L101" t="s">
        <v>119</v>
      </c>
      <c r="M101" t="s">
        <v>1273</v>
      </c>
      <c r="N101" t="s">
        <v>94</v>
      </c>
      <c r="R101" t="s">
        <v>1292</v>
      </c>
      <c r="S101" t="s">
        <v>94</v>
      </c>
      <c r="T101" t="s">
        <v>671</v>
      </c>
      <c r="V101" t="s">
        <v>276</v>
      </c>
      <c r="W101" t="s">
        <v>277</v>
      </c>
      <c r="X101" t="s">
        <v>373</v>
      </c>
      <c r="Y101">
        <v>-8</v>
      </c>
      <c r="Z101">
        <f>IF(キャラマスタ[[#This Row],[生存ステータス]]=1,1539+キャラマスタ[[#This Row],[死亡年]],"")</f>
        <v>1531</v>
      </c>
      <c r="AA101">
        <v>1</v>
      </c>
      <c r="AB101" t="s">
        <v>1499</v>
      </c>
      <c r="AC101">
        <v>0</v>
      </c>
      <c r="AG101" t="s">
        <v>686</v>
      </c>
      <c r="AH101" t="s">
        <v>1335</v>
      </c>
      <c r="AP101" t="s">
        <v>377</v>
      </c>
    </row>
    <row r="102" spans="1:42">
      <c r="A102" t="s">
        <v>1460</v>
      </c>
      <c r="B102" t="s">
        <v>1492</v>
      </c>
      <c r="C102" t="s">
        <v>534</v>
      </c>
      <c r="D102" t="str">
        <f>IFERROR(キャラマスタ[[#This Row],[初登場時の年齢]]+2,"")</f>
        <v/>
      </c>
      <c r="E102">
        <v>9</v>
      </c>
      <c r="F102">
        <v>78</v>
      </c>
      <c r="G102" s="11">
        <v>44743</v>
      </c>
      <c r="H102" t="str">
        <f>IFERROR(IF(キャラマスタ[[#This Row],[生存ステータス]]=1,1539-キャラマスタ[[#This Row],[初登場時の年齢]]+キャラマスタ[[#This Row],[死亡年]],1539-キャラマスタ[[#This Row],[初登場時の年齢]]),"")</f>
        <v/>
      </c>
      <c r="L102" t="s">
        <v>18</v>
      </c>
      <c r="M102" t="s">
        <v>1273</v>
      </c>
      <c r="N102" t="s">
        <v>94</v>
      </c>
      <c r="V102" t="s">
        <v>274</v>
      </c>
      <c r="W102" t="s">
        <v>277</v>
      </c>
      <c r="X102" t="s">
        <v>373</v>
      </c>
      <c r="Z102" t="str">
        <f>IF(キャラマスタ[[#This Row],[生存ステータス]]=1,1539+キャラマスタ[[#This Row],[死亡年]],"")</f>
        <v/>
      </c>
      <c r="AA102" t="s">
        <v>1498</v>
      </c>
      <c r="AB102" t="s">
        <v>1500</v>
      </c>
      <c r="AC102">
        <v>0</v>
      </c>
    </row>
    <row r="103" spans="1:42">
      <c r="A103" t="s">
        <v>1495</v>
      </c>
      <c r="B103" t="s">
        <v>1493</v>
      </c>
      <c r="C103" t="s">
        <v>1496</v>
      </c>
      <c r="D103" t="str">
        <f>IFERROR(キャラマスタ[[#This Row],[初登場時の年齢]]+2,"")</f>
        <v/>
      </c>
      <c r="E103">
        <v>9</v>
      </c>
      <c r="F103">
        <v>79</v>
      </c>
      <c r="G103" s="11">
        <v>44886</v>
      </c>
      <c r="H103" t="str">
        <f>IFERROR(IF(キャラマスタ[[#This Row],[生存ステータス]]=1,1539-キャラマスタ[[#This Row],[初登場時の年齢]]+キャラマスタ[[#This Row],[死亡年]],1539-キャラマスタ[[#This Row],[初登場時の年齢]]),"")</f>
        <v/>
      </c>
      <c r="L103" t="s">
        <v>18</v>
      </c>
      <c r="V103" t="s">
        <v>276</v>
      </c>
      <c r="W103" t="s">
        <v>277</v>
      </c>
      <c r="X103" t="s">
        <v>373</v>
      </c>
      <c r="Z103" t="str">
        <f>IF(キャラマスタ[[#This Row],[生存ステータス]]=1,1539+キャラマスタ[[#This Row],[死亡年]],"")</f>
        <v/>
      </c>
      <c r="AA103" t="s">
        <v>1498</v>
      </c>
      <c r="AB103" t="s">
        <v>1500</v>
      </c>
      <c r="AC103">
        <v>0</v>
      </c>
      <c r="AP103" t="s">
        <v>1494</v>
      </c>
    </row>
    <row r="104" spans="1:42">
      <c r="A104" t="s">
        <v>1794</v>
      </c>
      <c r="B104" t="s">
        <v>1742</v>
      </c>
      <c r="C104" t="s">
        <v>534</v>
      </c>
      <c r="D104" t="str">
        <f>IFERROR(キャラマスタ[[#This Row],[初登場時の年齢]]+2,"")</f>
        <v/>
      </c>
      <c r="E104">
        <v>11</v>
      </c>
      <c r="F104">
        <v>94</v>
      </c>
      <c r="G104" s="11">
        <v>44855</v>
      </c>
      <c r="H104" t="str">
        <f>IFERROR(IF(キャラマスタ[[#This Row],[生存ステータス]]=1,1539-キャラマスタ[[#This Row],[初登場時の年齢]]+キャラマスタ[[#This Row],[死亡年]],1539-キャラマスタ[[#This Row],[初登場時の年齢]]),"")</f>
        <v/>
      </c>
      <c r="L104" t="s">
        <v>18</v>
      </c>
      <c r="M104" t="s">
        <v>1273</v>
      </c>
      <c r="N104" t="s">
        <v>1743</v>
      </c>
      <c r="V104" t="s">
        <v>274</v>
      </c>
      <c r="W104" t="s">
        <v>277</v>
      </c>
      <c r="X104" t="s">
        <v>373</v>
      </c>
      <c r="Z104" t="str">
        <f>IF(キャラマスタ[[#This Row],[生存ステータス]]=1,1539+キャラマスタ[[#This Row],[死亡年]],"")</f>
        <v/>
      </c>
      <c r="AA104" t="s">
        <v>1821</v>
      </c>
      <c r="AB104" t="s">
        <v>280</v>
      </c>
      <c r="AC104">
        <v>0</v>
      </c>
      <c r="AP104" t="s">
        <v>1744</v>
      </c>
    </row>
    <row r="105" spans="1:42">
      <c r="A105" t="s">
        <v>1795</v>
      </c>
      <c r="B105" t="s">
        <v>1745</v>
      </c>
      <c r="C105" t="s">
        <v>534</v>
      </c>
      <c r="D105" t="str">
        <f>IFERROR(キャラマスタ[[#This Row],[初登場時の年齢]]+2,"")</f>
        <v/>
      </c>
      <c r="E105">
        <v>11</v>
      </c>
      <c r="F105">
        <v>94</v>
      </c>
      <c r="G105" s="11"/>
      <c r="H105" t="str">
        <f>IFERROR(IF(キャラマスタ[[#This Row],[生存ステータス]]=1,1539-キャラマスタ[[#This Row],[初登場時の年齢]]+キャラマスタ[[#This Row],[死亡年]],1539-キャラマスタ[[#This Row],[初登場時の年齢]]),"")</f>
        <v/>
      </c>
      <c r="L105" t="s">
        <v>1746</v>
      </c>
      <c r="V105" t="s">
        <v>1821</v>
      </c>
      <c r="W105" t="s">
        <v>1823</v>
      </c>
      <c r="X105" t="s">
        <v>962</v>
      </c>
      <c r="Z105" t="str">
        <f>IF(キャラマスタ[[#This Row],[生存ステータス]]=1,1539+キャラマスタ[[#This Row],[死亡年]],"")</f>
        <v/>
      </c>
      <c r="AA105" t="s">
        <v>1821</v>
      </c>
      <c r="AB105" t="s">
        <v>280</v>
      </c>
      <c r="AC105">
        <v>0</v>
      </c>
      <c r="AH105" t="s">
        <v>1747</v>
      </c>
      <c r="AP105" t="s">
        <v>1748</v>
      </c>
    </row>
    <row r="106" spans="1:42">
      <c r="A106" t="s">
        <v>1796</v>
      </c>
      <c r="B106" t="s">
        <v>1749</v>
      </c>
      <c r="C106" t="s">
        <v>534</v>
      </c>
      <c r="D106" t="str">
        <f>IFERROR(キャラマスタ[[#This Row],[初登場時の年齢]]+2,"")</f>
        <v/>
      </c>
      <c r="E106">
        <v>11</v>
      </c>
      <c r="F106">
        <v>96</v>
      </c>
      <c r="G106" s="11"/>
      <c r="H106" t="str">
        <f>IFERROR(IF(キャラマスタ[[#This Row],[生存ステータス]]=1,1539-キャラマスタ[[#This Row],[初登場時の年齢]]+キャラマスタ[[#This Row],[死亡年]],1539-キャラマスタ[[#This Row],[初登場時の年齢]]),"")</f>
        <v/>
      </c>
      <c r="L106" t="s">
        <v>527</v>
      </c>
      <c r="V106" t="s">
        <v>1821</v>
      </c>
      <c r="W106" t="s">
        <v>1824</v>
      </c>
      <c r="X106" t="s">
        <v>962</v>
      </c>
      <c r="Z106" t="str">
        <f>IF(キャラマスタ[[#This Row],[生存ステータス]]=1,1539+キャラマスタ[[#This Row],[死亡年]],"")</f>
        <v/>
      </c>
      <c r="AA106" t="s">
        <v>1821</v>
      </c>
      <c r="AB106" t="s">
        <v>280</v>
      </c>
      <c r="AC106">
        <v>0</v>
      </c>
      <c r="AH106" t="s">
        <v>1750</v>
      </c>
      <c r="AP106" t="s">
        <v>1751</v>
      </c>
    </row>
    <row r="107" spans="1:42">
      <c r="A107" t="s">
        <v>1797</v>
      </c>
      <c r="B107" t="s">
        <v>1752</v>
      </c>
      <c r="C107">
        <v>54</v>
      </c>
      <c r="D107">
        <f>IFERROR(キャラマスタ[[#This Row],[初登場時の年齢]]+2,"")</f>
        <v>56</v>
      </c>
      <c r="E107">
        <v>11</v>
      </c>
      <c r="F107">
        <v>96</v>
      </c>
      <c r="G107" s="11">
        <v>44077</v>
      </c>
      <c r="H107">
        <f>IFERROR(IF(キャラマスタ[[#This Row],[生存ステータス]]=1,1539-キャラマスタ[[#This Row],[初登場時の年齢]]+キャラマスタ[[#This Row],[死亡年]],1539-キャラマスタ[[#This Row],[初登場時の年齢]]),"")</f>
        <v>1485</v>
      </c>
      <c r="I107">
        <v>190</v>
      </c>
      <c r="L107" t="s">
        <v>1753</v>
      </c>
      <c r="R107" t="s">
        <v>446</v>
      </c>
      <c r="S107" t="s">
        <v>1754</v>
      </c>
      <c r="T107" t="s">
        <v>1819</v>
      </c>
      <c r="V107" t="s">
        <v>274</v>
      </c>
      <c r="W107" t="s">
        <v>277</v>
      </c>
      <c r="X107" t="s">
        <v>375</v>
      </c>
      <c r="Z107" t="str">
        <f>IF(キャラマスタ[[#This Row],[生存ステータス]]=1,1539+キャラマスタ[[#This Row],[死亡年]],"")</f>
        <v/>
      </c>
      <c r="AA107">
        <v>0</v>
      </c>
      <c r="AB107" t="s">
        <v>1826</v>
      </c>
      <c r="AC107">
        <v>0</v>
      </c>
      <c r="AF107" t="s">
        <v>100</v>
      </c>
      <c r="AG107" t="s">
        <v>475</v>
      </c>
      <c r="AH107" t="s">
        <v>1755</v>
      </c>
    </row>
    <row r="108" spans="1:42">
      <c r="A108" t="s">
        <v>1798</v>
      </c>
      <c r="B108" t="s">
        <v>1756</v>
      </c>
      <c r="C108" t="s">
        <v>534</v>
      </c>
      <c r="D108" t="str">
        <f>IFERROR(キャラマスタ[[#This Row],[初登場時の年齢]]+2,"")</f>
        <v/>
      </c>
      <c r="E108">
        <v>11</v>
      </c>
      <c r="F108">
        <v>96</v>
      </c>
      <c r="G108" s="11">
        <v>44700</v>
      </c>
      <c r="H108" t="str">
        <f>IFERROR(IF(キャラマスタ[[#This Row],[生存ステータス]]=1,1539-キャラマスタ[[#This Row],[初登場時の年齢]]+キャラマスタ[[#This Row],[死亡年]],1539-キャラマスタ[[#This Row],[初登場時の年齢]]),"")</f>
        <v/>
      </c>
      <c r="L108" t="s">
        <v>1757</v>
      </c>
      <c r="R108" t="s">
        <v>446</v>
      </c>
      <c r="S108" t="s">
        <v>898</v>
      </c>
      <c r="T108" t="s">
        <v>1758</v>
      </c>
      <c r="V108" t="s">
        <v>274</v>
      </c>
      <c r="W108" t="s">
        <v>1825</v>
      </c>
      <c r="X108" t="s">
        <v>375</v>
      </c>
      <c r="Z108" t="str">
        <f>IF(キャラマスタ[[#This Row],[生存ステータス]]=1,1539+キャラマスタ[[#This Row],[死亡年]],"")</f>
        <v/>
      </c>
      <c r="AA108">
        <v>0</v>
      </c>
      <c r="AB108" t="s">
        <v>1826</v>
      </c>
      <c r="AC108">
        <v>0</v>
      </c>
      <c r="AP108" t="s">
        <v>1759</v>
      </c>
    </row>
    <row r="109" spans="1:42">
      <c r="A109" t="s">
        <v>1799</v>
      </c>
      <c r="B109" t="s">
        <v>1760</v>
      </c>
      <c r="C109" t="s">
        <v>534</v>
      </c>
      <c r="D109" t="str">
        <f>IFERROR(キャラマスタ[[#This Row],[初登場時の年齢]]+2,"")</f>
        <v/>
      </c>
      <c r="E109">
        <v>11</v>
      </c>
      <c r="F109">
        <v>96</v>
      </c>
      <c r="G109" s="11">
        <v>44904</v>
      </c>
      <c r="H109" t="str">
        <f>IFERROR(IF(キャラマスタ[[#This Row],[生存ステータス]]=1,1539-キャラマスタ[[#This Row],[初登場時の年齢]]+キャラマスタ[[#This Row],[死亡年]],1539-キャラマスタ[[#This Row],[初登場時の年齢]]),"")</f>
        <v/>
      </c>
      <c r="L109" t="s">
        <v>119</v>
      </c>
      <c r="M109" t="s">
        <v>1809</v>
      </c>
      <c r="N109" t="s">
        <v>21</v>
      </c>
      <c r="S109" t="s">
        <v>1761</v>
      </c>
      <c r="T109" t="s">
        <v>1762</v>
      </c>
      <c r="V109" t="s">
        <v>274</v>
      </c>
      <c r="W109" t="s">
        <v>277</v>
      </c>
      <c r="X109" t="s">
        <v>372</v>
      </c>
      <c r="Z109" t="str">
        <f>IF(キャラマスタ[[#This Row],[生存ステータス]]=1,1539+キャラマスタ[[#This Row],[死亡年]],"")</f>
        <v/>
      </c>
      <c r="AA109" t="s">
        <v>1821</v>
      </c>
      <c r="AB109" t="s">
        <v>280</v>
      </c>
      <c r="AC109">
        <v>0</v>
      </c>
      <c r="AP109" t="s">
        <v>1763</v>
      </c>
    </row>
    <row r="110" spans="1:42">
      <c r="A110" t="s">
        <v>1800</v>
      </c>
      <c r="B110" t="s">
        <v>1764</v>
      </c>
      <c r="C110" t="s">
        <v>534</v>
      </c>
      <c r="D110" t="str">
        <f>IFERROR(キャラマスタ[[#This Row],[初登場時の年齢]]+2,"")</f>
        <v/>
      </c>
      <c r="E110">
        <v>11</v>
      </c>
      <c r="F110">
        <v>96</v>
      </c>
      <c r="G110" s="11">
        <v>44708</v>
      </c>
      <c r="H110" t="str">
        <f>IFERROR(IF(キャラマスタ[[#This Row],[生存ステータス]]=1,1539-キャラマスタ[[#This Row],[初登場時の年齢]]+キャラマスタ[[#This Row],[死亡年]],1539-キャラマスタ[[#This Row],[初登場時の年齢]]),"")</f>
        <v/>
      </c>
      <c r="L110" t="s">
        <v>18</v>
      </c>
      <c r="S110" t="s">
        <v>1765</v>
      </c>
      <c r="T110" t="s">
        <v>1762</v>
      </c>
      <c r="V110" t="s">
        <v>274</v>
      </c>
      <c r="W110" t="s">
        <v>277</v>
      </c>
      <c r="X110" t="s">
        <v>372</v>
      </c>
      <c r="Z110" t="str">
        <f>IF(キャラマスタ[[#This Row],[生存ステータス]]=1,1539+キャラマスタ[[#This Row],[死亡年]],"")</f>
        <v/>
      </c>
      <c r="AA110" t="s">
        <v>1821</v>
      </c>
      <c r="AB110" t="s">
        <v>280</v>
      </c>
      <c r="AC110">
        <v>0</v>
      </c>
      <c r="AP110" t="s">
        <v>1766</v>
      </c>
    </row>
    <row r="111" spans="1:42">
      <c r="A111" t="s">
        <v>1801</v>
      </c>
      <c r="B111" t="s">
        <v>1767</v>
      </c>
      <c r="C111" t="s">
        <v>534</v>
      </c>
      <c r="D111" t="str">
        <f>IFERROR(キャラマスタ[[#This Row],[初登場時の年齢]]+2,"")</f>
        <v/>
      </c>
      <c r="E111">
        <v>11</v>
      </c>
      <c r="F111">
        <v>97</v>
      </c>
      <c r="G111" s="11">
        <v>44827</v>
      </c>
      <c r="H111" t="str">
        <f>IFERROR(IF(キャラマスタ[[#This Row],[生存ステータス]]=1,1539-キャラマスタ[[#This Row],[初登場時の年齢]]+キャラマスタ[[#This Row],[死亡年]],1539-キャラマスタ[[#This Row],[初登場時の年齢]]),"")</f>
        <v/>
      </c>
      <c r="L111" t="s">
        <v>18</v>
      </c>
      <c r="M111" t="s">
        <v>1809</v>
      </c>
      <c r="N111" t="s">
        <v>1768</v>
      </c>
      <c r="S111" t="s">
        <v>1769</v>
      </c>
      <c r="T111" t="s">
        <v>1770</v>
      </c>
      <c r="V111" t="s">
        <v>274</v>
      </c>
      <c r="W111" t="s">
        <v>277</v>
      </c>
      <c r="X111" t="s">
        <v>373</v>
      </c>
      <c r="Z111" t="str">
        <f>IF(キャラマスタ[[#This Row],[生存ステータス]]=1,1539+キャラマスタ[[#This Row],[死亡年]],"")</f>
        <v/>
      </c>
      <c r="AA111" t="s">
        <v>1821</v>
      </c>
      <c r="AB111" t="s">
        <v>280</v>
      </c>
      <c r="AC111">
        <v>0</v>
      </c>
    </row>
    <row r="112" spans="1:42">
      <c r="A112" t="s">
        <v>1802</v>
      </c>
      <c r="B112" t="s">
        <v>1771</v>
      </c>
      <c r="C112">
        <v>38</v>
      </c>
      <c r="D112">
        <f>IFERROR(キャラマスタ[[#This Row],[初登場時の年齢]]+2,"")</f>
        <v>40</v>
      </c>
      <c r="E112">
        <v>11</v>
      </c>
      <c r="F112">
        <v>97</v>
      </c>
      <c r="G112" s="11">
        <v>43861</v>
      </c>
      <c r="H112">
        <f>IFERROR(IF(キャラマスタ[[#This Row],[生存ステータス]]=1,1539-キャラマスタ[[#This Row],[初登場時の年齢]]+キャラマスタ[[#This Row],[死亡年]],1539-キャラマスタ[[#This Row],[初登場時の年齢]]),"")</f>
        <v>1501</v>
      </c>
      <c r="I112">
        <v>157</v>
      </c>
      <c r="L112" t="s">
        <v>18</v>
      </c>
      <c r="M112" t="s">
        <v>1809</v>
      </c>
      <c r="N112" t="s">
        <v>1768</v>
      </c>
      <c r="S112" t="s">
        <v>1772</v>
      </c>
      <c r="T112" t="s">
        <v>57</v>
      </c>
      <c r="V112" t="s">
        <v>274</v>
      </c>
      <c r="W112" t="s">
        <v>277</v>
      </c>
      <c r="X112" t="s">
        <v>373</v>
      </c>
      <c r="Z112" t="str">
        <f>IF(キャラマスタ[[#This Row],[生存ステータス]]=1,1539+キャラマスタ[[#This Row],[死亡年]],"")</f>
        <v/>
      </c>
      <c r="AA112" t="s">
        <v>1821</v>
      </c>
      <c r="AB112" t="s">
        <v>280</v>
      </c>
      <c r="AC112">
        <v>0</v>
      </c>
      <c r="AG112" t="s">
        <v>475</v>
      </c>
      <c r="AH112" t="s">
        <v>1773</v>
      </c>
    </row>
    <row r="113" spans="1:42">
      <c r="A113" t="s">
        <v>1803</v>
      </c>
      <c r="B113" t="s">
        <v>1774</v>
      </c>
      <c r="C113" t="s">
        <v>534</v>
      </c>
      <c r="D113" t="str">
        <f>IFERROR(キャラマスタ[[#This Row],[初登場時の年齢]]+2,"")</f>
        <v/>
      </c>
      <c r="E113">
        <v>11</v>
      </c>
      <c r="F113">
        <v>97</v>
      </c>
      <c r="G113" s="11">
        <v>44896</v>
      </c>
      <c r="H113" t="str">
        <f>IFERROR(IF(キャラマスタ[[#This Row],[生存ステータス]]=1,1539-キャラマスタ[[#This Row],[初登場時の年齢]]+キャラマスタ[[#This Row],[死亡年]],1539-キャラマスタ[[#This Row],[初登場時の年齢]]),"")</f>
        <v/>
      </c>
      <c r="L113" t="s">
        <v>18</v>
      </c>
      <c r="M113" t="s">
        <v>1809</v>
      </c>
      <c r="N113" t="s">
        <v>1768</v>
      </c>
      <c r="V113" t="s">
        <v>276</v>
      </c>
      <c r="W113" t="s">
        <v>277</v>
      </c>
      <c r="X113" t="s">
        <v>373</v>
      </c>
      <c r="Z113" t="str">
        <f>IF(キャラマスタ[[#This Row],[生存ステータス]]=1,1539+キャラマスタ[[#This Row],[死亡年]],"")</f>
        <v/>
      </c>
      <c r="AA113" s="4" t="s">
        <v>1821</v>
      </c>
      <c r="AB113" t="s">
        <v>280</v>
      </c>
      <c r="AC113">
        <v>0</v>
      </c>
      <c r="AP113" t="s">
        <v>1775</v>
      </c>
    </row>
    <row r="114" spans="1:42">
      <c r="A114" t="s">
        <v>1804</v>
      </c>
      <c r="B114" t="s">
        <v>1776</v>
      </c>
      <c r="C114" t="s">
        <v>534</v>
      </c>
      <c r="D114" t="str">
        <f>IFERROR(キャラマスタ[[#This Row],[初登場時の年齢]]+2,"")</f>
        <v/>
      </c>
      <c r="E114">
        <v>11</v>
      </c>
      <c r="F114">
        <v>98</v>
      </c>
      <c r="G114" s="11">
        <v>44642</v>
      </c>
      <c r="H114" t="str">
        <f>IFERROR(IF(キャラマスタ[[#This Row],[生存ステータス]]=1,1539-キャラマスタ[[#This Row],[初登場時の年齢]]+キャラマスタ[[#This Row],[死亡年]],1539-キャラマスタ[[#This Row],[初登場時の年齢]]),"")</f>
        <v/>
      </c>
      <c r="L114" t="s">
        <v>18</v>
      </c>
      <c r="M114" t="s">
        <v>1809</v>
      </c>
      <c r="N114" t="s">
        <v>1768</v>
      </c>
      <c r="S114" t="s">
        <v>1777</v>
      </c>
      <c r="V114" t="s">
        <v>274</v>
      </c>
      <c r="W114" t="s">
        <v>1822</v>
      </c>
      <c r="X114" t="s">
        <v>373</v>
      </c>
      <c r="Z114" t="str">
        <f>IF(キャラマスタ[[#This Row],[生存ステータス]]=1,1539+キャラマスタ[[#This Row],[死亡年]],"")</f>
        <v/>
      </c>
      <c r="AA114" t="s">
        <v>1821</v>
      </c>
      <c r="AB114" t="s">
        <v>280</v>
      </c>
      <c r="AC114">
        <v>0</v>
      </c>
      <c r="AP114" t="s">
        <v>1778</v>
      </c>
    </row>
    <row r="115" spans="1:42">
      <c r="A115" t="s">
        <v>1805</v>
      </c>
      <c r="B115" t="s">
        <v>1779</v>
      </c>
      <c r="C115" t="s">
        <v>534</v>
      </c>
      <c r="D115" t="str">
        <f>IFERROR(キャラマスタ[[#This Row],[初登場時の年齢]]+2,"")</f>
        <v/>
      </c>
      <c r="E115">
        <v>11</v>
      </c>
      <c r="F115">
        <v>98</v>
      </c>
      <c r="G115" s="11">
        <v>44921</v>
      </c>
      <c r="H115" t="str">
        <f>IFERROR(IF(キャラマスタ[[#This Row],[生存ステータス]]=1,1539-キャラマスタ[[#This Row],[初登場時の年齢]]+キャラマスタ[[#This Row],[死亡年]],1539-キャラマスタ[[#This Row],[初登場時の年齢]]),"")</f>
        <v/>
      </c>
      <c r="L115" t="s">
        <v>18</v>
      </c>
      <c r="R115" t="s">
        <v>446</v>
      </c>
      <c r="S115" t="s">
        <v>898</v>
      </c>
      <c r="T115" t="s">
        <v>1780</v>
      </c>
      <c r="V115" t="s">
        <v>274</v>
      </c>
      <c r="W115" t="s">
        <v>277</v>
      </c>
      <c r="X115" t="s">
        <v>375</v>
      </c>
      <c r="Z115" t="str">
        <f>IF(キャラマスタ[[#This Row],[生存ステータス]]=1,1539+キャラマスタ[[#This Row],[死亡年]],"")</f>
        <v/>
      </c>
      <c r="AA115" t="s">
        <v>1821</v>
      </c>
      <c r="AB115" t="s">
        <v>280</v>
      </c>
      <c r="AC115">
        <v>0</v>
      </c>
    </row>
    <row r="116" spans="1:42">
      <c r="A116" t="s">
        <v>1806</v>
      </c>
      <c r="B116" t="s">
        <v>1781</v>
      </c>
      <c r="C116">
        <v>34</v>
      </c>
      <c r="D116">
        <f>IFERROR(キャラマスタ[[#This Row],[初登場時の年齢]]+2,"")</f>
        <v>36</v>
      </c>
      <c r="E116">
        <v>11</v>
      </c>
      <c r="F116">
        <v>98</v>
      </c>
      <c r="G116" s="11">
        <v>43904</v>
      </c>
      <c r="H116">
        <f>IFERROR(IF(キャラマスタ[[#This Row],[生存ステータス]]=1,1539-キャラマスタ[[#This Row],[初登場時の年齢]]+キャラマスタ[[#This Row],[死亡年]],1539-キャラマスタ[[#This Row],[初登場時の年齢]]),"")</f>
        <v>1505</v>
      </c>
      <c r="I116">
        <v>209</v>
      </c>
      <c r="L116" t="s">
        <v>527</v>
      </c>
      <c r="O116" t="s">
        <v>1782</v>
      </c>
      <c r="P116" t="s">
        <v>1816</v>
      </c>
      <c r="Q116" t="s">
        <v>1783</v>
      </c>
      <c r="R116" t="s">
        <v>446</v>
      </c>
      <c r="S116" t="s">
        <v>898</v>
      </c>
      <c r="T116" t="s">
        <v>83</v>
      </c>
      <c r="V116" t="s">
        <v>274</v>
      </c>
      <c r="W116" t="s">
        <v>277</v>
      </c>
      <c r="X116" t="s">
        <v>375</v>
      </c>
      <c r="Z116" t="str">
        <f>IF(キャラマスタ[[#This Row],[生存ステータス]]=1,1539+キャラマスタ[[#This Row],[死亡年]],"")</f>
        <v/>
      </c>
      <c r="AA116">
        <v>0</v>
      </c>
      <c r="AB116" t="s">
        <v>1826</v>
      </c>
      <c r="AC116">
        <v>0</v>
      </c>
      <c r="AD116">
        <v>11.2</v>
      </c>
      <c r="AE116">
        <v>9999</v>
      </c>
      <c r="AF116" t="s">
        <v>1784</v>
      </c>
      <c r="AG116" t="s">
        <v>29</v>
      </c>
      <c r="AH116" t="s">
        <v>1785</v>
      </c>
      <c r="AJ116" t="s">
        <v>1786</v>
      </c>
    </row>
    <row r="117" spans="1:42">
      <c r="A117" t="s">
        <v>1807</v>
      </c>
      <c r="B117" t="s">
        <v>1787</v>
      </c>
      <c r="C117" t="s">
        <v>534</v>
      </c>
      <c r="D117" t="str">
        <f>IFERROR(キャラマスタ[[#This Row],[初登場時の年齢]]+2,"")</f>
        <v/>
      </c>
      <c r="E117">
        <v>11</v>
      </c>
      <c r="F117">
        <v>98</v>
      </c>
      <c r="G117" s="11">
        <v>44761</v>
      </c>
      <c r="H117" t="str">
        <f>IFERROR(IF(キャラマスタ[[#This Row],[生存ステータス]]=1,1539-キャラマスタ[[#This Row],[初登場時の年齢]]+キャラマスタ[[#This Row],[死亡年]],1539-キャラマスタ[[#This Row],[初登場時の年齢]]),"")</f>
        <v/>
      </c>
      <c r="L117" t="s">
        <v>18</v>
      </c>
      <c r="M117" t="s">
        <v>1809</v>
      </c>
      <c r="N117" t="s">
        <v>1768</v>
      </c>
      <c r="S117" t="s">
        <v>1788</v>
      </c>
      <c r="T117" t="s">
        <v>1789</v>
      </c>
      <c r="V117" t="s">
        <v>276</v>
      </c>
      <c r="W117" t="s">
        <v>277</v>
      </c>
      <c r="X117" t="s">
        <v>373</v>
      </c>
      <c r="Z117" t="str">
        <f>IF(キャラマスタ[[#This Row],[生存ステータス]]=1,1539+キャラマスタ[[#This Row],[死亡年]],"")</f>
        <v/>
      </c>
      <c r="AA117" t="s">
        <v>1821</v>
      </c>
      <c r="AB117" t="s">
        <v>1827</v>
      </c>
      <c r="AC117">
        <v>0</v>
      </c>
      <c r="AP117" t="s">
        <v>1790</v>
      </c>
    </row>
    <row r="118" spans="1:42">
      <c r="A118" t="s">
        <v>1808</v>
      </c>
      <c r="B118" t="s">
        <v>1791</v>
      </c>
      <c r="C118">
        <v>21</v>
      </c>
      <c r="D118">
        <f>IFERROR(キャラマスタ[[#This Row],[初登場時の年齢]]+2,"")</f>
        <v>23</v>
      </c>
      <c r="E118">
        <v>11</v>
      </c>
      <c r="F118">
        <v>98</v>
      </c>
      <c r="G118" s="11">
        <v>44110</v>
      </c>
      <c r="H118">
        <f>IFERROR(IF(キャラマスタ[[#This Row],[生存ステータス]]=1,1539-キャラマスタ[[#This Row],[初登場時の年齢]]+キャラマスタ[[#This Row],[死亡年]],1539-キャラマスタ[[#This Row],[初登場時の年齢]]),"")</f>
        <v>1518</v>
      </c>
      <c r="I118">
        <v>170</v>
      </c>
      <c r="L118" t="s">
        <v>18</v>
      </c>
      <c r="R118" t="s">
        <v>446</v>
      </c>
      <c r="S118" t="s">
        <v>898</v>
      </c>
      <c r="T118" t="s">
        <v>1820</v>
      </c>
      <c r="V118" t="s">
        <v>276</v>
      </c>
      <c r="W118" t="s">
        <v>277</v>
      </c>
      <c r="X118" t="s">
        <v>375</v>
      </c>
      <c r="Z118" t="str">
        <f>IF(キャラマスタ[[#This Row],[生存ステータス]]=1,1539+キャラマスタ[[#This Row],[死亡年]],"")</f>
        <v/>
      </c>
      <c r="AA118">
        <v>0</v>
      </c>
      <c r="AB118" t="s">
        <v>1826</v>
      </c>
      <c r="AC118">
        <v>0</v>
      </c>
      <c r="AD118">
        <v>11.2</v>
      </c>
      <c r="AE118">
        <v>9999</v>
      </c>
      <c r="AF118" t="s">
        <v>100</v>
      </c>
      <c r="AG118" t="s">
        <v>686</v>
      </c>
      <c r="AH118" t="s">
        <v>1792</v>
      </c>
      <c r="AJ118" t="s">
        <v>1793</v>
      </c>
    </row>
    <row r="119" spans="1:42">
      <c r="A119" t="s">
        <v>1907</v>
      </c>
      <c r="B119" t="s">
        <v>1921</v>
      </c>
      <c r="C119">
        <v>53</v>
      </c>
      <c r="D119">
        <f>IFERROR(キャラマスタ[[#This Row],[初登場時の年齢]]+2,"")</f>
        <v>55</v>
      </c>
      <c r="E119">
        <v>12</v>
      </c>
      <c r="F119">
        <v>100</v>
      </c>
      <c r="G119" s="11">
        <v>44109</v>
      </c>
      <c r="H119">
        <f>IFERROR(IF(キャラマスタ[[#This Row],[生存ステータス]]=1,1539-キャラマスタ[[#This Row],[初登場時の年齢]]+キャラマスタ[[#This Row],[死亡年]],1539-キャラマスタ[[#This Row],[初登場時の年齢]]),"")</f>
        <v>1486</v>
      </c>
      <c r="I119">
        <v>256</v>
      </c>
      <c r="J119" t="s">
        <v>955</v>
      </c>
      <c r="K119" t="s">
        <v>1922</v>
      </c>
      <c r="L119" t="s">
        <v>119</v>
      </c>
      <c r="N119" t="s">
        <v>1894</v>
      </c>
      <c r="O119" t="s">
        <v>1969</v>
      </c>
      <c r="R119" s="29" t="s">
        <v>1293</v>
      </c>
      <c r="S119" t="s">
        <v>1923</v>
      </c>
      <c r="T119" t="s">
        <v>1924</v>
      </c>
      <c r="V119" s="26" t="s">
        <v>274</v>
      </c>
      <c r="W119" s="26" t="s">
        <v>277</v>
      </c>
      <c r="X119" t="s">
        <v>1993</v>
      </c>
      <c r="Z119" s="26" t="str">
        <f>IF(キャラマスタ[[#This Row],[生存ステータス]]=1,1539+キャラマスタ[[#This Row],[死亡年]],"")</f>
        <v/>
      </c>
      <c r="AA119">
        <v>0</v>
      </c>
      <c r="AB119" s="26" t="s">
        <v>259</v>
      </c>
      <c r="AC119">
        <v>1</v>
      </c>
      <c r="AD119">
        <v>11.2</v>
      </c>
      <c r="AE119">
        <v>9999</v>
      </c>
      <c r="AG119" t="s">
        <v>699</v>
      </c>
      <c r="AH119" t="s">
        <v>1925</v>
      </c>
      <c r="AP119" t="s">
        <v>23</v>
      </c>
    </row>
    <row r="120" spans="1:42">
      <c r="A120" t="s">
        <v>1908</v>
      </c>
      <c r="B120" t="s">
        <v>1926</v>
      </c>
      <c r="C120">
        <v>51</v>
      </c>
      <c r="D120">
        <f>IFERROR(キャラマスタ[[#This Row],[初登場時の年齢]]+2,"")</f>
        <v>53</v>
      </c>
      <c r="E120">
        <v>12</v>
      </c>
      <c r="F120">
        <v>102</v>
      </c>
      <c r="G120" s="11">
        <v>44090</v>
      </c>
      <c r="H120">
        <f>IFERROR(IF(キャラマスタ[[#This Row],[生存ステータス]]=1,1539-キャラマスタ[[#This Row],[初登場時の年齢]]+キャラマスタ[[#This Row],[死亡年]],1539-キャラマスタ[[#This Row],[初登場時の年齢]]),"")</f>
        <v>1488</v>
      </c>
      <c r="I120">
        <v>40000</v>
      </c>
      <c r="L120" t="s">
        <v>28</v>
      </c>
      <c r="R120" s="29"/>
      <c r="S120" t="s">
        <v>1927</v>
      </c>
      <c r="T120" t="s">
        <v>1928</v>
      </c>
      <c r="V120" t="s">
        <v>2014</v>
      </c>
      <c r="W120" t="s">
        <v>2015</v>
      </c>
      <c r="X120" t="s">
        <v>2014</v>
      </c>
      <c r="Z120" s="26" t="str">
        <f>IF(キャラマスタ[[#This Row],[生存ステータス]]=1,1539+キャラマスタ[[#This Row],[死亡年]],"")</f>
        <v/>
      </c>
      <c r="AA120">
        <v>0</v>
      </c>
      <c r="AB120" s="26" t="s">
        <v>259</v>
      </c>
      <c r="AC120">
        <v>0</v>
      </c>
      <c r="AG120" t="s">
        <v>699</v>
      </c>
      <c r="AH120" t="s">
        <v>1929</v>
      </c>
      <c r="AP120" t="s">
        <v>1930</v>
      </c>
    </row>
    <row r="121" spans="1:42">
      <c r="A121" t="s">
        <v>1909</v>
      </c>
      <c r="B121" t="s">
        <v>1931</v>
      </c>
      <c r="C121">
        <v>71</v>
      </c>
      <c r="D121">
        <f>IFERROR(キャラマスタ[[#This Row],[初登場時の年齢]]+2,"")</f>
        <v>73</v>
      </c>
      <c r="E121">
        <v>12</v>
      </c>
      <c r="F121">
        <v>103</v>
      </c>
      <c r="G121" s="11">
        <v>43986</v>
      </c>
      <c r="H121">
        <f>IFERROR(IF(キャラマスタ[[#This Row],[生存ステータス]]=1,1539-キャラマスタ[[#This Row],[初登場時の年齢]]+キャラマスタ[[#This Row],[死亡年]],1539-キャラマスタ[[#This Row],[初登場時の年齢]]),"")</f>
        <v>1468</v>
      </c>
      <c r="I121">
        <v>203</v>
      </c>
      <c r="J121" t="s">
        <v>582</v>
      </c>
      <c r="K121" t="s">
        <v>27</v>
      </c>
      <c r="L121" t="s">
        <v>527</v>
      </c>
      <c r="S121" t="s">
        <v>1932</v>
      </c>
      <c r="T121" t="s">
        <v>1933</v>
      </c>
      <c r="V121" s="26" t="s">
        <v>274</v>
      </c>
      <c r="W121" s="26" t="s">
        <v>277</v>
      </c>
      <c r="X121" t="s">
        <v>373</v>
      </c>
      <c r="Z121" s="26" t="str">
        <f>IF(キャラマスタ[[#This Row],[生存ステータス]]=1,1539+キャラマスタ[[#This Row],[死亡年]],"")</f>
        <v/>
      </c>
      <c r="AA121">
        <v>0</v>
      </c>
      <c r="AB121" s="26" t="s">
        <v>259</v>
      </c>
      <c r="AC121" s="26">
        <v>0</v>
      </c>
      <c r="AD121" s="29">
        <v>-18250</v>
      </c>
      <c r="AE121">
        <v>9999</v>
      </c>
      <c r="AG121" t="s">
        <v>1934</v>
      </c>
      <c r="AH121" t="s">
        <v>1935</v>
      </c>
    </row>
    <row r="122" spans="1:42">
      <c r="A122" t="s">
        <v>1910</v>
      </c>
      <c r="B122" t="s">
        <v>1995</v>
      </c>
      <c r="C122">
        <v>16</v>
      </c>
      <c r="D122">
        <f>IFERROR(キャラマスタ[[#This Row],[初登場時の年齢]]+2,"")</f>
        <v>18</v>
      </c>
      <c r="E122">
        <v>12</v>
      </c>
      <c r="F122">
        <v>103</v>
      </c>
      <c r="G122" s="11">
        <v>43863</v>
      </c>
      <c r="H122">
        <f>IFERROR(IF(キャラマスタ[[#This Row],[生存ステータス]]=1,1539-キャラマスタ[[#This Row],[初登場時の年齢]]+キャラマスタ[[#This Row],[死亡年]],1539-キャラマスタ[[#This Row],[初登場時の年齢]]),"")</f>
        <v>1523</v>
      </c>
      <c r="I122">
        <v>169</v>
      </c>
      <c r="J122" s="29" t="s">
        <v>400</v>
      </c>
      <c r="K122" s="29" t="s">
        <v>581</v>
      </c>
      <c r="L122" t="s">
        <v>527</v>
      </c>
      <c r="N122" t="s">
        <v>1936</v>
      </c>
      <c r="R122" s="29" t="s">
        <v>2156</v>
      </c>
      <c r="S122" t="s">
        <v>1945</v>
      </c>
      <c r="T122" t="s">
        <v>1946</v>
      </c>
      <c r="V122" s="26" t="s">
        <v>276</v>
      </c>
      <c r="W122" s="26" t="s">
        <v>277</v>
      </c>
      <c r="X122" t="s">
        <v>1994</v>
      </c>
      <c r="Z122" s="26" t="str">
        <f>IF(キャラマスタ[[#This Row],[生存ステータス]]=1,1539+キャラマスタ[[#This Row],[死亡年]],"")</f>
        <v/>
      </c>
      <c r="AA122">
        <v>0</v>
      </c>
      <c r="AB122" s="26" t="s">
        <v>259</v>
      </c>
      <c r="AC122" s="26">
        <v>0</v>
      </c>
      <c r="AD122">
        <v>11.5</v>
      </c>
      <c r="AE122">
        <v>9999</v>
      </c>
      <c r="AG122" t="s">
        <v>699</v>
      </c>
      <c r="AH122" t="s">
        <v>1937</v>
      </c>
      <c r="AI122" t="s">
        <v>1938</v>
      </c>
      <c r="AK122" t="s">
        <v>1939</v>
      </c>
      <c r="AP122" t="s">
        <v>1940</v>
      </c>
    </row>
    <row r="123" spans="1:42">
      <c r="A123" t="s">
        <v>1911</v>
      </c>
      <c r="B123" t="s">
        <v>1941</v>
      </c>
      <c r="C123" t="s">
        <v>534</v>
      </c>
      <c r="D123" t="str">
        <f>IFERROR(キャラマスタ[[#This Row],[初登場時の年齢]]+2,"")</f>
        <v/>
      </c>
      <c r="E123">
        <v>12</v>
      </c>
      <c r="F123">
        <v>103</v>
      </c>
      <c r="G123" s="11">
        <v>44831</v>
      </c>
      <c r="H123" t="str">
        <f>IFERROR(IF(キャラマスタ[[#This Row],[生存ステータス]]=1,1539-キャラマスタ[[#This Row],[初登場時の年齢]]+キャラマスタ[[#This Row],[死亡年]],1539-キャラマスタ[[#This Row],[初登場時の年齢]]),"")</f>
        <v/>
      </c>
      <c r="L123" t="s">
        <v>527</v>
      </c>
      <c r="R123" s="29" t="s">
        <v>2156</v>
      </c>
      <c r="S123" t="s">
        <v>1945</v>
      </c>
      <c r="T123" t="s">
        <v>1946</v>
      </c>
      <c r="V123" s="26" t="s">
        <v>274</v>
      </c>
      <c r="W123" s="26" t="s">
        <v>277</v>
      </c>
      <c r="X123" s="26" t="s">
        <v>1994</v>
      </c>
      <c r="Z123" s="26" t="str">
        <f>IF(キャラマスタ[[#This Row],[生存ステータス]]=1,1539+キャラマスタ[[#This Row],[死亡年]],"")</f>
        <v/>
      </c>
      <c r="AA123">
        <v>0</v>
      </c>
      <c r="AB123" s="26" t="s">
        <v>259</v>
      </c>
      <c r="AC123" s="26">
        <v>0</v>
      </c>
      <c r="AP123" t="s">
        <v>1942</v>
      </c>
    </row>
    <row r="124" spans="1:42">
      <c r="A124" t="s">
        <v>1912</v>
      </c>
      <c r="B124" t="s">
        <v>1943</v>
      </c>
      <c r="C124" t="s">
        <v>534</v>
      </c>
      <c r="D124" t="str">
        <f>IFERROR(キャラマスタ[[#This Row],[初登場時の年齢]]+2,"")</f>
        <v/>
      </c>
      <c r="E124">
        <v>12</v>
      </c>
      <c r="F124">
        <v>105</v>
      </c>
      <c r="G124" s="11">
        <v>44698</v>
      </c>
      <c r="H124" t="str">
        <f>IFERROR(IF(キャラマスタ[[#This Row],[生存ステータス]]=1,1539-キャラマスタ[[#This Row],[初登場時の年齢]]+キャラマスタ[[#This Row],[死亡年]],1539-キャラマスタ[[#This Row],[初登場時の年齢]]),"")</f>
        <v/>
      </c>
      <c r="L124" t="s">
        <v>527</v>
      </c>
      <c r="O124" t="s">
        <v>1944</v>
      </c>
      <c r="R124" s="29" t="s">
        <v>2156</v>
      </c>
      <c r="S124" t="s">
        <v>1945</v>
      </c>
      <c r="T124" t="s">
        <v>1946</v>
      </c>
      <c r="V124" s="26" t="s">
        <v>274</v>
      </c>
      <c r="W124" s="26" t="s">
        <v>2016</v>
      </c>
      <c r="X124" s="26" t="s">
        <v>1994</v>
      </c>
      <c r="Z124" s="26" t="str">
        <f>IF(キャラマスタ[[#This Row],[生存ステータス]]=1,1539+キャラマスタ[[#This Row],[死亡年]],"")</f>
        <v/>
      </c>
      <c r="AA124">
        <v>0</v>
      </c>
      <c r="AB124" s="26" t="s">
        <v>259</v>
      </c>
      <c r="AC124" s="26">
        <v>0</v>
      </c>
      <c r="AP124" t="s">
        <v>1947</v>
      </c>
    </row>
    <row r="125" spans="1:42">
      <c r="A125" t="s">
        <v>1913</v>
      </c>
      <c r="B125" t="s">
        <v>1948</v>
      </c>
      <c r="C125" t="s">
        <v>534</v>
      </c>
      <c r="D125" t="str">
        <f>IFERROR(キャラマスタ[[#This Row],[初登場時の年齢]]+2,"")</f>
        <v/>
      </c>
      <c r="E125">
        <v>12</v>
      </c>
      <c r="F125">
        <v>105</v>
      </c>
      <c r="G125" s="11">
        <v>44582</v>
      </c>
      <c r="H125" t="str">
        <f>IFERROR(IF(キャラマスタ[[#This Row],[生存ステータス]]=1,1539-キャラマスタ[[#This Row],[初登場時の年齢]]+キャラマスタ[[#This Row],[死亡年]],1539-キャラマスタ[[#This Row],[初登場時の年齢]]),"")</f>
        <v/>
      </c>
      <c r="L125" t="s">
        <v>527</v>
      </c>
      <c r="O125" t="s">
        <v>1944</v>
      </c>
      <c r="R125" s="29" t="s">
        <v>2156</v>
      </c>
      <c r="S125" t="s">
        <v>1945</v>
      </c>
      <c r="T125" t="s">
        <v>1946</v>
      </c>
      <c r="V125" s="26" t="s">
        <v>276</v>
      </c>
      <c r="W125" t="s">
        <v>2017</v>
      </c>
      <c r="X125" s="26" t="s">
        <v>1994</v>
      </c>
      <c r="Z125" s="26" t="str">
        <f>IF(キャラマスタ[[#This Row],[生存ステータス]]=1,1539+キャラマスタ[[#This Row],[死亡年]],"")</f>
        <v/>
      </c>
      <c r="AA125">
        <v>0</v>
      </c>
      <c r="AB125" s="26" t="s">
        <v>259</v>
      </c>
      <c r="AC125" s="26">
        <v>0</v>
      </c>
      <c r="AP125" t="s">
        <v>1949</v>
      </c>
    </row>
    <row r="126" spans="1:42">
      <c r="A126" t="s">
        <v>1914</v>
      </c>
      <c r="B126" t="s">
        <v>1950</v>
      </c>
      <c r="C126" t="s">
        <v>534</v>
      </c>
      <c r="D126" t="str">
        <f>IFERROR(キャラマスタ[[#This Row],[初登場時の年齢]]+2,"")</f>
        <v/>
      </c>
      <c r="E126">
        <v>12</v>
      </c>
      <c r="F126">
        <v>106</v>
      </c>
      <c r="G126" s="11">
        <v>44610</v>
      </c>
      <c r="H126" t="str">
        <f>IFERROR(IF(キャラマスタ[[#This Row],[生存ステータス]]=1,1539-キャラマスタ[[#This Row],[初登場時の年齢]]+キャラマスタ[[#This Row],[死亡年]],1539-キャラマスタ[[#This Row],[初登場時の年齢]]),"")</f>
        <v/>
      </c>
      <c r="L126" t="s">
        <v>527</v>
      </c>
      <c r="N126" t="s">
        <v>1951</v>
      </c>
      <c r="V126" t="s">
        <v>962</v>
      </c>
      <c r="W126" s="26" t="s">
        <v>1952</v>
      </c>
      <c r="X126" t="s">
        <v>2014</v>
      </c>
      <c r="Z126" s="26" t="str">
        <f>IF(キャラマスタ[[#This Row],[生存ステータス]]=1,1539+キャラマスタ[[#This Row],[死亡年]],"")</f>
        <v/>
      </c>
      <c r="AA126" t="s">
        <v>2014</v>
      </c>
      <c r="AB126" t="s">
        <v>962</v>
      </c>
      <c r="AC126" s="26">
        <v>0</v>
      </c>
      <c r="AP126" t="s">
        <v>1952</v>
      </c>
    </row>
    <row r="127" spans="1:42">
      <c r="A127" t="s">
        <v>1915</v>
      </c>
      <c r="B127" t="s">
        <v>1953</v>
      </c>
      <c r="C127" t="s">
        <v>534</v>
      </c>
      <c r="D127" t="str">
        <f>IFERROR(キャラマスタ[[#This Row],[初登場時の年齢]]+2,"")</f>
        <v/>
      </c>
      <c r="E127">
        <v>12</v>
      </c>
      <c r="F127">
        <v>106</v>
      </c>
      <c r="G127" s="11">
        <v>44610</v>
      </c>
      <c r="H127" t="str">
        <f>IFERROR(IF(キャラマスタ[[#This Row],[生存ステータス]]=1,1539-キャラマスタ[[#This Row],[初登場時の年齢]]+キャラマスタ[[#This Row],[死亡年]],1539-キャラマスタ[[#This Row],[初登場時の年齢]]),"")</f>
        <v/>
      </c>
      <c r="L127" t="s">
        <v>527</v>
      </c>
      <c r="N127" t="s">
        <v>1954</v>
      </c>
      <c r="V127" s="26" t="s">
        <v>962</v>
      </c>
      <c r="W127" s="26" t="s">
        <v>1955</v>
      </c>
      <c r="X127" t="s">
        <v>2014</v>
      </c>
      <c r="Z127" s="26" t="str">
        <f>IF(キャラマスタ[[#This Row],[生存ステータス]]=1,1539+キャラマスタ[[#This Row],[死亡年]],"")</f>
        <v/>
      </c>
      <c r="AA127" t="s">
        <v>2014</v>
      </c>
      <c r="AB127" s="26" t="s">
        <v>962</v>
      </c>
      <c r="AC127" s="26">
        <v>0</v>
      </c>
      <c r="AP127" t="s">
        <v>1955</v>
      </c>
    </row>
    <row r="128" spans="1:42">
      <c r="A128" t="s">
        <v>1916</v>
      </c>
      <c r="B128" t="s">
        <v>1956</v>
      </c>
      <c r="C128" t="s">
        <v>534</v>
      </c>
      <c r="D128" t="str">
        <f>IFERROR(キャラマスタ[[#This Row],[初登場時の年齢]]+2,"")</f>
        <v/>
      </c>
      <c r="E128">
        <v>12</v>
      </c>
      <c r="F128">
        <v>106</v>
      </c>
      <c r="G128" s="11">
        <v>44643</v>
      </c>
      <c r="H128" t="str">
        <f>IFERROR(IF(キャラマスタ[[#This Row],[生存ステータス]]=1,1539-キャラマスタ[[#This Row],[初登場時の年齢]]+キャラマスタ[[#This Row],[死亡年]],1539-キャラマスタ[[#This Row],[初登場時の年齢]]),"")</f>
        <v/>
      </c>
      <c r="L128" t="s">
        <v>18</v>
      </c>
      <c r="R128" s="29" t="s">
        <v>447</v>
      </c>
      <c r="S128" t="s">
        <v>508</v>
      </c>
      <c r="V128" s="26" t="s">
        <v>276</v>
      </c>
      <c r="W128" s="26" t="s">
        <v>277</v>
      </c>
      <c r="X128" s="26" t="s">
        <v>1994</v>
      </c>
      <c r="Z128" s="26" t="str">
        <f>IF(キャラマスタ[[#This Row],[生存ステータス]]=1,1539+キャラマスタ[[#This Row],[死亡年]],"")</f>
        <v/>
      </c>
      <c r="AA128">
        <v>0</v>
      </c>
      <c r="AB128" t="s">
        <v>599</v>
      </c>
      <c r="AC128" s="26">
        <v>0</v>
      </c>
    </row>
    <row r="129" spans="1:42">
      <c r="A129" t="s">
        <v>1917</v>
      </c>
      <c r="B129" t="s">
        <v>1957</v>
      </c>
      <c r="C129" t="s">
        <v>534</v>
      </c>
      <c r="D129" t="str">
        <f>IFERROR(キャラマスタ[[#This Row],[初登場時の年齢]]+2,"")</f>
        <v/>
      </c>
      <c r="E129">
        <v>12</v>
      </c>
      <c r="F129">
        <v>106</v>
      </c>
      <c r="G129" s="11">
        <v>44616</v>
      </c>
      <c r="H129" t="str">
        <f>IFERROR(IF(キャラマスタ[[#This Row],[生存ステータス]]=1,1539-キャラマスタ[[#This Row],[初登場時の年齢]]+キャラマスタ[[#This Row],[死亡年]],1539-キャラマスタ[[#This Row],[初登場時の年齢]]),"")</f>
        <v/>
      </c>
      <c r="L129" t="s">
        <v>1958</v>
      </c>
      <c r="R129" s="29" t="s">
        <v>447</v>
      </c>
      <c r="S129" t="s">
        <v>1959</v>
      </c>
      <c r="V129" s="26" t="s">
        <v>274</v>
      </c>
      <c r="W129" s="26" t="s">
        <v>277</v>
      </c>
      <c r="X129" s="26" t="s">
        <v>1994</v>
      </c>
      <c r="Z129" s="26" t="str">
        <f>IF(キャラマスタ[[#This Row],[生存ステータス]]=1,1539+キャラマスタ[[#This Row],[死亡年]],"")</f>
        <v/>
      </c>
      <c r="AA129">
        <v>0</v>
      </c>
      <c r="AB129" s="26" t="s">
        <v>599</v>
      </c>
      <c r="AC129" s="26">
        <v>0</v>
      </c>
      <c r="AP129" t="s">
        <v>1960</v>
      </c>
    </row>
    <row r="130" spans="1:42">
      <c r="A130" t="s">
        <v>1918</v>
      </c>
      <c r="B130" t="s">
        <v>1964</v>
      </c>
      <c r="C130">
        <v>48</v>
      </c>
      <c r="D130">
        <f>IFERROR(キャラマスタ[[#This Row],[初登場時の年齢]]+2,"")</f>
        <v>50</v>
      </c>
      <c r="E130">
        <v>12</v>
      </c>
      <c r="F130">
        <v>106</v>
      </c>
      <c r="G130" s="11">
        <v>44171</v>
      </c>
      <c r="H130">
        <f>IFERROR(IF(キャラマスタ[[#This Row],[生存ステータス]]=1,1539-キャラマスタ[[#This Row],[初登場時の年齢]]+キャラマスタ[[#This Row],[死亡年]],1539-キャラマスタ[[#This Row],[初登場時の年齢]]),"")</f>
        <v>1491</v>
      </c>
      <c r="I130">
        <v>218</v>
      </c>
      <c r="L130" t="s">
        <v>527</v>
      </c>
      <c r="N130" t="s">
        <v>1936</v>
      </c>
      <c r="R130" s="29" t="s">
        <v>2156</v>
      </c>
      <c r="S130" t="s">
        <v>1945</v>
      </c>
      <c r="T130" t="s">
        <v>1946</v>
      </c>
      <c r="V130" s="26" t="s">
        <v>274</v>
      </c>
      <c r="W130" s="26" t="s">
        <v>277</v>
      </c>
      <c r="X130" s="26" t="s">
        <v>1994</v>
      </c>
      <c r="Z130" s="26" t="str">
        <f>IF(キャラマスタ[[#This Row],[生存ステータス]]=1,1539+キャラマスタ[[#This Row],[死亡年]],"")</f>
        <v/>
      </c>
      <c r="AA130">
        <v>0</v>
      </c>
      <c r="AB130" t="s">
        <v>598</v>
      </c>
      <c r="AC130" s="26">
        <v>0</v>
      </c>
      <c r="AF130" t="s">
        <v>1961</v>
      </c>
      <c r="AG130" t="s">
        <v>475</v>
      </c>
      <c r="AH130" t="s">
        <v>1962</v>
      </c>
      <c r="AJ130" t="s">
        <v>1963</v>
      </c>
      <c r="AP130" t="s">
        <v>1964</v>
      </c>
    </row>
    <row r="131" spans="1:42">
      <c r="A131" t="s">
        <v>1919</v>
      </c>
      <c r="B131" t="s">
        <v>1965</v>
      </c>
      <c r="C131" t="s">
        <v>534</v>
      </c>
      <c r="D131" t="str">
        <f>IFERROR(キャラマスタ[[#This Row],[初登場時の年齢]]+2,"")</f>
        <v/>
      </c>
      <c r="E131">
        <v>12</v>
      </c>
      <c r="F131">
        <v>107</v>
      </c>
      <c r="G131" s="11">
        <v>44906</v>
      </c>
      <c r="H131" t="str">
        <f>IFERROR(IF(キャラマスタ[[#This Row],[生存ステータス]]=1,1539-キャラマスタ[[#This Row],[初登場時の年齢]]+キャラマスタ[[#This Row],[死亡年]],1539-キャラマスタ[[#This Row],[初登場時の年齢]]),"")</f>
        <v/>
      </c>
      <c r="L131" t="s">
        <v>527</v>
      </c>
      <c r="R131" s="29" t="s">
        <v>447</v>
      </c>
      <c r="V131" s="26" t="s">
        <v>274</v>
      </c>
      <c r="W131" s="26" t="s">
        <v>277</v>
      </c>
      <c r="X131" s="26" t="s">
        <v>1994</v>
      </c>
      <c r="Z131" s="26" t="str">
        <f>IF(キャラマスタ[[#This Row],[生存ステータス]]=1,1539+キャラマスタ[[#This Row],[死亡年]],"")</f>
        <v/>
      </c>
      <c r="AA131">
        <v>0</v>
      </c>
      <c r="AB131" s="26" t="s">
        <v>599</v>
      </c>
      <c r="AC131" s="26">
        <v>0</v>
      </c>
      <c r="AP131" t="s">
        <v>1966</v>
      </c>
    </row>
    <row r="132" spans="1:42">
      <c r="A132" t="s">
        <v>1920</v>
      </c>
      <c r="B132" t="s">
        <v>1967</v>
      </c>
      <c r="C132" t="s">
        <v>534</v>
      </c>
      <c r="D132" t="str">
        <f>IFERROR(キャラマスタ[[#This Row],[初登場時の年齢]]+2,"")</f>
        <v/>
      </c>
      <c r="E132">
        <v>12</v>
      </c>
      <c r="F132">
        <v>107</v>
      </c>
      <c r="G132" s="11">
        <v>44585</v>
      </c>
      <c r="H132" t="str">
        <f>IFERROR(IF(キャラマスタ[[#This Row],[生存ステータス]]=1,1539-キャラマスタ[[#This Row],[初登場時の年齢]]+キャラマスタ[[#This Row],[死亡年]],1539-キャラマスタ[[#This Row],[初登場時の年齢]]),"")</f>
        <v/>
      </c>
      <c r="L132" t="s">
        <v>527</v>
      </c>
      <c r="R132" s="29" t="s">
        <v>2156</v>
      </c>
      <c r="S132" t="s">
        <v>1945</v>
      </c>
      <c r="T132" t="s">
        <v>1946</v>
      </c>
      <c r="V132" t="s">
        <v>276</v>
      </c>
      <c r="W132" s="26" t="s">
        <v>277</v>
      </c>
      <c r="X132" s="26" t="s">
        <v>1994</v>
      </c>
      <c r="Z132" s="26" t="str">
        <f>IF(キャラマスタ[[#This Row],[生存ステータス]]=1,1539+キャラマスタ[[#This Row],[死亡年]],"")</f>
        <v/>
      </c>
      <c r="AA132">
        <v>0</v>
      </c>
      <c r="AB132" s="26" t="s">
        <v>598</v>
      </c>
      <c r="AC132" s="26">
        <v>0</v>
      </c>
      <c r="AP132" t="s">
        <v>1968</v>
      </c>
    </row>
    <row r="133" spans="1:42" s="29" customFormat="1">
      <c r="A133" s="29" t="s">
        <v>2071</v>
      </c>
      <c r="B133" s="29" t="s">
        <v>2082</v>
      </c>
      <c r="C133" s="29">
        <v>14</v>
      </c>
      <c r="D133" s="29">
        <f>IFERROR(キャラマスタ[[#This Row],[初登場時の年齢]]+2,"")</f>
        <v>16</v>
      </c>
      <c r="E133" s="29">
        <v>13</v>
      </c>
      <c r="F133" s="29">
        <v>109</v>
      </c>
      <c r="G133" s="11">
        <v>44143</v>
      </c>
      <c r="H133" s="29">
        <f>IFERROR(IF(キャラマスタ[[#This Row],[生存ステータス]]=1,1539-キャラマスタ[[#This Row],[初登場時の年齢]]+キャラマスタ[[#This Row],[死亡年]],1539-キャラマスタ[[#This Row],[初登場時の年齢]]),"")</f>
        <v>1525</v>
      </c>
      <c r="I133" s="29">
        <v>150</v>
      </c>
      <c r="L133" s="29" t="s">
        <v>527</v>
      </c>
      <c r="N133" s="29" t="s">
        <v>1936</v>
      </c>
      <c r="S133" s="29" t="s">
        <v>1936</v>
      </c>
      <c r="T133" s="29" t="s">
        <v>2083</v>
      </c>
      <c r="V133" s="29" t="s">
        <v>962</v>
      </c>
      <c r="W133" s="29" t="s">
        <v>2158</v>
      </c>
      <c r="X133" s="29" t="s">
        <v>962</v>
      </c>
      <c r="Z133" s="29" t="str">
        <f>IF(キャラマスタ[[#This Row],[生存ステータス]]=1,1539+キャラマスタ[[#This Row],[死亡年]],"")</f>
        <v/>
      </c>
      <c r="AA133" s="29">
        <v>0</v>
      </c>
      <c r="AB133" s="29" t="s">
        <v>2160</v>
      </c>
      <c r="AC133" s="29">
        <v>0</v>
      </c>
      <c r="AG133" s="29" t="s">
        <v>699</v>
      </c>
      <c r="AH133" s="29" t="s">
        <v>2084</v>
      </c>
      <c r="AP133" s="29" t="s">
        <v>2085</v>
      </c>
    </row>
    <row r="134" spans="1:42" s="29" customFormat="1">
      <c r="A134" s="29" t="s">
        <v>2072</v>
      </c>
      <c r="B134" s="29" t="s">
        <v>2149</v>
      </c>
      <c r="C134" s="29">
        <v>24</v>
      </c>
      <c r="D134" s="29">
        <f>IFERROR(キャラマスタ[[#This Row],[初登場時の年齢]]+2,"")</f>
        <v>26</v>
      </c>
      <c r="E134" s="29">
        <v>13</v>
      </c>
      <c r="F134" s="29">
        <v>110</v>
      </c>
      <c r="G134" s="11">
        <v>44038</v>
      </c>
      <c r="H134" s="29">
        <f>IFERROR(IF(キャラマスタ[[#This Row],[生存ステータス]]=1,1539-キャラマスタ[[#This Row],[初登場時の年齢]]+キャラマスタ[[#This Row],[死亡年]],1539-キャラマスタ[[#This Row],[初登場時の年齢]]),"")</f>
        <v>1515</v>
      </c>
      <c r="I134" s="29">
        <v>197</v>
      </c>
      <c r="J134" s="29" t="s">
        <v>2134</v>
      </c>
      <c r="K134" s="29" t="s">
        <v>2086</v>
      </c>
      <c r="L134" s="29" t="s">
        <v>2087</v>
      </c>
      <c r="O134" s="29" t="s">
        <v>2088</v>
      </c>
      <c r="P134" s="29" t="s">
        <v>1817</v>
      </c>
      <c r="Q134" s="29" t="s">
        <v>2089</v>
      </c>
      <c r="R134" s="29" t="s">
        <v>2156</v>
      </c>
      <c r="S134" s="29" t="s">
        <v>1945</v>
      </c>
      <c r="T134" s="29" t="s">
        <v>1946</v>
      </c>
      <c r="V134" s="29" t="s">
        <v>274</v>
      </c>
      <c r="W134" s="29" t="s">
        <v>277</v>
      </c>
      <c r="X134" s="29" t="s">
        <v>1994</v>
      </c>
      <c r="Z134" s="29" t="str">
        <f>IF(キャラマスタ[[#This Row],[生存ステータス]]=1,1539+キャラマスタ[[#This Row],[死亡年]],"")</f>
        <v/>
      </c>
      <c r="AA134" s="29">
        <v>0</v>
      </c>
      <c r="AB134" s="29" t="s">
        <v>2160</v>
      </c>
      <c r="AC134" s="29">
        <v>0</v>
      </c>
      <c r="AF134" s="29" t="s">
        <v>2090</v>
      </c>
      <c r="AG134" s="29" t="s">
        <v>475</v>
      </c>
      <c r="AH134" s="29" t="s">
        <v>2091</v>
      </c>
      <c r="AP134" s="29" t="s">
        <v>2092</v>
      </c>
    </row>
    <row r="135" spans="1:42" s="29" customFormat="1">
      <c r="A135" s="29" t="s">
        <v>2073</v>
      </c>
      <c r="B135" s="29" t="s">
        <v>2148</v>
      </c>
      <c r="C135" s="29">
        <v>22</v>
      </c>
      <c r="D135" s="29">
        <f>IFERROR(キャラマスタ[[#This Row],[初登場時の年齢]]+2,"")</f>
        <v>24</v>
      </c>
      <c r="E135" s="29">
        <v>13</v>
      </c>
      <c r="F135" s="29">
        <v>110</v>
      </c>
      <c r="G135" s="11">
        <v>43875</v>
      </c>
      <c r="H135" s="29">
        <f>IFERROR(IF(キャラマスタ[[#This Row],[生存ステータス]]=1,1539-キャラマスタ[[#This Row],[初登場時の年齢]]+キャラマスタ[[#This Row],[死亡年]],1539-キャラマスタ[[#This Row],[初登場時の年齢]]),"")</f>
        <v>1517</v>
      </c>
      <c r="I135" s="29">
        <v>177</v>
      </c>
      <c r="J135" s="29" t="s">
        <v>2134</v>
      </c>
      <c r="K135" s="29" t="s">
        <v>2086</v>
      </c>
      <c r="L135" s="29" t="s">
        <v>2093</v>
      </c>
      <c r="O135" s="29" t="s">
        <v>2094</v>
      </c>
      <c r="P135" s="29" t="s">
        <v>2141</v>
      </c>
      <c r="Q135" s="29" t="s">
        <v>2095</v>
      </c>
      <c r="R135" s="29" t="s">
        <v>2156</v>
      </c>
      <c r="S135" s="29" t="s">
        <v>1945</v>
      </c>
      <c r="T135" s="29" t="s">
        <v>1946</v>
      </c>
      <c r="V135" s="29" t="s">
        <v>276</v>
      </c>
      <c r="W135" s="29" t="s">
        <v>277</v>
      </c>
      <c r="X135" s="29" t="s">
        <v>1994</v>
      </c>
      <c r="Z135" s="29" t="str">
        <f>IF(キャラマスタ[[#This Row],[生存ステータス]]=1,1539+キャラマスタ[[#This Row],[死亡年]],"")</f>
        <v/>
      </c>
      <c r="AA135" s="29">
        <v>0</v>
      </c>
      <c r="AB135" s="29" t="s">
        <v>2160</v>
      </c>
      <c r="AC135" s="29">
        <v>0</v>
      </c>
      <c r="AG135" s="29" t="s">
        <v>682</v>
      </c>
      <c r="AH135" s="29" t="s">
        <v>2096</v>
      </c>
      <c r="AP135" s="29" t="s">
        <v>2092</v>
      </c>
    </row>
    <row r="136" spans="1:42" s="29" customFormat="1">
      <c r="A136" s="29" t="s">
        <v>2074</v>
      </c>
      <c r="B136" s="29" t="s">
        <v>2097</v>
      </c>
      <c r="C136" s="29" t="s">
        <v>534</v>
      </c>
      <c r="D136" s="29" t="str">
        <f>IFERROR(キャラマスタ[[#This Row],[初登場時の年齢]]+2,"")</f>
        <v/>
      </c>
      <c r="E136" s="29">
        <v>13</v>
      </c>
      <c r="F136" s="29">
        <v>113</v>
      </c>
      <c r="G136" s="11">
        <v>44611</v>
      </c>
      <c r="H136" s="29" t="str">
        <f>IFERROR(IF(キャラマスタ[[#This Row],[生存ステータス]]=1,1539-キャラマスタ[[#This Row],[初登場時の年齢]]+キャラマスタ[[#This Row],[死亡年]],1539-キャラマスタ[[#This Row],[初登場時の年齢]]),"")</f>
        <v/>
      </c>
      <c r="L136" s="29" t="s">
        <v>527</v>
      </c>
      <c r="M136" s="29" t="s">
        <v>2030</v>
      </c>
      <c r="N136" s="29" t="s">
        <v>2046</v>
      </c>
      <c r="V136" s="29" t="s">
        <v>2157</v>
      </c>
      <c r="W136" s="29" t="s">
        <v>2157</v>
      </c>
      <c r="X136" s="29" t="s">
        <v>2157</v>
      </c>
      <c r="Z136" s="29" t="str">
        <f>IF(キャラマスタ[[#This Row],[生存ステータス]]=1,1539+キャラマスタ[[#This Row],[死亡年]],"")</f>
        <v/>
      </c>
      <c r="AA136" s="29" t="s">
        <v>962</v>
      </c>
      <c r="AB136" s="29" t="s">
        <v>2161</v>
      </c>
      <c r="AC136" s="29">
        <v>0</v>
      </c>
      <c r="AP136" s="29" t="s">
        <v>2098</v>
      </c>
    </row>
    <row r="137" spans="1:42" s="29" customFormat="1">
      <c r="A137" s="29" t="s">
        <v>2075</v>
      </c>
      <c r="B137" s="29" t="s">
        <v>2138</v>
      </c>
      <c r="C137" s="29">
        <v>28</v>
      </c>
      <c r="D137" s="29">
        <f>IFERROR(キャラマスタ[[#This Row],[初登場時の年齢]]+2,"")</f>
        <v>30</v>
      </c>
      <c r="E137" s="29">
        <v>13</v>
      </c>
      <c r="F137" s="29">
        <v>114</v>
      </c>
      <c r="G137" s="11">
        <v>43867</v>
      </c>
      <c r="H137" s="29">
        <f>IFERROR(IF(キャラマスタ[[#This Row],[生存ステータス]]=1,1539-キャラマスタ[[#This Row],[初登場時の年齢]]+キャラマスタ[[#This Row],[死亡年]],1539-キャラマスタ[[#This Row],[初登場時の年齢]]),"")</f>
        <v>1511</v>
      </c>
      <c r="I137" s="29">
        <v>188</v>
      </c>
      <c r="L137" s="29" t="s">
        <v>2093</v>
      </c>
      <c r="N137" s="29" t="s">
        <v>2126</v>
      </c>
      <c r="O137" s="29" t="s">
        <v>2127</v>
      </c>
      <c r="P137" s="29" t="s">
        <v>2142</v>
      </c>
      <c r="Q137" s="29" t="s">
        <v>2128</v>
      </c>
      <c r="R137" s="29" t="s">
        <v>2156</v>
      </c>
      <c r="S137" s="29" t="s">
        <v>1945</v>
      </c>
      <c r="T137" s="29" t="s">
        <v>1946</v>
      </c>
      <c r="V137" s="29" t="s">
        <v>276</v>
      </c>
      <c r="W137" s="29" t="s">
        <v>277</v>
      </c>
      <c r="X137" s="29" t="s">
        <v>1994</v>
      </c>
      <c r="Z137" s="29" t="str">
        <f>IF(キャラマスタ[[#This Row],[生存ステータス]]=1,1539+キャラマスタ[[#This Row],[死亡年]],"")</f>
        <v/>
      </c>
      <c r="AA137" s="29">
        <v>0</v>
      </c>
      <c r="AB137" s="29" t="s">
        <v>2160</v>
      </c>
      <c r="AC137" s="29">
        <v>0</v>
      </c>
      <c r="AG137" s="29" t="s">
        <v>686</v>
      </c>
      <c r="AH137" s="29" t="s">
        <v>2129</v>
      </c>
      <c r="AI137" s="29" t="s">
        <v>2130</v>
      </c>
      <c r="AK137" s="29" t="s">
        <v>2131</v>
      </c>
      <c r="AP137" s="29" t="s">
        <v>2132</v>
      </c>
    </row>
    <row r="138" spans="1:42" s="29" customFormat="1">
      <c r="A138" s="29" t="s">
        <v>2076</v>
      </c>
      <c r="B138" s="29" t="s">
        <v>2099</v>
      </c>
      <c r="C138" s="29" t="s">
        <v>534</v>
      </c>
      <c r="D138" s="29" t="str">
        <f>IFERROR(キャラマスタ[[#This Row],[初登場時の年齢]]+2,"")</f>
        <v/>
      </c>
      <c r="E138" s="29">
        <v>13</v>
      </c>
      <c r="F138" s="29">
        <v>115</v>
      </c>
      <c r="G138" s="11">
        <v>44884</v>
      </c>
      <c r="H138" s="29" t="str">
        <f>IFERROR(IF(キャラマスタ[[#This Row],[生存ステータス]]=1,1539-キャラマスタ[[#This Row],[初登場時の年齢]]+キャラマスタ[[#This Row],[死亡年]],1539-キャラマスタ[[#This Row],[初登場時の年齢]]),"")</f>
        <v/>
      </c>
      <c r="L138" s="29" t="s">
        <v>527</v>
      </c>
      <c r="M138" s="29" t="s">
        <v>2031</v>
      </c>
      <c r="N138" s="29" t="s">
        <v>2100</v>
      </c>
      <c r="V138" s="29" t="s">
        <v>2157</v>
      </c>
      <c r="W138" s="29" t="s">
        <v>2159</v>
      </c>
      <c r="X138" s="29" t="s">
        <v>2157</v>
      </c>
      <c r="Z138" s="29" t="str">
        <f>IF(キャラマスタ[[#This Row],[生存ステータス]]=1,1539+キャラマスタ[[#This Row],[死亡年]],"")</f>
        <v/>
      </c>
      <c r="AA138" s="29" t="s">
        <v>2157</v>
      </c>
      <c r="AB138" s="29" t="s">
        <v>2161</v>
      </c>
      <c r="AC138" s="29">
        <v>0</v>
      </c>
      <c r="AP138" s="29" t="s">
        <v>2101</v>
      </c>
    </row>
    <row r="139" spans="1:42" s="29" customFormat="1">
      <c r="A139" s="29" t="s">
        <v>2077</v>
      </c>
      <c r="B139" s="29" t="s">
        <v>2102</v>
      </c>
      <c r="C139" s="29" t="s">
        <v>534</v>
      </c>
      <c r="D139" s="29" t="str">
        <f>IFERROR(キャラマスタ[[#This Row],[初登場時の年齢]]+2,"")</f>
        <v/>
      </c>
      <c r="E139" s="29">
        <v>13</v>
      </c>
      <c r="F139" s="29">
        <v>115</v>
      </c>
      <c r="G139" s="11">
        <v>44915</v>
      </c>
      <c r="H139" s="29" t="str">
        <f>IFERROR(IF(キャラマスタ[[#This Row],[生存ステータス]]=1,1539-キャラマスタ[[#This Row],[初登場時の年齢]]+キャラマスタ[[#This Row],[死亡年]],1539-キャラマスタ[[#This Row],[初登場時の年齢]]),"")</f>
        <v/>
      </c>
      <c r="L139" s="29" t="s">
        <v>527</v>
      </c>
      <c r="T139" s="29" t="s">
        <v>2103</v>
      </c>
      <c r="V139" s="29" t="s">
        <v>2157</v>
      </c>
      <c r="W139" s="29" t="s">
        <v>277</v>
      </c>
      <c r="X139" s="29" t="s">
        <v>2157</v>
      </c>
      <c r="Z139" s="29" t="str">
        <f>IF(キャラマスタ[[#This Row],[生存ステータス]]=1,1539+キャラマスタ[[#This Row],[死亡年]],"")</f>
        <v/>
      </c>
      <c r="AA139" s="29" t="s">
        <v>2157</v>
      </c>
      <c r="AB139" s="29" t="s">
        <v>2161</v>
      </c>
      <c r="AC139" s="29">
        <v>0</v>
      </c>
      <c r="AP139" s="29" t="s">
        <v>2104</v>
      </c>
    </row>
    <row r="140" spans="1:42" s="29" customFormat="1">
      <c r="A140" s="29" t="s">
        <v>2078</v>
      </c>
      <c r="B140" s="29" t="s">
        <v>2105</v>
      </c>
      <c r="C140" s="29">
        <v>158</v>
      </c>
      <c r="D140" s="29">
        <f>IFERROR(キャラマスタ[[#This Row],[初登場時の年齢]]+2,"")</f>
        <v>160</v>
      </c>
      <c r="E140" s="29">
        <v>13</v>
      </c>
      <c r="F140" s="29">
        <v>116</v>
      </c>
      <c r="G140" s="11">
        <v>43862</v>
      </c>
      <c r="H140" s="29">
        <f>IFERROR(IF(キャラマスタ[[#This Row],[生存ステータス]]=1,1539-キャラマスタ[[#This Row],[初登場時の年齢]]+キャラマスタ[[#This Row],[死亡年]],1539-キャラマスタ[[#This Row],[初登場時の年齢]]),"")</f>
        <v>1381</v>
      </c>
      <c r="I140" s="29">
        <v>2130</v>
      </c>
      <c r="J140" s="29" t="s">
        <v>2135</v>
      </c>
      <c r="K140" s="29" t="s">
        <v>2106</v>
      </c>
      <c r="L140" s="29" t="s">
        <v>527</v>
      </c>
      <c r="N140" s="29" t="s">
        <v>1757</v>
      </c>
      <c r="O140" s="29" t="s">
        <v>2107</v>
      </c>
      <c r="S140" s="29" t="s">
        <v>2108</v>
      </c>
      <c r="T140" s="29" t="s">
        <v>39</v>
      </c>
      <c r="V140" s="29" t="s">
        <v>274</v>
      </c>
      <c r="W140" s="29" t="s">
        <v>1825</v>
      </c>
      <c r="X140" s="29" t="s">
        <v>740</v>
      </c>
      <c r="Z140" s="29" t="str">
        <f>IF(キャラマスタ[[#This Row],[生存ステータス]]=1,1539+キャラマスタ[[#This Row],[死亡年]],"")</f>
        <v/>
      </c>
      <c r="AA140" s="29">
        <v>0</v>
      </c>
      <c r="AB140" s="29" t="s">
        <v>2160</v>
      </c>
      <c r="AC140" s="29">
        <v>0</v>
      </c>
      <c r="AD140" s="29">
        <v>12</v>
      </c>
      <c r="AE140" s="29">
        <v>9999</v>
      </c>
      <c r="AF140" s="29" t="s">
        <v>2109</v>
      </c>
      <c r="AG140" s="29" t="s">
        <v>699</v>
      </c>
      <c r="AH140" s="29" t="s">
        <v>2110</v>
      </c>
      <c r="AP140" s="29" t="s">
        <v>2111</v>
      </c>
    </row>
    <row r="141" spans="1:42" s="29" customFormat="1">
      <c r="A141" s="29" t="s">
        <v>2079</v>
      </c>
      <c r="B141" s="29" t="s">
        <v>2112</v>
      </c>
      <c r="C141" s="29">
        <v>158</v>
      </c>
      <c r="D141" s="29">
        <f>IFERROR(キャラマスタ[[#This Row],[初登場時の年齢]]+2,"")</f>
        <v>160</v>
      </c>
      <c r="E141" s="29">
        <v>13</v>
      </c>
      <c r="F141" s="29">
        <v>116</v>
      </c>
      <c r="G141" s="11">
        <v>44106</v>
      </c>
      <c r="H141" s="29">
        <f>IFERROR(IF(キャラマスタ[[#This Row],[生存ステータス]]=1,1539-キャラマスタ[[#This Row],[初登場時の年齢]]+キャラマスタ[[#This Row],[死亡年]],1539-キャラマスタ[[#This Row],[初登場時の年齢]]),"")</f>
        <v>1381</v>
      </c>
      <c r="I141" s="29">
        <v>2260</v>
      </c>
      <c r="J141" s="29" t="s">
        <v>2135</v>
      </c>
      <c r="K141" s="29" t="s">
        <v>2106</v>
      </c>
      <c r="L141" s="29" t="s">
        <v>527</v>
      </c>
      <c r="N141" s="29" t="s">
        <v>1757</v>
      </c>
      <c r="O141" s="29" t="s">
        <v>2113</v>
      </c>
      <c r="S141" s="29" t="s">
        <v>2108</v>
      </c>
      <c r="T141" s="29" t="s">
        <v>39</v>
      </c>
      <c r="V141" s="29" t="s">
        <v>274</v>
      </c>
      <c r="W141" s="29" t="s">
        <v>1825</v>
      </c>
      <c r="X141" s="29" t="s">
        <v>740</v>
      </c>
      <c r="Z141" s="29" t="str">
        <f>IF(キャラマスタ[[#This Row],[生存ステータス]]=1,1539+キャラマスタ[[#This Row],[死亡年]],"")</f>
        <v/>
      </c>
      <c r="AA141" s="29">
        <v>0</v>
      </c>
      <c r="AB141" s="29" t="s">
        <v>2160</v>
      </c>
      <c r="AC141" s="29">
        <v>0</v>
      </c>
      <c r="AD141" s="29">
        <v>12</v>
      </c>
      <c r="AE141" s="29">
        <v>9999</v>
      </c>
      <c r="AF141" s="29" t="s">
        <v>2114</v>
      </c>
      <c r="AG141" s="29" t="s">
        <v>699</v>
      </c>
      <c r="AH141" s="29" t="s">
        <v>2115</v>
      </c>
      <c r="AP141" s="29" t="s">
        <v>2111</v>
      </c>
    </row>
    <row r="142" spans="1:42" s="29" customFormat="1">
      <c r="A142" s="29" t="s">
        <v>2080</v>
      </c>
      <c r="B142" s="29" t="s">
        <v>2116</v>
      </c>
      <c r="C142" s="29" t="s">
        <v>534</v>
      </c>
      <c r="D142" s="29" t="str">
        <f>IFERROR(キャラマスタ[[#This Row],[初登場時の年齢]]+2,"")</f>
        <v/>
      </c>
      <c r="E142" s="29">
        <v>13</v>
      </c>
      <c r="F142" s="29">
        <v>117</v>
      </c>
      <c r="G142" s="11">
        <v>44628</v>
      </c>
      <c r="H142" s="29" t="str">
        <f>IFERROR(IF(キャラマスタ[[#This Row],[生存ステータス]]=1,1539-キャラマスタ[[#This Row],[初登場時の年齢]]+キャラマスタ[[#This Row],[死亡年]],1539-キャラマスタ[[#This Row],[初登場時の年齢]]),"")</f>
        <v/>
      </c>
      <c r="L142" s="29" t="s">
        <v>527</v>
      </c>
      <c r="V142" s="29" t="s">
        <v>274</v>
      </c>
      <c r="W142" s="29" t="s">
        <v>277</v>
      </c>
      <c r="X142" s="29" t="s">
        <v>373</v>
      </c>
      <c r="Z142" s="29" t="str">
        <f>IF(キャラマスタ[[#This Row],[生存ステータス]]=1,1539+キャラマスタ[[#This Row],[死亡年]],"")</f>
        <v/>
      </c>
      <c r="AA142" s="29" t="s">
        <v>2157</v>
      </c>
      <c r="AB142" s="29" t="s">
        <v>2161</v>
      </c>
      <c r="AC142" s="29">
        <v>0</v>
      </c>
      <c r="AP142" s="29" t="s">
        <v>2117</v>
      </c>
    </row>
    <row r="143" spans="1:42" s="29" customFormat="1">
      <c r="A143" s="29" t="s">
        <v>2081</v>
      </c>
      <c r="B143" s="29" t="s">
        <v>2146</v>
      </c>
      <c r="C143" s="29">
        <v>35</v>
      </c>
      <c r="D143" s="29">
        <f>IFERROR(キャラマスタ[[#This Row],[初登場時の年齢]]+2,"")</f>
        <v>37</v>
      </c>
      <c r="E143" s="29">
        <v>13</v>
      </c>
      <c r="F143" s="29">
        <v>117</v>
      </c>
      <c r="G143" s="11">
        <v>43893</v>
      </c>
      <c r="H143" s="29">
        <f>IFERROR(IF(キャラマスタ[[#This Row],[生存ステータス]]=1,1539-キャラマスタ[[#This Row],[初登場時の年齢]]+キャラマスタ[[#This Row],[死亡年]],1539-キャラマスタ[[#This Row],[初登場時の年齢]]),"")</f>
        <v>1504</v>
      </c>
      <c r="I143" s="29">
        <v>179</v>
      </c>
      <c r="J143" s="29" t="s">
        <v>2136</v>
      </c>
      <c r="K143" s="29" t="s">
        <v>2122</v>
      </c>
      <c r="L143" s="29" t="s">
        <v>2087</v>
      </c>
      <c r="O143" s="29" t="s">
        <v>2118</v>
      </c>
      <c r="P143" s="29" t="s">
        <v>2143</v>
      </c>
      <c r="Q143" s="29" t="s">
        <v>2119</v>
      </c>
      <c r="R143" s="29" t="s">
        <v>2156</v>
      </c>
      <c r="S143" s="29" t="s">
        <v>1945</v>
      </c>
      <c r="T143" s="29" t="s">
        <v>1946</v>
      </c>
      <c r="V143" s="29" t="s">
        <v>274</v>
      </c>
      <c r="W143" s="29" t="s">
        <v>277</v>
      </c>
      <c r="X143" s="29" t="s">
        <v>1994</v>
      </c>
      <c r="Z143" s="29" t="str">
        <f>IF(キャラマスタ[[#This Row],[生存ステータス]]=1,1539+キャラマスタ[[#This Row],[死亡年]],"")</f>
        <v/>
      </c>
      <c r="AA143" s="29">
        <v>0</v>
      </c>
      <c r="AB143" s="29" t="s">
        <v>2160</v>
      </c>
      <c r="AC143" s="29">
        <v>0</v>
      </c>
      <c r="AD143" s="29">
        <v>12</v>
      </c>
      <c r="AE143" s="29">
        <v>9999</v>
      </c>
      <c r="AG143" s="29" t="s">
        <v>699</v>
      </c>
      <c r="AH143" s="29" t="s">
        <v>2120</v>
      </c>
      <c r="AP143" s="29" t="s">
        <v>2121</v>
      </c>
    </row>
    <row r="144" spans="1:42" s="29" customFormat="1">
      <c r="A144" s="29" t="s">
        <v>2133</v>
      </c>
      <c r="B144" s="29" t="s">
        <v>2147</v>
      </c>
      <c r="C144" s="29">
        <v>16</v>
      </c>
      <c r="D144" s="29">
        <f>IFERROR(キャラマスタ[[#This Row],[初登場時の年齢]]+2,"")</f>
        <v>18</v>
      </c>
      <c r="E144" s="29">
        <v>13</v>
      </c>
      <c r="F144" s="29">
        <v>117</v>
      </c>
      <c r="G144" s="11">
        <v>43950</v>
      </c>
      <c r="H144" s="29">
        <f>IFERROR(IF(キャラマスタ[[#This Row],[生存ステータス]]=1,1539-キャラマスタ[[#This Row],[初登場時の年齢]]+キャラマスタ[[#This Row],[死亡年]],1539-キャラマスタ[[#This Row],[初登場時の年齢]]),"")</f>
        <v>1523</v>
      </c>
      <c r="I144" s="29">
        <v>145</v>
      </c>
      <c r="J144" s="29" t="s">
        <v>2136</v>
      </c>
      <c r="K144" s="29" t="s">
        <v>2122</v>
      </c>
      <c r="L144" s="29" t="s">
        <v>53</v>
      </c>
      <c r="O144" s="29" t="s">
        <v>2123</v>
      </c>
      <c r="R144" s="29" t="s">
        <v>2156</v>
      </c>
      <c r="S144" s="29" t="s">
        <v>1945</v>
      </c>
      <c r="T144" s="29" t="s">
        <v>1946</v>
      </c>
      <c r="V144" s="29" t="s">
        <v>276</v>
      </c>
      <c r="W144" s="29" t="s">
        <v>277</v>
      </c>
      <c r="X144" s="29" t="s">
        <v>1994</v>
      </c>
      <c r="Z144" s="29" t="str">
        <f>IF(キャラマスタ[[#This Row],[生存ステータス]]=1,1539+キャラマスタ[[#This Row],[死亡年]],"")</f>
        <v/>
      </c>
      <c r="AA144" s="29">
        <v>0</v>
      </c>
      <c r="AB144" s="29" t="s">
        <v>2160</v>
      </c>
      <c r="AC144" s="29">
        <v>0</v>
      </c>
      <c r="AF144" s="29" t="s">
        <v>2124</v>
      </c>
      <c r="AG144" s="29" t="s">
        <v>682</v>
      </c>
      <c r="AH144" s="29" t="s">
        <v>2125</v>
      </c>
      <c r="AP144" s="29" t="s">
        <v>2092</v>
      </c>
    </row>
    <row r="145" spans="1:42">
      <c r="A145" t="s">
        <v>1891</v>
      </c>
      <c r="B145" t="s">
        <v>1892</v>
      </c>
      <c r="C145">
        <v>76</v>
      </c>
      <c r="D145">
        <f>IFERROR(キャラマスタ[[#This Row],[初登場時の年齢]]+2,"")</f>
        <v>78</v>
      </c>
      <c r="E145">
        <v>11</v>
      </c>
      <c r="F145">
        <v>92</v>
      </c>
      <c r="G145" s="11">
        <v>43953</v>
      </c>
      <c r="H145">
        <f>IFERROR(IF(キャラマスタ[[#This Row],[生存ステータス]]=1,1539-キャラマスタ[[#This Row],[初登場時の年齢]]+キャラマスタ[[#This Row],[死亡年]],1539-キャラマスタ[[#This Row],[初登場時の年齢]]),"")</f>
        <v>1463</v>
      </c>
      <c r="I145">
        <v>287</v>
      </c>
      <c r="J145" t="s">
        <v>954</v>
      </c>
      <c r="K145" t="s">
        <v>1893</v>
      </c>
      <c r="L145" t="s">
        <v>18</v>
      </c>
      <c r="N145" t="s">
        <v>1894</v>
      </c>
      <c r="O145" t="s">
        <v>1895</v>
      </c>
      <c r="R145" s="29" t="s">
        <v>446</v>
      </c>
      <c r="S145" t="s">
        <v>1754</v>
      </c>
      <c r="T145" t="s">
        <v>1896</v>
      </c>
      <c r="V145" t="s">
        <v>274</v>
      </c>
      <c r="W145" t="s">
        <v>277</v>
      </c>
      <c r="X145" t="s">
        <v>375</v>
      </c>
      <c r="Z145" t="str">
        <f>IF(キャラマスタ[[#This Row],[生存ステータス]]=1,1539+キャラマスタ[[#This Row],[死亡年]],"")</f>
        <v/>
      </c>
      <c r="AA145">
        <v>0</v>
      </c>
      <c r="AB145" t="s">
        <v>259</v>
      </c>
      <c r="AC145">
        <v>1</v>
      </c>
      <c r="AD145">
        <v>3</v>
      </c>
      <c r="AE145">
        <v>9999</v>
      </c>
      <c r="AG145" t="s">
        <v>699</v>
      </c>
      <c r="AH145" t="s">
        <v>1897</v>
      </c>
      <c r="AI145" t="s">
        <v>1898</v>
      </c>
      <c r="AJ145" t="s">
        <v>1899</v>
      </c>
      <c r="AK145" t="s">
        <v>1900</v>
      </c>
      <c r="AP145" t="s">
        <v>1901</v>
      </c>
    </row>
  </sheetData>
  <phoneticPr fontId="1"/>
  <pageMargins left="0.7" right="0.7" top="0.75" bottom="0.75" header="0.3" footer="0.3"/>
  <pageSetup paperSize="9" orientation="portrait" verticalDpi="0"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51A3548-E67B-4D0D-9987-88A99E04EA44}">
          <x14:formula1>
            <xm:f>勢力マスタ!$A:$A</xm:f>
          </x14:formula1>
          <xm:sqref>R1:R34 R36:R46</xm:sqref>
        </x14:dataValidation>
        <x14:dataValidation type="list" allowBlank="1" showInputMessage="1" showErrorMessage="1" xr:uid="{4D324123-79F8-41BF-872E-8372685CB2A1}">
          <x14:formula1>
            <xm:f>船マスタ!#REF!</xm:f>
          </x14:formula1>
          <xm:sqref>J2:J46 J49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7E2F1-05E3-5F46-8635-DC1F33BB6BBE}">
  <sheetPr>
    <tabColor rgb="FFFFFF00"/>
  </sheetPr>
  <dimension ref="A1:I11"/>
  <sheetViews>
    <sheetView workbookViewId="0"/>
  </sheetViews>
  <sheetFormatPr defaultColWidth="8.875" defaultRowHeight="18.75"/>
  <cols>
    <col min="2" max="2" width="13" bestFit="1" customWidth="1"/>
    <col min="3" max="3" width="7.125" bestFit="1" customWidth="1"/>
    <col min="4" max="4" width="11" customWidth="1"/>
    <col min="5" max="5" width="20.625" bestFit="1" customWidth="1"/>
    <col min="6" max="6" width="12.625" customWidth="1"/>
    <col min="7" max="7" width="10.875" customWidth="1"/>
    <col min="8" max="8" width="9" customWidth="1"/>
    <col min="9" max="9" width="14.5" customWidth="1"/>
  </cols>
  <sheetData>
    <row r="1" spans="1:9">
      <c r="A1" t="s">
        <v>395</v>
      </c>
      <c r="B1" t="s">
        <v>171</v>
      </c>
      <c r="C1" t="s">
        <v>169</v>
      </c>
      <c r="D1" t="s">
        <v>394</v>
      </c>
      <c r="E1" t="s">
        <v>170</v>
      </c>
      <c r="F1" t="s">
        <v>172</v>
      </c>
      <c r="G1" t="s">
        <v>225</v>
      </c>
      <c r="H1" t="s">
        <v>224</v>
      </c>
      <c r="I1" t="s">
        <v>190</v>
      </c>
    </row>
    <row r="2" spans="1:9">
      <c r="A2" t="s">
        <v>399</v>
      </c>
      <c r="B2" t="s">
        <v>36</v>
      </c>
      <c r="C2" t="s">
        <v>262</v>
      </c>
      <c r="D2" t="s">
        <v>288</v>
      </c>
      <c r="E2" s="6" t="str">
        <f>VLOOKUP(D2,キャラマスタ[],2,FALSE)</f>
        <v>モンキー・D・ルフィ</v>
      </c>
      <c r="F2">
        <v>0</v>
      </c>
      <c r="G2">
        <v>1</v>
      </c>
      <c r="H2">
        <v>-10</v>
      </c>
    </row>
    <row r="3" spans="1:9">
      <c r="A3" t="s">
        <v>592</v>
      </c>
      <c r="B3" t="s">
        <v>528</v>
      </c>
      <c r="C3" t="s">
        <v>262</v>
      </c>
      <c r="D3" t="s">
        <v>570</v>
      </c>
      <c r="E3" s="6" t="str">
        <f>VLOOKUP(D3,キャラマスタ[],2,FALSE)</f>
        <v>バギー</v>
      </c>
      <c r="F3">
        <v>0</v>
      </c>
      <c r="G3">
        <v>2</v>
      </c>
      <c r="H3">
        <v>-25</v>
      </c>
    </row>
    <row r="4" spans="1:9">
      <c r="A4" t="s">
        <v>1815</v>
      </c>
      <c r="B4" t="s">
        <v>68</v>
      </c>
      <c r="C4" t="s">
        <v>262</v>
      </c>
      <c r="D4" t="s">
        <v>433</v>
      </c>
      <c r="E4" s="6" t="str">
        <f>VLOOKUP(D4,キャラマスタ[],2,FALSE)</f>
        <v>アルビダ</v>
      </c>
      <c r="F4">
        <v>0</v>
      </c>
      <c r="G4">
        <v>11</v>
      </c>
      <c r="H4">
        <v>0</v>
      </c>
    </row>
    <row r="5" spans="1:9">
      <c r="A5" t="s">
        <v>1816</v>
      </c>
      <c r="B5" t="s">
        <v>1783</v>
      </c>
      <c r="C5" t="s">
        <v>1818</v>
      </c>
      <c r="D5" t="s">
        <v>1806</v>
      </c>
      <c r="E5" s="6" t="str">
        <f>VLOOKUP(D5,キャラマスタ[],2,FALSE)</f>
        <v>スモーカー</v>
      </c>
      <c r="F5">
        <v>0</v>
      </c>
      <c r="G5">
        <v>11</v>
      </c>
      <c r="H5">
        <v>0</v>
      </c>
    </row>
    <row r="6" spans="1:9">
      <c r="A6" t="s">
        <v>1817</v>
      </c>
      <c r="B6" s="29" t="s">
        <v>2089</v>
      </c>
      <c r="C6" t="s">
        <v>262</v>
      </c>
      <c r="D6" s="29" t="s">
        <v>2072</v>
      </c>
      <c r="E6" s="6" t="str">
        <f>VLOOKUP(D6,キャラマスタ[],2,FALSE)</f>
        <v>Mr.5</v>
      </c>
      <c r="F6" s="29">
        <v>0</v>
      </c>
      <c r="G6">
        <v>13</v>
      </c>
      <c r="H6" s="29">
        <v>0</v>
      </c>
    </row>
    <row r="7" spans="1:9">
      <c r="A7" s="29" t="s">
        <v>2141</v>
      </c>
      <c r="B7" s="29" t="s">
        <v>2095</v>
      </c>
      <c r="C7" s="29" t="s">
        <v>262</v>
      </c>
      <c r="D7" s="29" t="s">
        <v>2073</v>
      </c>
      <c r="E7" s="6" t="str">
        <f>VLOOKUP(D7,キャラマスタ[],2,FALSE)</f>
        <v>ミス・バレンタイン</v>
      </c>
      <c r="F7" s="29">
        <v>0</v>
      </c>
      <c r="G7">
        <v>13</v>
      </c>
      <c r="H7" s="29">
        <v>0</v>
      </c>
    </row>
    <row r="8" spans="1:9">
      <c r="A8" s="29" t="s">
        <v>2142</v>
      </c>
      <c r="B8" s="29" t="s">
        <v>2128</v>
      </c>
      <c r="C8" s="29" t="s">
        <v>262</v>
      </c>
      <c r="D8" s="29" t="s">
        <v>2075</v>
      </c>
      <c r="E8" s="6" t="str">
        <f>VLOOKUP(D8,キャラマスタ[],2,FALSE)</f>
        <v>ミス・オールサンデー</v>
      </c>
      <c r="F8" s="29">
        <v>0</v>
      </c>
      <c r="G8">
        <v>13</v>
      </c>
      <c r="H8" s="29">
        <v>0</v>
      </c>
    </row>
    <row r="9" spans="1:9">
      <c r="A9" s="29" t="s">
        <v>2143</v>
      </c>
      <c r="B9" s="29" t="s">
        <v>2119</v>
      </c>
      <c r="C9" s="29" t="s">
        <v>262</v>
      </c>
      <c r="D9" s="29" t="s">
        <v>2081</v>
      </c>
      <c r="E9" s="6" t="str">
        <f>VLOOKUP(D9,キャラマスタ[],2,FALSE)</f>
        <v>Mr.3</v>
      </c>
      <c r="F9" s="29">
        <v>0</v>
      </c>
      <c r="G9">
        <v>13</v>
      </c>
      <c r="H9" s="29">
        <v>0</v>
      </c>
    </row>
    <row r="10" spans="1:9">
      <c r="A10" s="29" t="s">
        <v>2144</v>
      </c>
      <c r="E10" s="6" t="e">
        <f>VLOOKUP(D10,キャラマスタ[],2,FALSE)</f>
        <v>#N/A</v>
      </c>
    </row>
    <row r="11" spans="1:9">
      <c r="A11" s="29" t="s">
        <v>2145</v>
      </c>
      <c r="E11" s="6" t="e">
        <f>VLOOKUP(D11,キャラマスタ[],2,FALSE)</f>
        <v>#N/A</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CF29-61DE-4685-A3CA-8255CD668149}">
  <sheetPr>
    <tabColor rgb="FFFFFF00"/>
  </sheetPr>
  <dimension ref="A1:G21"/>
  <sheetViews>
    <sheetView workbookViewId="0"/>
  </sheetViews>
  <sheetFormatPr defaultColWidth="8.875" defaultRowHeight="18.75"/>
  <cols>
    <col min="2" max="2" width="13" bestFit="1" customWidth="1"/>
    <col min="4" max="4" width="10.5" customWidth="1"/>
    <col min="6" max="6" width="10.5" customWidth="1"/>
  </cols>
  <sheetData>
    <row r="1" spans="1:7">
      <c r="A1" t="s">
        <v>396</v>
      </c>
      <c r="B1" t="s">
        <v>173</v>
      </c>
      <c r="C1" t="s">
        <v>174</v>
      </c>
      <c r="D1" t="s">
        <v>1147</v>
      </c>
      <c r="E1" t="s">
        <v>175</v>
      </c>
      <c r="F1" t="s">
        <v>1148</v>
      </c>
      <c r="G1" t="s">
        <v>176</v>
      </c>
    </row>
    <row r="2" spans="1:7">
      <c r="A2" t="s">
        <v>397</v>
      </c>
      <c r="B2" s="20" t="s">
        <v>1446</v>
      </c>
      <c r="C2" t="s">
        <v>1855</v>
      </c>
      <c r="D2" s="13" t="s">
        <v>1447</v>
      </c>
      <c r="E2" s="15" t="str">
        <f>+IFERROR(VLOOKUP(D2,キャラマスタ[],2,FALSE),"")</f>
        <v>ロロノア・ゾロ</v>
      </c>
      <c r="G2" t="s">
        <v>1448</v>
      </c>
    </row>
    <row r="3" spans="1:7">
      <c r="A3" t="s">
        <v>1149</v>
      </c>
      <c r="B3" s="19" t="s">
        <v>805</v>
      </c>
      <c r="D3" s="13" t="s">
        <v>718</v>
      </c>
      <c r="E3" s="15" t="str">
        <f>+IFERROR(VLOOKUP(D3,キャラマスタ[],2,FALSE),"")</f>
        <v>ウソップ</v>
      </c>
    </row>
    <row r="4" spans="1:7">
      <c r="A4" t="s">
        <v>1150</v>
      </c>
      <c r="B4" t="s">
        <v>694</v>
      </c>
      <c r="D4" t="s">
        <v>723</v>
      </c>
      <c r="E4" s="15" t="str">
        <f>+IFERROR(VLOOKUP(D4,キャラマスタ[],2,FALSE),"")</f>
        <v>クロ</v>
      </c>
    </row>
    <row r="5" spans="1:7">
      <c r="A5" t="s">
        <v>1151</v>
      </c>
      <c r="B5" t="s">
        <v>709</v>
      </c>
      <c r="D5" t="s">
        <v>727</v>
      </c>
      <c r="E5" s="15" t="str">
        <f>+IFERROR(VLOOKUP(D5,キャラマスタ[],2,FALSE),"")</f>
        <v>ジャンゴ</v>
      </c>
    </row>
    <row r="6" spans="1:7">
      <c r="A6" t="s">
        <v>1152</v>
      </c>
      <c r="B6" t="s">
        <v>892</v>
      </c>
      <c r="D6" t="s">
        <v>844</v>
      </c>
      <c r="E6" s="15" t="str">
        <f>+IFERROR(VLOOKUP(D6,キャラマスタ[],2,FALSE),"")</f>
        <v>ヨサク</v>
      </c>
    </row>
    <row r="7" spans="1:7">
      <c r="A7" t="s">
        <v>1153</v>
      </c>
      <c r="B7" s="14" t="s">
        <v>1449</v>
      </c>
      <c r="C7" t="s">
        <v>1450</v>
      </c>
      <c r="D7" t="s">
        <v>1100</v>
      </c>
      <c r="E7" s="15" t="str">
        <f>+IFERROR(VLOOKUP(D7,キャラマスタ[],2,FALSE),"")</f>
        <v>ジュラキュール・ミホーク</v>
      </c>
    </row>
    <row r="8" spans="1:7">
      <c r="A8" t="s">
        <v>1154</v>
      </c>
      <c r="B8" t="s">
        <v>1325</v>
      </c>
      <c r="D8" t="s">
        <v>1310</v>
      </c>
      <c r="E8" s="15" t="str">
        <f>+IFERROR(VLOOKUP(D8,キャラマスタ[],2,FALSE),"")</f>
        <v>アーロン</v>
      </c>
    </row>
    <row r="9" spans="1:7">
      <c r="A9" t="s">
        <v>1155</v>
      </c>
      <c r="B9" s="14" t="s">
        <v>1851</v>
      </c>
      <c r="C9" t="s">
        <v>1852</v>
      </c>
      <c r="D9" s="13" t="s">
        <v>414</v>
      </c>
      <c r="E9" s="15" t="str">
        <f>+IFERROR(VLOOKUP(D9,キャラマスタ[],2,FALSE),"")</f>
        <v>ロロノア・ゾロ</v>
      </c>
      <c r="G9" t="s">
        <v>1853</v>
      </c>
    </row>
    <row r="10" spans="1:7">
      <c r="A10" t="s">
        <v>1156</v>
      </c>
      <c r="B10" s="14" t="s">
        <v>1854</v>
      </c>
      <c r="C10" t="s">
        <v>1856</v>
      </c>
      <c r="D10" s="13" t="s">
        <v>414</v>
      </c>
      <c r="E10" s="15" t="str">
        <f>+IFERROR(VLOOKUP(D10,キャラマスタ[],2,FALSE),"")</f>
        <v>ロロノア・ゾロ</v>
      </c>
    </row>
    <row r="11" spans="1:7">
      <c r="A11" t="s">
        <v>1157</v>
      </c>
      <c r="B11" s="14" t="s">
        <v>1857</v>
      </c>
      <c r="C11" t="s">
        <v>1852</v>
      </c>
      <c r="D11" t="s">
        <v>1808</v>
      </c>
      <c r="E11" s="15" t="str">
        <f>+IFERROR(VLOOKUP(D11,キャラマスタ[],2,FALSE),"")</f>
        <v>たしぎ</v>
      </c>
    </row>
    <row r="12" spans="1:7">
      <c r="A12" t="s">
        <v>1858</v>
      </c>
      <c r="B12" s="29" t="s">
        <v>2090</v>
      </c>
      <c r="D12" s="29" t="s">
        <v>2072</v>
      </c>
      <c r="E12" s="23" t="str">
        <f>+IFERROR(VLOOKUP(D12,キャラマスタ[],2,FALSE),"")</f>
        <v>Mr.5</v>
      </c>
    </row>
    <row r="13" spans="1:7">
      <c r="A13" t="s">
        <v>1859</v>
      </c>
      <c r="B13" s="29" t="s">
        <v>2109</v>
      </c>
      <c r="D13" s="29" t="s">
        <v>2078</v>
      </c>
      <c r="E13" s="23" t="str">
        <f>+IFERROR(VLOOKUP(D13,キャラマスタ[],2,FALSE),"")</f>
        <v>ブロギー</v>
      </c>
    </row>
    <row r="14" spans="1:7">
      <c r="A14" t="s">
        <v>1860</v>
      </c>
      <c r="B14" s="29" t="s">
        <v>2114</v>
      </c>
      <c r="D14" s="29" t="s">
        <v>2079</v>
      </c>
      <c r="E14" s="23" t="str">
        <f>+IFERROR(VLOOKUP(D14,キャラマスタ[],2,FALSE),"")</f>
        <v>ドリー</v>
      </c>
    </row>
    <row r="15" spans="1:7">
      <c r="A15" t="s">
        <v>1861</v>
      </c>
      <c r="B15" s="14"/>
      <c r="D15" s="13"/>
      <c r="E15" s="23" t="str">
        <f>+IFERROR(VLOOKUP(D15,キャラマスタ[],2,FALSE),"")</f>
        <v/>
      </c>
    </row>
    <row r="16" spans="1:7">
      <c r="A16" t="s">
        <v>1862</v>
      </c>
      <c r="B16" s="14"/>
      <c r="D16" s="13"/>
      <c r="E16" s="23" t="str">
        <f>+IFERROR(VLOOKUP(D16,キャラマスタ[],2,FALSE),"")</f>
        <v/>
      </c>
    </row>
    <row r="17" spans="1:5">
      <c r="A17" t="s">
        <v>1863</v>
      </c>
      <c r="B17" s="14"/>
      <c r="D17" s="13"/>
      <c r="E17" s="23" t="str">
        <f>+IFERROR(VLOOKUP(D17,キャラマスタ[],2,FALSE),"")</f>
        <v/>
      </c>
    </row>
    <row r="18" spans="1:5">
      <c r="A18" t="s">
        <v>1864</v>
      </c>
      <c r="B18" s="14"/>
      <c r="D18" s="13"/>
      <c r="E18" s="23" t="str">
        <f>+IFERROR(VLOOKUP(D18,キャラマスタ[],2,FALSE),"")</f>
        <v/>
      </c>
    </row>
    <row r="19" spans="1:5">
      <c r="A19" t="s">
        <v>1865</v>
      </c>
      <c r="B19" s="14"/>
      <c r="D19" s="13"/>
      <c r="E19" s="23" t="str">
        <f>+IFERROR(VLOOKUP(D19,キャラマスタ[],2,FALSE),"")</f>
        <v/>
      </c>
    </row>
    <row r="20" spans="1:5">
      <c r="A20" t="s">
        <v>1866</v>
      </c>
      <c r="B20" s="14"/>
      <c r="D20" s="13"/>
      <c r="E20" s="23" t="str">
        <f>+IFERROR(VLOOKUP(D20,キャラマスタ[],2,FALSE),"")</f>
        <v/>
      </c>
    </row>
    <row r="21" spans="1:5">
      <c r="A21" t="s">
        <v>1867</v>
      </c>
      <c r="B21" s="14"/>
      <c r="D21" s="13"/>
      <c r="E21" s="23" t="str">
        <f>+IFERROR(VLOOKUP(D21,キャラマスタ[],2,FALSE),"")</f>
        <v/>
      </c>
    </row>
  </sheetData>
  <phoneticPr fontId="1"/>
  <pageMargins left="0.7" right="0.7" top="0.75" bottom="0.75" header="0.3" footer="0.3"/>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9F4D-FEF3-994E-BD8F-A5E248FCF4BF}">
  <sheetPr>
    <tabColor rgb="FFFFFF00"/>
  </sheetPr>
  <dimension ref="A1:F21"/>
  <sheetViews>
    <sheetView workbookViewId="0"/>
  </sheetViews>
  <sheetFormatPr defaultColWidth="8.875" defaultRowHeight="18.75"/>
  <cols>
    <col min="2" max="2" width="21.125" bestFit="1" customWidth="1"/>
  </cols>
  <sheetData>
    <row r="1" spans="1:6">
      <c r="A1" t="s">
        <v>398</v>
      </c>
      <c r="B1" t="s">
        <v>177</v>
      </c>
      <c r="C1" t="s">
        <v>818</v>
      </c>
      <c r="D1" t="s">
        <v>178</v>
      </c>
      <c r="E1" t="s">
        <v>179</v>
      </c>
      <c r="F1" t="s">
        <v>180</v>
      </c>
    </row>
    <row r="2" spans="1:6">
      <c r="A2" t="s">
        <v>400</v>
      </c>
      <c r="B2" s="9" t="s">
        <v>581</v>
      </c>
      <c r="C2" t="s">
        <v>228</v>
      </c>
    </row>
    <row r="3" spans="1:6">
      <c r="A3" t="s">
        <v>582</v>
      </c>
      <c r="B3" s="9" t="s">
        <v>27</v>
      </c>
      <c r="C3" t="s">
        <v>815</v>
      </c>
    </row>
    <row r="4" spans="1:6">
      <c r="A4" t="s">
        <v>583</v>
      </c>
      <c r="B4" s="9" t="s">
        <v>43</v>
      </c>
      <c r="C4" t="s">
        <v>231</v>
      </c>
    </row>
    <row r="5" spans="1:6">
      <c r="A5" t="s">
        <v>584</v>
      </c>
      <c r="B5" s="9" t="s">
        <v>65</v>
      </c>
      <c r="C5" t="s">
        <v>816</v>
      </c>
    </row>
    <row r="6" spans="1:6">
      <c r="A6" t="s">
        <v>585</v>
      </c>
      <c r="B6" s="9" t="s">
        <v>540</v>
      </c>
      <c r="C6" t="s">
        <v>568</v>
      </c>
    </row>
    <row r="7" spans="1:6">
      <c r="A7" t="s">
        <v>586</v>
      </c>
      <c r="B7" t="s">
        <v>670</v>
      </c>
    </row>
    <row r="8" spans="1:6">
      <c r="A8" t="s">
        <v>587</v>
      </c>
      <c r="B8" t="s">
        <v>690</v>
      </c>
      <c r="C8" t="s">
        <v>817</v>
      </c>
    </row>
    <row r="9" spans="1:6">
      <c r="A9" t="s">
        <v>588</v>
      </c>
      <c r="B9" s="9" t="s">
        <v>891</v>
      </c>
    </row>
    <row r="10" spans="1:6">
      <c r="A10" t="s">
        <v>589</v>
      </c>
      <c r="B10" s="9" t="s">
        <v>917</v>
      </c>
      <c r="C10" t="s">
        <v>967</v>
      </c>
    </row>
    <row r="11" spans="1:6">
      <c r="A11" t="s">
        <v>590</v>
      </c>
      <c r="B11" t="s">
        <v>949</v>
      </c>
      <c r="C11" t="s">
        <v>967</v>
      </c>
    </row>
    <row r="12" spans="1:6">
      <c r="A12" t="s">
        <v>950</v>
      </c>
      <c r="B12" t="s">
        <v>929</v>
      </c>
      <c r="C12" t="s">
        <v>1107</v>
      </c>
    </row>
    <row r="13" spans="1:6">
      <c r="A13" t="s">
        <v>951</v>
      </c>
      <c r="B13" s="14" t="s">
        <v>1139</v>
      </c>
      <c r="C13" s="14" t="s">
        <v>1112</v>
      </c>
    </row>
    <row r="14" spans="1:6">
      <c r="A14" t="s">
        <v>952</v>
      </c>
      <c r="B14" s="18" t="s">
        <v>1297</v>
      </c>
    </row>
    <row r="15" spans="1:6">
      <c r="A15" t="s">
        <v>953</v>
      </c>
      <c r="B15" t="s">
        <v>1321</v>
      </c>
    </row>
    <row r="16" spans="1:6">
      <c r="A16" t="s">
        <v>954</v>
      </c>
      <c r="B16" s="14" t="s">
        <v>1893</v>
      </c>
      <c r="C16" s="14" t="s">
        <v>1892</v>
      </c>
    </row>
    <row r="17" spans="1:3">
      <c r="A17" t="s">
        <v>955</v>
      </c>
      <c r="B17" s="14" t="s">
        <v>1922</v>
      </c>
      <c r="C17" s="14" t="s">
        <v>1921</v>
      </c>
    </row>
    <row r="18" spans="1:3">
      <c r="A18" s="29" t="s">
        <v>2134</v>
      </c>
      <c r="B18" s="29" t="s">
        <v>2086</v>
      </c>
      <c r="C18" s="29" t="s">
        <v>2140</v>
      </c>
    </row>
    <row r="19" spans="1:3">
      <c r="A19" s="29" t="s">
        <v>2135</v>
      </c>
      <c r="B19" s="29" t="s">
        <v>2106</v>
      </c>
      <c r="C19" s="14"/>
    </row>
    <row r="20" spans="1:3">
      <c r="A20" s="29" t="s">
        <v>2136</v>
      </c>
      <c r="B20" s="29" t="s">
        <v>2122</v>
      </c>
      <c r="C20" s="29" t="s">
        <v>2139</v>
      </c>
    </row>
    <row r="21" spans="1:3">
      <c r="A21" s="29" t="s">
        <v>2137</v>
      </c>
      <c r="B21" s="14"/>
      <c r="C21" s="14"/>
    </row>
  </sheetData>
  <phoneticPr fontId="1"/>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5DB7-D97E-42CD-9E70-002B51697A8A}">
  <sheetPr>
    <tabColor rgb="FFFFFF00"/>
  </sheetPr>
  <dimension ref="A1:I31"/>
  <sheetViews>
    <sheetView tabSelected="1" topLeftCell="A22" workbookViewId="0">
      <selection activeCell="A30" sqref="A30"/>
    </sheetView>
  </sheetViews>
  <sheetFormatPr defaultColWidth="8.875" defaultRowHeight="18.75"/>
  <cols>
    <col min="1" max="1" width="9.125" customWidth="1"/>
    <col min="3" max="3" width="12.625" customWidth="1"/>
    <col min="5" max="5" width="15" bestFit="1" customWidth="1"/>
    <col min="7" max="7" width="11" customWidth="1"/>
  </cols>
  <sheetData>
    <row r="1" spans="1:9">
      <c r="A1" t="s">
        <v>401</v>
      </c>
      <c r="B1" t="s">
        <v>75</v>
      </c>
      <c r="C1" t="s">
        <v>155</v>
      </c>
      <c r="D1" t="s">
        <v>146</v>
      </c>
      <c r="E1" t="s">
        <v>76</v>
      </c>
      <c r="F1" t="s">
        <v>479</v>
      </c>
      <c r="G1" t="s">
        <v>445</v>
      </c>
      <c r="H1" t="s">
        <v>475</v>
      </c>
      <c r="I1" t="s">
        <v>476</v>
      </c>
    </row>
    <row r="2" spans="1:9">
      <c r="A2" t="s">
        <v>384</v>
      </c>
      <c r="B2" t="s">
        <v>18</v>
      </c>
      <c r="C2" t="s">
        <v>148</v>
      </c>
      <c r="D2" t="s">
        <v>151</v>
      </c>
      <c r="E2" t="s">
        <v>20</v>
      </c>
      <c r="F2" t="s">
        <v>20</v>
      </c>
      <c r="H2">
        <f>+テーブル13[[#This Row],[X座標]]</f>
        <v>682</v>
      </c>
      <c r="I2">
        <f>+テーブル13[[#This Row],[Y座標]]</f>
        <v>390.5</v>
      </c>
    </row>
    <row r="3" spans="1:9">
      <c r="A3" t="s">
        <v>386</v>
      </c>
      <c r="B3" t="s">
        <v>18</v>
      </c>
      <c r="C3" t="s">
        <v>148</v>
      </c>
      <c r="D3" t="s">
        <v>151</v>
      </c>
      <c r="E3" t="s">
        <v>404</v>
      </c>
      <c r="F3" t="s">
        <v>404</v>
      </c>
      <c r="H3" s="29">
        <f>+テーブル13[[#This Row],[X座標]]</f>
        <v>679.5</v>
      </c>
      <c r="I3" s="29">
        <f>+テーブル13[[#This Row],[Y座標]]</f>
        <v>380</v>
      </c>
    </row>
    <row r="4" spans="1:9">
      <c r="A4" t="s">
        <v>387</v>
      </c>
      <c r="B4" t="s">
        <v>18</v>
      </c>
      <c r="C4" t="s">
        <v>227</v>
      </c>
      <c r="D4" t="s">
        <v>385</v>
      </c>
      <c r="E4" t="s">
        <v>385</v>
      </c>
      <c r="F4" t="s">
        <v>227</v>
      </c>
      <c r="H4" s="29">
        <f>+テーブル13[[#This Row],[X座標]]</f>
        <v>632.49999999999989</v>
      </c>
      <c r="I4" s="29">
        <f>+テーブル13[[#This Row],[Y座標]]</f>
        <v>379.5</v>
      </c>
    </row>
    <row r="5" spans="1:9">
      <c r="A5" t="s">
        <v>388</v>
      </c>
      <c r="B5" t="s">
        <v>18</v>
      </c>
      <c r="C5" t="s">
        <v>156</v>
      </c>
      <c r="D5" t="s">
        <v>385</v>
      </c>
      <c r="E5" t="s">
        <v>78</v>
      </c>
      <c r="F5" t="s">
        <v>78</v>
      </c>
      <c r="H5" s="29">
        <f>+テーブル13[[#This Row],[X座標]]</f>
        <v>647.5</v>
      </c>
      <c r="I5" s="29">
        <f>+テーブル13[[#This Row],[Y座標]]</f>
        <v>425.5</v>
      </c>
    </row>
    <row r="6" spans="1:9">
      <c r="A6" t="s">
        <v>402</v>
      </c>
      <c r="B6" t="s">
        <v>18</v>
      </c>
      <c r="C6" t="s">
        <v>385</v>
      </c>
      <c r="D6" t="s">
        <v>385</v>
      </c>
      <c r="E6" t="s">
        <v>363</v>
      </c>
      <c r="F6" t="s">
        <v>71</v>
      </c>
      <c r="H6" s="29">
        <f>+テーブル13[[#This Row],[X座標]]</f>
        <v>694.5</v>
      </c>
      <c r="I6" s="29">
        <f>+テーブル13[[#This Row],[Y座標]]</f>
        <v>410.49999999999994</v>
      </c>
    </row>
    <row r="7" spans="1:9">
      <c r="A7" t="s">
        <v>403</v>
      </c>
      <c r="B7" t="s">
        <v>18</v>
      </c>
      <c r="C7" t="s">
        <v>406</v>
      </c>
      <c r="D7" t="s">
        <v>385</v>
      </c>
      <c r="E7" t="s">
        <v>407</v>
      </c>
      <c r="F7" t="s">
        <v>407</v>
      </c>
      <c r="H7" s="29">
        <f>+テーブル13[[#This Row],[X座標]]</f>
        <v>544.99999999999989</v>
      </c>
      <c r="I7" s="29">
        <f>+テーブル13[[#This Row],[Y座標]]</f>
        <v>342.5</v>
      </c>
    </row>
    <row r="8" spans="1:9">
      <c r="A8" t="s">
        <v>497</v>
      </c>
      <c r="B8" t="s">
        <v>498</v>
      </c>
      <c r="C8" t="s">
        <v>498</v>
      </c>
      <c r="D8" t="s">
        <v>498</v>
      </c>
      <c r="E8" t="s">
        <v>498</v>
      </c>
      <c r="F8" t="s">
        <v>498</v>
      </c>
      <c r="H8" s="29">
        <f>+テーブル13[[#This Row],[X座標]]</f>
        <v>71.000000000000085</v>
      </c>
      <c r="I8" s="29">
        <f>+テーブル13[[#This Row],[Y座標]]</f>
        <v>427.99999999999994</v>
      </c>
    </row>
    <row r="9" spans="1:9">
      <c r="A9" t="s">
        <v>512</v>
      </c>
      <c r="B9" t="s">
        <v>18</v>
      </c>
      <c r="C9" t="s">
        <v>156</v>
      </c>
      <c r="D9" t="s">
        <v>385</v>
      </c>
      <c r="E9" t="s">
        <v>513</v>
      </c>
      <c r="F9" t="s">
        <v>513</v>
      </c>
      <c r="H9" s="29">
        <f>+テーブル13[[#This Row],[X座標]]</f>
        <v>647.5</v>
      </c>
      <c r="I9" s="29">
        <f>+テーブル13[[#This Row],[Y座標]]</f>
        <v>406.99999999999994</v>
      </c>
    </row>
    <row r="10" spans="1:9">
      <c r="A10" t="s">
        <v>729</v>
      </c>
      <c r="B10" t="s">
        <v>18</v>
      </c>
      <c r="C10" t="s">
        <v>731</v>
      </c>
      <c r="D10" t="s">
        <v>385</v>
      </c>
      <c r="E10" t="s">
        <v>385</v>
      </c>
      <c r="F10" t="s">
        <v>731</v>
      </c>
      <c r="H10" s="29">
        <f>+テーブル13[[#This Row],[X座標]]</f>
        <v>487.00000000000011</v>
      </c>
      <c r="I10" s="29">
        <f>+テーブル13[[#This Row],[Y座標]]</f>
        <v>319.49999999999994</v>
      </c>
    </row>
    <row r="11" spans="1:9">
      <c r="A11" t="s">
        <v>730</v>
      </c>
      <c r="B11" t="s">
        <v>18</v>
      </c>
      <c r="C11" t="s">
        <v>732</v>
      </c>
      <c r="D11" t="s">
        <v>385</v>
      </c>
      <c r="E11" t="s">
        <v>49</v>
      </c>
      <c r="F11" t="s">
        <v>49</v>
      </c>
      <c r="H11" s="29">
        <f>+テーブル13[[#This Row],[X座標]]</f>
        <v>425</v>
      </c>
      <c r="I11" s="29">
        <f>+テーブル13[[#This Row],[Y座標]]</f>
        <v>280.99999999999994</v>
      </c>
    </row>
    <row r="12" spans="1:9">
      <c r="A12" t="s">
        <v>781</v>
      </c>
      <c r="B12" t="s">
        <v>18</v>
      </c>
      <c r="C12" t="s">
        <v>406</v>
      </c>
      <c r="D12" t="s">
        <v>385</v>
      </c>
      <c r="E12" t="s">
        <v>783</v>
      </c>
      <c r="F12" t="s">
        <v>783</v>
      </c>
      <c r="H12" s="29">
        <f>+テーブル13[[#This Row],[X座標]]</f>
        <v>566.50000000000011</v>
      </c>
      <c r="I12" s="29">
        <f>+テーブル13[[#This Row],[Y座標]]</f>
        <v>328.99999999999994</v>
      </c>
    </row>
    <row r="13" spans="1:9">
      <c r="A13" t="s">
        <v>782</v>
      </c>
      <c r="B13" t="s">
        <v>18</v>
      </c>
      <c r="C13" t="s">
        <v>732</v>
      </c>
      <c r="D13" t="s">
        <v>385</v>
      </c>
      <c r="E13" t="s">
        <v>811</v>
      </c>
      <c r="F13" t="s">
        <v>811</v>
      </c>
      <c r="H13" s="29">
        <f>+テーブル13[[#This Row],[X座標]]</f>
        <v>406.49999999999994</v>
      </c>
      <c r="I13" s="29">
        <f>+テーブル13[[#This Row],[Y座標]]</f>
        <v>263.5</v>
      </c>
    </row>
    <row r="14" spans="1:9">
      <c r="A14" t="s">
        <v>966</v>
      </c>
      <c r="B14" t="s">
        <v>18</v>
      </c>
      <c r="C14" t="s">
        <v>968</v>
      </c>
      <c r="D14" t="s">
        <v>385</v>
      </c>
      <c r="E14" t="s">
        <v>917</v>
      </c>
      <c r="F14" t="s">
        <v>917</v>
      </c>
      <c r="H14" s="29">
        <f>+テーブル13[[#This Row],[X座標]]</f>
        <v>377.50000000000006</v>
      </c>
      <c r="I14" s="29">
        <f>+テーブル13[[#This Row],[Y座標]]</f>
        <v>186.99999999999997</v>
      </c>
    </row>
    <row r="15" spans="1:9">
      <c r="A15" t="s">
        <v>1064</v>
      </c>
      <c r="B15" t="s">
        <v>18</v>
      </c>
      <c r="C15" t="s">
        <v>731</v>
      </c>
      <c r="D15" t="s">
        <v>385</v>
      </c>
      <c r="E15" t="s">
        <v>1174</v>
      </c>
      <c r="F15" t="s">
        <v>1174</v>
      </c>
      <c r="H15" s="29">
        <f>+テーブル13[[#This Row],[X座標]]</f>
        <v>499</v>
      </c>
      <c r="I15" s="29">
        <f>+テーブル13[[#This Row],[Y座標]]</f>
        <v>301.49999999999994</v>
      </c>
    </row>
    <row r="16" spans="1:9">
      <c r="A16" t="s">
        <v>1065</v>
      </c>
      <c r="B16" t="s">
        <v>18</v>
      </c>
      <c r="C16" t="s">
        <v>968</v>
      </c>
      <c r="D16" t="s">
        <v>385</v>
      </c>
      <c r="E16" t="s">
        <v>1188</v>
      </c>
      <c r="F16" t="s">
        <v>1188</v>
      </c>
      <c r="H16" s="29">
        <f>+テーブル13[[#This Row],[X座標]]</f>
        <v>451.50000000000006</v>
      </c>
      <c r="I16" s="29">
        <f>+テーブル13[[#This Row],[Y座標]]</f>
        <v>176.49999999999997</v>
      </c>
    </row>
    <row r="17" spans="1:9">
      <c r="A17" t="s">
        <v>1272</v>
      </c>
      <c r="B17" t="s">
        <v>18</v>
      </c>
      <c r="C17" t="s">
        <v>385</v>
      </c>
      <c r="D17" t="s">
        <v>385</v>
      </c>
      <c r="E17" t="s">
        <v>1277</v>
      </c>
      <c r="F17" t="s">
        <v>1277</v>
      </c>
      <c r="H17" s="29">
        <f>+テーブル13[[#This Row],[X座標]]</f>
        <v>563.00000000000011</v>
      </c>
      <c r="I17" s="29">
        <f>+テーブル13[[#This Row],[Y座標]]</f>
        <v>383.49999999999994</v>
      </c>
    </row>
    <row r="18" spans="1:9">
      <c r="A18" t="s">
        <v>1273</v>
      </c>
      <c r="B18" t="s">
        <v>18</v>
      </c>
      <c r="C18" t="s">
        <v>1345</v>
      </c>
      <c r="D18" t="s">
        <v>385</v>
      </c>
      <c r="E18" t="s">
        <v>94</v>
      </c>
      <c r="F18" t="s">
        <v>94</v>
      </c>
      <c r="H18" s="29">
        <f>+テーブル13[[#This Row],[X座標]]</f>
        <v>334.99999999999994</v>
      </c>
      <c r="I18" s="29">
        <f>+テーブル13[[#This Row],[Y座標]]</f>
        <v>351.99999999999994</v>
      </c>
    </row>
    <row r="19" spans="1:9">
      <c r="A19" t="s">
        <v>1274</v>
      </c>
      <c r="B19" t="s">
        <v>18</v>
      </c>
      <c r="C19" t="s">
        <v>1345</v>
      </c>
      <c r="D19" t="s">
        <v>385</v>
      </c>
      <c r="E19" t="s">
        <v>1346</v>
      </c>
      <c r="F19" t="s">
        <v>1346</v>
      </c>
      <c r="H19" s="29">
        <f>+テーブル13[[#This Row],[X座標]]</f>
        <v>325.50000000000006</v>
      </c>
      <c r="I19" s="29">
        <f>+テーブル13[[#This Row],[Y座標]]</f>
        <v>355.5</v>
      </c>
    </row>
    <row r="20" spans="1:9">
      <c r="A20" t="s">
        <v>1275</v>
      </c>
      <c r="B20" t="s">
        <v>18</v>
      </c>
      <c r="C20" t="s">
        <v>1345</v>
      </c>
      <c r="D20" t="s">
        <v>385</v>
      </c>
      <c r="E20" t="s">
        <v>1333</v>
      </c>
      <c r="F20" t="s">
        <v>1333</v>
      </c>
      <c r="H20" s="29">
        <f>+テーブル13[[#This Row],[X座標]]</f>
        <v>344.5</v>
      </c>
      <c r="I20" s="29">
        <f>+テーブル13[[#This Row],[Y座標]]</f>
        <v>349.49999999999994</v>
      </c>
    </row>
    <row r="21" spans="1:9">
      <c r="A21" t="s">
        <v>1276</v>
      </c>
      <c r="B21" t="s">
        <v>18</v>
      </c>
      <c r="C21" t="s">
        <v>1345</v>
      </c>
      <c r="D21" t="s">
        <v>385</v>
      </c>
      <c r="E21" t="s">
        <v>1516</v>
      </c>
      <c r="F21" t="s">
        <v>1516</v>
      </c>
      <c r="H21" s="29">
        <f>+テーブル13[[#This Row],[X座標]]</f>
        <v>355.00000000000006</v>
      </c>
      <c r="I21" s="29">
        <f>+テーブル13[[#This Row],[Y座標]]</f>
        <v>288.99999999999994</v>
      </c>
    </row>
    <row r="22" spans="1:9">
      <c r="A22" t="s">
        <v>1809</v>
      </c>
      <c r="B22" t="s">
        <v>18</v>
      </c>
      <c r="C22" t="s">
        <v>1814</v>
      </c>
      <c r="D22" t="s">
        <v>385</v>
      </c>
      <c r="E22" t="s">
        <v>1768</v>
      </c>
      <c r="F22" t="s">
        <v>1768</v>
      </c>
      <c r="H22" s="29">
        <f>+テーブル13[[#This Row],[X座標]]</f>
        <v>159.99999999999997</v>
      </c>
      <c r="I22" s="29">
        <f>+テーブル13[[#This Row],[Y座標]]</f>
        <v>102.99999999999999</v>
      </c>
    </row>
    <row r="23" spans="1:9">
      <c r="A23" t="s">
        <v>1810</v>
      </c>
      <c r="B23" t="s">
        <v>18</v>
      </c>
      <c r="C23" t="s">
        <v>385</v>
      </c>
      <c r="D23" t="s">
        <v>385</v>
      </c>
      <c r="E23" t="s">
        <v>1846</v>
      </c>
      <c r="F23" t="s">
        <v>1846</v>
      </c>
      <c r="H23" s="29">
        <f>+テーブル13[[#This Row],[X座標]]</f>
        <v>501</v>
      </c>
      <c r="I23" s="29">
        <f>+テーブル13[[#This Row],[Y座標]]</f>
        <v>33.999999999999986</v>
      </c>
    </row>
    <row r="24" spans="1:9">
      <c r="A24" t="s">
        <v>1811</v>
      </c>
      <c r="B24" s="24" t="s">
        <v>2008</v>
      </c>
      <c r="C24" s="24" t="s">
        <v>385</v>
      </c>
      <c r="D24" s="24" t="s">
        <v>385</v>
      </c>
      <c r="E24" t="s">
        <v>2009</v>
      </c>
      <c r="F24" s="24" t="s">
        <v>2009</v>
      </c>
      <c r="H24" s="29">
        <f>+テーブル13[[#This Row],[X座標]]</f>
        <v>118.99999999999994</v>
      </c>
      <c r="I24" s="29">
        <f>+テーブル13[[#This Row],[Y座標]]</f>
        <v>63.999999999999972</v>
      </c>
    </row>
    <row r="25" spans="1:9">
      <c r="A25" t="s">
        <v>1812</v>
      </c>
      <c r="B25" s="25" t="s">
        <v>2011</v>
      </c>
      <c r="C25" s="26" t="s">
        <v>2012</v>
      </c>
      <c r="D25" s="26" t="s">
        <v>385</v>
      </c>
      <c r="E25" s="26" t="s">
        <v>2012</v>
      </c>
      <c r="F25" s="26" t="s">
        <v>2012</v>
      </c>
      <c r="H25" s="29">
        <f>+テーブル13[[#This Row],[X座標]]</f>
        <v>0</v>
      </c>
      <c r="I25" s="29">
        <f>+テーブル13[[#This Row],[Y座標]]</f>
        <v>0</v>
      </c>
    </row>
    <row r="26" spans="1:9">
      <c r="A26" t="s">
        <v>1813</v>
      </c>
      <c r="B26" s="27" t="s">
        <v>1753</v>
      </c>
      <c r="C26" s="27" t="s">
        <v>385</v>
      </c>
      <c r="D26" s="27" t="s">
        <v>385</v>
      </c>
      <c r="E26" s="28" t="s">
        <v>2029</v>
      </c>
      <c r="F26" s="29" t="s">
        <v>2029</v>
      </c>
      <c r="H26" s="29">
        <f>+テーブル13[[#This Row],[X座標]]</f>
        <v>84.500000000000057</v>
      </c>
      <c r="I26" s="29">
        <f>+テーブル13[[#This Row],[Y座標]]</f>
        <v>-22.000000000000064</v>
      </c>
    </row>
    <row r="27" spans="1:9">
      <c r="A27" s="29" t="s">
        <v>2030</v>
      </c>
      <c r="B27" s="29" t="s">
        <v>1753</v>
      </c>
      <c r="C27" s="29" t="s">
        <v>385</v>
      </c>
      <c r="D27" s="29" t="s">
        <v>385</v>
      </c>
      <c r="E27" s="29" t="s">
        <v>2046</v>
      </c>
      <c r="F27" s="29" t="s">
        <v>2046</v>
      </c>
      <c r="G27" s="29"/>
      <c r="H27" s="29">
        <f>+テーブル13[[#This Row],[X座標]]</f>
        <v>130.00000000000006</v>
      </c>
      <c r="I27" s="29">
        <f>+テーブル13[[#This Row],[Y座標]]</f>
        <v>-8.4999999999999964</v>
      </c>
    </row>
    <row r="28" spans="1:9">
      <c r="A28" s="29" t="s">
        <v>2031</v>
      </c>
      <c r="B28" s="29" t="s">
        <v>1753</v>
      </c>
      <c r="C28" s="29" t="s">
        <v>2155</v>
      </c>
      <c r="D28" s="29" t="s">
        <v>385</v>
      </c>
      <c r="E28" s="29" t="s">
        <v>2100</v>
      </c>
      <c r="F28" s="29" t="s">
        <v>2100</v>
      </c>
      <c r="G28" s="29"/>
      <c r="H28" s="29">
        <f>+テーブル13[[#This Row],[X座標]]</f>
        <v>181.49999999999994</v>
      </c>
      <c r="I28" s="29">
        <f>+テーブル13[[#This Row],[Y座標]]</f>
        <v>1.9999999999999574</v>
      </c>
    </row>
    <row r="29" spans="1:9">
      <c r="A29" s="29" t="s">
        <v>2032</v>
      </c>
      <c r="B29" s="29" t="s">
        <v>1753</v>
      </c>
      <c r="C29" s="29" t="s">
        <v>2202</v>
      </c>
      <c r="D29" s="29" t="s">
        <v>385</v>
      </c>
      <c r="E29" s="29" t="s">
        <v>385</v>
      </c>
      <c r="F29" s="29" t="s">
        <v>2202</v>
      </c>
      <c r="G29" s="29"/>
      <c r="H29" s="29">
        <f>+テーブル13[[#This Row],[X座標]]</f>
        <v>196.5</v>
      </c>
      <c r="I29" s="29">
        <f>+テーブル13[[#This Row],[Y座標]]</f>
        <v>-32.000000000000028</v>
      </c>
    </row>
    <row r="30" spans="1:9">
      <c r="A30" s="29" t="s">
        <v>2033</v>
      </c>
      <c r="B30" s="29" t="s">
        <v>1753</v>
      </c>
      <c r="C30" s="29" t="s">
        <v>385</v>
      </c>
      <c r="D30" s="29" t="s">
        <v>385</v>
      </c>
      <c r="E30" s="29" t="s">
        <v>2205</v>
      </c>
      <c r="F30" s="29" t="s">
        <v>2206</v>
      </c>
      <c r="G30" s="29"/>
      <c r="H30" s="29">
        <f>+テーブル13[[#This Row],[X座標]]</f>
        <v>684.50000000000011</v>
      </c>
      <c r="I30" s="29">
        <f>+テーブル13[[#This Row],[Y座標]]</f>
        <v>12.5</v>
      </c>
    </row>
    <row r="31" spans="1:9">
      <c r="A31" s="29" t="s">
        <v>2034</v>
      </c>
      <c r="B31" s="29"/>
      <c r="C31" s="29"/>
      <c r="D31" s="29"/>
      <c r="E31" s="29"/>
      <c r="F31" s="29"/>
      <c r="G31" s="29"/>
      <c r="H31" s="29"/>
      <c r="I31" s="29"/>
    </row>
  </sheetData>
  <phoneticPr fontId="1"/>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DCAC-8E3C-5A40-9679-7F56F71748E1}">
  <sheetPr>
    <tabColor rgb="FFFFFF00"/>
  </sheetPr>
  <dimension ref="A1:K121"/>
  <sheetViews>
    <sheetView topLeftCell="B110" workbookViewId="0">
      <selection activeCell="C116" sqref="C116"/>
    </sheetView>
  </sheetViews>
  <sheetFormatPr defaultColWidth="8.875" defaultRowHeight="18.75"/>
  <cols>
    <col min="2" max="2" width="25.5" bestFit="1" customWidth="1"/>
    <col min="3" max="3" width="11" customWidth="1"/>
    <col min="4" max="4" width="20.625" style="6" bestFit="1" customWidth="1"/>
    <col min="6" max="6" width="11" customWidth="1"/>
    <col min="7" max="8" width="10.875" customWidth="1"/>
    <col min="9" max="9" width="10.875" style="29" customWidth="1"/>
    <col min="10" max="10" width="16.375" customWidth="1"/>
  </cols>
  <sheetData>
    <row r="1" spans="1:11">
      <c r="A1" t="s">
        <v>417</v>
      </c>
      <c r="B1" t="s">
        <v>166</v>
      </c>
      <c r="C1" t="s">
        <v>420</v>
      </c>
      <c r="D1" s="6" t="s">
        <v>165</v>
      </c>
      <c r="E1" t="s">
        <v>169</v>
      </c>
      <c r="F1" t="s">
        <v>421</v>
      </c>
      <c r="G1" t="s">
        <v>422</v>
      </c>
      <c r="H1" t="s">
        <v>423</v>
      </c>
      <c r="I1" s="29" t="s">
        <v>2180</v>
      </c>
      <c r="J1" t="s">
        <v>424</v>
      </c>
      <c r="K1" t="s">
        <v>2179</v>
      </c>
    </row>
    <row r="2" spans="1:11">
      <c r="A2" t="s">
        <v>419</v>
      </c>
      <c r="B2" t="s">
        <v>79</v>
      </c>
      <c r="C2" t="s">
        <v>288</v>
      </c>
      <c r="D2" s="6" t="str">
        <f>VLOOKUP(C2,キャラマスタ[],2,FALSE)</f>
        <v>モンキー・D・ルフィ</v>
      </c>
      <c r="E2" t="s">
        <v>430</v>
      </c>
      <c r="F2" t="s">
        <v>399</v>
      </c>
      <c r="G2">
        <v>1</v>
      </c>
      <c r="H2">
        <v>1</v>
      </c>
      <c r="I2" s="29">
        <v>1</v>
      </c>
      <c r="J2">
        <f>+SUMIF(技ログ!C:C,A2,技ログ!I:I)</f>
        <v>3</v>
      </c>
      <c r="K2">
        <f>+COUNTIF(技ログ!C:C,技マスタ[[#This Row],[技ID]])</f>
        <v>8</v>
      </c>
    </row>
    <row r="3" spans="1:11">
      <c r="A3" t="s">
        <v>428</v>
      </c>
      <c r="B3" t="s">
        <v>85</v>
      </c>
      <c r="C3" t="s">
        <v>288</v>
      </c>
      <c r="D3" s="6" t="str">
        <f>VLOOKUP(C3,キャラマスタ[],2,FALSE)</f>
        <v>モンキー・D・ルフィ</v>
      </c>
      <c r="E3" t="s">
        <v>431</v>
      </c>
      <c r="F3" t="s">
        <v>399</v>
      </c>
      <c r="G3">
        <v>1</v>
      </c>
      <c r="H3">
        <v>4</v>
      </c>
      <c r="I3" s="29">
        <v>1.3</v>
      </c>
      <c r="J3">
        <f>+SUMIF(技ログ!C:C,A3,技ログ!I:I)</f>
        <v>0</v>
      </c>
      <c r="K3">
        <f>+COUNTIF(技ログ!C:C,技マスタ[[#This Row],[技ID]])</f>
        <v>3</v>
      </c>
    </row>
    <row r="4" spans="1:11">
      <c r="A4" t="s">
        <v>429</v>
      </c>
      <c r="B4" t="s">
        <v>93</v>
      </c>
      <c r="C4" t="s">
        <v>288</v>
      </c>
      <c r="D4" s="6" t="str">
        <f>VLOOKUP(C4,キャラマスタ[],2,FALSE)</f>
        <v>モンキー・D・ルフィ</v>
      </c>
      <c r="E4" t="s">
        <v>430</v>
      </c>
      <c r="F4" t="s">
        <v>399</v>
      </c>
      <c r="G4">
        <v>1</v>
      </c>
      <c r="H4">
        <v>6</v>
      </c>
      <c r="I4" s="29">
        <v>1.4</v>
      </c>
      <c r="J4">
        <f>+SUMIF(技ログ!C:C,A4,技ログ!I:I)</f>
        <v>0</v>
      </c>
      <c r="K4">
        <f>+COUNTIF(技ログ!C:C,技マスタ[[#This Row],[技ID]])</f>
        <v>3</v>
      </c>
    </row>
    <row r="5" spans="1:11">
      <c r="A5" t="s">
        <v>610</v>
      </c>
      <c r="B5" t="s">
        <v>609</v>
      </c>
      <c r="C5" t="s">
        <v>570</v>
      </c>
      <c r="D5" s="6" t="str">
        <f>VLOOKUP(C5,キャラマスタ[],2,FALSE)</f>
        <v>バギー</v>
      </c>
      <c r="E5" t="s">
        <v>611</v>
      </c>
      <c r="F5" t="s">
        <v>612</v>
      </c>
      <c r="G5">
        <v>2</v>
      </c>
      <c r="H5">
        <v>10</v>
      </c>
      <c r="I5" s="29">
        <v>1.8</v>
      </c>
      <c r="J5">
        <f>+SUMIF(技ログ!C:C,A5,技ログ!I:I)</f>
        <v>0</v>
      </c>
      <c r="K5">
        <f>+COUNTIF(技ログ!C:C,技マスタ[[#This Row],[技ID]])</f>
        <v>3</v>
      </c>
    </row>
    <row r="6" spans="1:11">
      <c r="A6" t="s">
        <v>626</v>
      </c>
      <c r="B6" t="s">
        <v>613</v>
      </c>
      <c r="C6" t="s">
        <v>570</v>
      </c>
      <c r="D6" s="6" t="str">
        <f>VLOOKUP(C6,キャラマスタ[],2,FALSE)</f>
        <v>バギー</v>
      </c>
      <c r="E6" t="s">
        <v>616</v>
      </c>
      <c r="F6" t="s">
        <v>612</v>
      </c>
      <c r="G6">
        <v>2</v>
      </c>
      <c r="H6">
        <v>11</v>
      </c>
      <c r="I6" s="29">
        <v>1.8</v>
      </c>
      <c r="J6">
        <f>+SUMIF(技ログ!C:C,A6,技ログ!I:I)</f>
        <v>0</v>
      </c>
      <c r="K6">
        <f>+COUNTIF(技ログ!C:C,技マスタ[[#This Row],[技ID]])</f>
        <v>1</v>
      </c>
    </row>
    <row r="7" spans="1:11">
      <c r="A7" t="s">
        <v>627</v>
      </c>
      <c r="B7" t="s">
        <v>614</v>
      </c>
      <c r="C7" t="s">
        <v>288</v>
      </c>
      <c r="D7" s="6" t="str">
        <f>VLOOKUP(C7,キャラマスタ[],2,FALSE)</f>
        <v>モンキー・D・ルフィ</v>
      </c>
      <c r="E7" t="s">
        <v>430</v>
      </c>
      <c r="F7" t="s">
        <v>399</v>
      </c>
      <c r="G7">
        <v>2</v>
      </c>
      <c r="H7">
        <v>13</v>
      </c>
      <c r="I7" s="29">
        <v>1.8</v>
      </c>
      <c r="J7">
        <f>+SUMIF(技ログ!C:C,A7,技ログ!I:I)</f>
        <v>1</v>
      </c>
      <c r="K7">
        <f>+COUNTIF(技ログ!C:C,技マスタ[[#This Row],[技ID]])</f>
        <v>1</v>
      </c>
    </row>
    <row r="8" spans="1:11">
      <c r="A8" t="s">
        <v>628</v>
      </c>
      <c r="B8" t="s">
        <v>615</v>
      </c>
      <c r="C8" t="s">
        <v>288</v>
      </c>
      <c r="D8" s="6" t="str">
        <f>VLOOKUP(C8,キャラマスタ[],2,FALSE)</f>
        <v>モンキー・D・ルフィ</v>
      </c>
      <c r="E8" t="s">
        <v>616</v>
      </c>
      <c r="F8" t="s">
        <v>399</v>
      </c>
      <c r="G8">
        <v>2</v>
      </c>
      <c r="H8">
        <v>15</v>
      </c>
      <c r="I8" s="29">
        <v>1.8</v>
      </c>
      <c r="J8">
        <f>+SUMIF(技ログ!C:C,A8,技ログ!I:I)</f>
        <v>0</v>
      </c>
      <c r="K8">
        <f>+COUNTIF(技ログ!C:C,技マスタ[[#This Row],[技ID]])</f>
        <v>3</v>
      </c>
    </row>
    <row r="9" spans="1:11">
      <c r="A9" t="s">
        <v>629</v>
      </c>
      <c r="B9" t="s">
        <v>617</v>
      </c>
      <c r="C9" t="s">
        <v>580</v>
      </c>
      <c r="D9" s="6" t="str">
        <f>VLOOKUP(C9,キャラマスタ[],2,FALSE)</f>
        <v>カバジ</v>
      </c>
      <c r="E9" t="s">
        <v>616</v>
      </c>
      <c r="G9">
        <v>2</v>
      </c>
      <c r="H9">
        <v>16</v>
      </c>
      <c r="I9" s="29">
        <v>1.8</v>
      </c>
      <c r="J9">
        <f>+SUMIF(技ログ!C:C,A9,技ログ!I:I)</f>
        <v>0</v>
      </c>
      <c r="K9">
        <f>+COUNTIF(技ログ!C:C,技マスタ[[#This Row],[技ID]])</f>
        <v>1</v>
      </c>
    </row>
    <row r="10" spans="1:11">
      <c r="A10" t="s">
        <v>630</v>
      </c>
      <c r="B10" t="s">
        <v>618</v>
      </c>
      <c r="C10" t="s">
        <v>580</v>
      </c>
      <c r="D10" s="6" t="str">
        <f>VLOOKUP(C10,キャラマスタ[],2,FALSE)</f>
        <v>カバジ</v>
      </c>
      <c r="E10" t="s">
        <v>616</v>
      </c>
      <c r="G10">
        <v>2</v>
      </c>
      <c r="H10">
        <v>16</v>
      </c>
      <c r="I10" s="29">
        <v>1.8</v>
      </c>
      <c r="J10">
        <f>+SUMIF(技ログ!C:C,A10,技ログ!I:I)</f>
        <v>0</v>
      </c>
      <c r="K10">
        <f>+COUNTIF(技ログ!C:C,技マスタ[[#This Row],[技ID]])</f>
        <v>1</v>
      </c>
    </row>
    <row r="11" spans="1:11">
      <c r="A11" t="s">
        <v>631</v>
      </c>
      <c r="B11" t="s">
        <v>619</v>
      </c>
      <c r="C11" t="s">
        <v>580</v>
      </c>
      <c r="D11" s="6" t="str">
        <f>VLOOKUP(C11,キャラマスタ[],2,FALSE)</f>
        <v>カバジ</v>
      </c>
      <c r="E11" t="s">
        <v>616</v>
      </c>
      <c r="G11">
        <v>2</v>
      </c>
      <c r="H11">
        <v>17</v>
      </c>
      <c r="I11" s="29">
        <v>1.8</v>
      </c>
      <c r="J11">
        <f>+SUMIF(技ログ!C:C,A11,技ログ!I:I)</f>
        <v>0</v>
      </c>
      <c r="K11">
        <f>+COUNTIF(技ログ!C:C,技マスタ[[#This Row],[技ID]])</f>
        <v>1</v>
      </c>
    </row>
    <row r="12" spans="1:11">
      <c r="A12" t="s">
        <v>632</v>
      </c>
      <c r="B12" t="s">
        <v>620</v>
      </c>
      <c r="C12" t="s">
        <v>580</v>
      </c>
      <c r="D12" s="6" t="str">
        <f>VLOOKUP(C12,キャラマスタ[],2,FALSE)</f>
        <v>カバジ</v>
      </c>
      <c r="E12" t="s">
        <v>616</v>
      </c>
      <c r="G12">
        <v>2</v>
      </c>
      <c r="H12">
        <v>17</v>
      </c>
      <c r="I12" s="29">
        <v>1.8</v>
      </c>
      <c r="J12">
        <f>+SUMIF(技ログ!C:C,A12,技ログ!I:I)</f>
        <v>0</v>
      </c>
      <c r="K12">
        <f>+COUNTIF(技ログ!C:C,技マスタ[[#This Row],[技ID]])</f>
        <v>1</v>
      </c>
    </row>
    <row r="13" spans="1:11">
      <c r="A13" t="s">
        <v>633</v>
      </c>
      <c r="B13" t="s">
        <v>621</v>
      </c>
      <c r="C13" t="s">
        <v>580</v>
      </c>
      <c r="D13" s="6" t="str">
        <f>VLOOKUP(C13,キャラマスタ[],2,FALSE)</f>
        <v>カバジ</v>
      </c>
      <c r="E13" t="s">
        <v>616</v>
      </c>
      <c r="G13">
        <v>2</v>
      </c>
      <c r="H13">
        <v>17</v>
      </c>
      <c r="I13" s="29">
        <v>1.8</v>
      </c>
      <c r="J13">
        <f>+SUMIF(技ログ!C:C,A13,技ログ!I:I)</f>
        <v>0</v>
      </c>
      <c r="K13">
        <f>+COUNTIF(技ログ!C:C,技マスタ[[#This Row],[技ID]])</f>
        <v>1</v>
      </c>
    </row>
    <row r="14" spans="1:11">
      <c r="A14" t="s">
        <v>634</v>
      </c>
      <c r="B14" t="s">
        <v>622</v>
      </c>
      <c r="C14" t="s">
        <v>580</v>
      </c>
      <c r="D14" s="6" t="str">
        <f>VLOOKUP(C14,キャラマスタ[],2,FALSE)</f>
        <v>カバジ</v>
      </c>
      <c r="E14" t="s">
        <v>623</v>
      </c>
      <c r="G14">
        <v>2</v>
      </c>
      <c r="H14">
        <v>17</v>
      </c>
      <c r="I14" s="29">
        <v>1.8</v>
      </c>
      <c r="J14">
        <f>+SUMIF(技ログ!C:C,A14,技ログ!I:I)</f>
        <v>0</v>
      </c>
      <c r="K14">
        <f>+COUNTIF(技ログ!C:C,技マスタ[[#This Row],[技ID]])</f>
        <v>1</v>
      </c>
    </row>
    <row r="15" spans="1:11">
      <c r="A15" t="s">
        <v>635</v>
      </c>
      <c r="B15" t="s">
        <v>624</v>
      </c>
      <c r="C15" t="s">
        <v>570</v>
      </c>
      <c r="D15" s="6" t="str">
        <f>VLOOKUP(C15,キャラマスタ[],2,FALSE)</f>
        <v>バギー</v>
      </c>
      <c r="E15" t="s">
        <v>611</v>
      </c>
      <c r="F15" t="s">
        <v>612</v>
      </c>
      <c r="G15">
        <v>2</v>
      </c>
      <c r="H15">
        <v>17</v>
      </c>
      <c r="I15" s="29">
        <v>1.8</v>
      </c>
      <c r="J15">
        <f>+SUMIF(技ログ!C:C,A15,技ログ!I:I)</f>
        <v>0</v>
      </c>
      <c r="K15">
        <f>+COUNTIF(技ログ!C:C,技マスタ[[#This Row],[技ID]])</f>
        <v>1</v>
      </c>
    </row>
    <row r="16" spans="1:11">
      <c r="A16" t="s">
        <v>636</v>
      </c>
      <c r="B16" s="3" t="s">
        <v>625</v>
      </c>
      <c r="C16" t="s">
        <v>308</v>
      </c>
      <c r="D16" s="6" t="str">
        <f>VLOOKUP(C16,キャラマスタ[],2,FALSE)</f>
        <v>ロロノア・ゾロ</v>
      </c>
      <c r="E16" t="s">
        <v>623</v>
      </c>
      <c r="G16">
        <v>2</v>
      </c>
      <c r="H16">
        <v>17</v>
      </c>
      <c r="I16" s="29">
        <v>1.8</v>
      </c>
      <c r="J16">
        <f>+SUMIF(技ログ!C:C,A16,技ログ!I:I)</f>
        <v>1</v>
      </c>
      <c r="K16">
        <f>+COUNTIF(技ログ!C:C,技マスタ[[#This Row],[技ID]])</f>
        <v>4</v>
      </c>
    </row>
    <row r="17" spans="1:11">
      <c r="A17" t="s">
        <v>756</v>
      </c>
      <c r="B17" t="s">
        <v>761</v>
      </c>
      <c r="C17" t="s">
        <v>570</v>
      </c>
      <c r="D17" s="6" t="str">
        <f>VLOOKUP(C17,キャラマスタ[],2,FALSE)</f>
        <v>バギー</v>
      </c>
      <c r="E17" t="s">
        <v>623</v>
      </c>
      <c r="F17" t="s">
        <v>612</v>
      </c>
      <c r="G17">
        <v>3</v>
      </c>
      <c r="H17">
        <v>18</v>
      </c>
      <c r="I17" s="29">
        <v>1.8</v>
      </c>
      <c r="J17">
        <f>+SUMIF(技ログ!C:C,A17,技ログ!I:I)</f>
        <v>0</v>
      </c>
      <c r="K17">
        <f>+COUNTIF(技ログ!C:C,技マスタ[[#This Row],[技ID]])</f>
        <v>1</v>
      </c>
    </row>
    <row r="18" spans="1:11">
      <c r="A18" t="s">
        <v>757</v>
      </c>
      <c r="B18" t="s">
        <v>762</v>
      </c>
      <c r="C18" t="s">
        <v>570</v>
      </c>
      <c r="D18" s="6" t="str">
        <f>VLOOKUP(C18,キャラマスタ[],2,FALSE)</f>
        <v>バギー</v>
      </c>
      <c r="E18" t="s">
        <v>616</v>
      </c>
      <c r="F18" t="s">
        <v>612</v>
      </c>
      <c r="G18">
        <v>3</v>
      </c>
      <c r="H18">
        <v>18</v>
      </c>
      <c r="I18" s="29">
        <v>1.8</v>
      </c>
      <c r="J18">
        <f>+SUMIF(技ログ!C:C,A18,技ログ!I:I)</f>
        <v>0</v>
      </c>
      <c r="K18">
        <f>+COUNTIF(技ログ!C:C,技マスタ[[#This Row],[技ID]])</f>
        <v>2</v>
      </c>
    </row>
    <row r="19" spans="1:11">
      <c r="A19" t="s">
        <v>758</v>
      </c>
      <c r="B19" t="s">
        <v>764</v>
      </c>
      <c r="C19" t="s">
        <v>288</v>
      </c>
      <c r="D19" s="6" t="str">
        <f>VLOOKUP(C19,キャラマスタ[],2,FALSE)</f>
        <v>モンキー・D・ルフィ</v>
      </c>
      <c r="E19" t="s">
        <v>430</v>
      </c>
      <c r="F19" t="s">
        <v>399</v>
      </c>
      <c r="G19">
        <v>3</v>
      </c>
      <c r="H19">
        <v>18</v>
      </c>
      <c r="I19" s="29">
        <v>1.8</v>
      </c>
      <c r="J19">
        <f>+SUMIF(技ログ!C:C,A19,技ログ!I:I)</f>
        <v>0</v>
      </c>
      <c r="K19">
        <f>+COUNTIF(技ログ!C:C,技マスタ[[#This Row],[技ID]])</f>
        <v>1</v>
      </c>
    </row>
    <row r="20" spans="1:11">
      <c r="A20" t="s">
        <v>759</v>
      </c>
      <c r="B20" t="s">
        <v>763</v>
      </c>
      <c r="C20" t="s">
        <v>570</v>
      </c>
      <c r="D20" s="6" t="str">
        <f>VLOOKUP(C20,キャラマスタ[],2,FALSE)</f>
        <v>バギー</v>
      </c>
      <c r="E20" t="s">
        <v>623</v>
      </c>
      <c r="F20" t="s">
        <v>612</v>
      </c>
      <c r="G20">
        <v>3</v>
      </c>
      <c r="H20">
        <v>18</v>
      </c>
      <c r="I20" s="29">
        <v>1.8</v>
      </c>
      <c r="J20">
        <f>+SUMIF(技ログ!C:C,A20,技ログ!I:I)</f>
        <v>0</v>
      </c>
      <c r="K20">
        <f>+COUNTIF(技ログ!C:C,技マスタ[[#This Row],[技ID]])</f>
        <v>1</v>
      </c>
    </row>
    <row r="21" spans="1:11">
      <c r="A21" t="s">
        <v>760</v>
      </c>
      <c r="B21" t="s">
        <v>765</v>
      </c>
      <c r="C21" t="s">
        <v>570</v>
      </c>
      <c r="D21" s="6" t="str">
        <f>VLOOKUP(C21,キャラマスタ[],2,FALSE)</f>
        <v>バギー</v>
      </c>
      <c r="E21" t="s">
        <v>616</v>
      </c>
      <c r="F21" t="s">
        <v>612</v>
      </c>
      <c r="G21">
        <v>3</v>
      </c>
      <c r="H21">
        <v>20</v>
      </c>
      <c r="I21" s="29">
        <v>1.8</v>
      </c>
      <c r="J21">
        <f>+SUMIF(技ログ!C:C,A21,技ログ!I:I)</f>
        <v>0</v>
      </c>
      <c r="K21">
        <f>+COUNTIF(技ログ!C:C,技マスタ[[#This Row],[技ID]])</f>
        <v>2</v>
      </c>
    </row>
    <row r="22" spans="1:11">
      <c r="A22" t="s">
        <v>766</v>
      </c>
      <c r="B22" t="s">
        <v>768</v>
      </c>
      <c r="C22" t="s">
        <v>288</v>
      </c>
      <c r="D22" s="6" t="str">
        <f>VLOOKUP(C22,キャラマスタ[],2,FALSE)</f>
        <v>モンキー・D・ルフィ</v>
      </c>
      <c r="E22" t="s">
        <v>430</v>
      </c>
      <c r="F22" t="s">
        <v>399</v>
      </c>
      <c r="G22">
        <v>3</v>
      </c>
      <c r="H22">
        <v>20</v>
      </c>
      <c r="I22" s="29">
        <v>1.8</v>
      </c>
      <c r="J22">
        <f>+SUMIF(技ログ!C:C,A22,技ログ!I:I)</f>
        <v>1</v>
      </c>
      <c r="K22">
        <f>+COUNTIF(技ログ!C:C,技マスタ[[#This Row],[技ID]])</f>
        <v>5</v>
      </c>
    </row>
    <row r="23" spans="1:11">
      <c r="A23" t="s">
        <v>767</v>
      </c>
      <c r="B23" t="s">
        <v>769</v>
      </c>
      <c r="C23" t="s">
        <v>727</v>
      </c>
      <c r="D23" s="6" t="str">
        <f>VLOOKUP(C23,キャラマスタ[],2,FALSE)</f>
        <v>ジャンゴ</v>
      </c>
      <c r="E23" t="s">
        <v>616</v>
      </c>
      <c r="G23">
        <v>3</v>
      </c>
      <c r="H23">
        <v>25</v>
      </c>
      <c r="I23" s="29">
        <v>2.5</v>
      </c>
      <c r="J23">
        <f>+SUMIF(技ログ!C:C,A23,技ログ!I:I)</f>
        <v>0</v>
      </c>
      <c r="K23">
        <f>+COUNTIF(技ログ!C:C,技マスタ[[#This Row],[技ID]])</f>
        <v>6</v>
      </c>
    </row>
    <row r="24" spans="1:11">
      <c r="A24" t="s">
        <v>849</v>
      </c>
      <c r="B24" t="s">
        <v>855</v>
      </c>
      <c r="C24" t="s">
        <v>718</v>
      </c>
      <c r="D24" s="6" t="str">
        <f>VLOOKUP(C24,キャラマスタ[],2,FALSE)</f>
        <v>ウソップ</v>
      </c>
      <c r="E24" t="s">
        <v>616</v>
      </c>
      <c r="G24">
        <v>4</v>
      </c>
      <c r="H24">
        <v>29</v>
      </c>
      <c r="I24" s="29">
        <v>3</v>
      </c>
      <c r="J24">
        <f>+SUMIF(技ログ!C:C,A24,技ログ!I:I)</f>
        <v>0</v>
      </c>
      <c r="K24">
        <f>+COUNTIF(技ログ!C:C,技マスタ[[#This Row],[技ID]])</f>
        <v>2</v>
      </c>
    </row>
    <row r="25" spans="1:11">
      <c r="A25" t="s">
        <v>850</v>
      </c>
      <c r="B25" t="s">
        <v>865</v>
      </c>
      <c r="C25" t="s">
        <v>718</v>
      </c>
      <c r="D25" s="6" t="str">
        <f>VLOOKUP(C25,キャラマスタ[],2,FALSE)</f>
        <v>ウソップ</v>
      </c>
      <c r="E25" t="s">
        <v>856</v>
      </c>
      <c r="G25">
        <v>4</v>
      </c>
      <c r="H25">
        <v>29</v>
      </c>
      <c r="I25" s="29">
        <v>3</v>
      </c>
      <c r="J25">
        <f>+SUMIF(技ログ!C:C,A25,技ログ!I:I)</f>
        <v>0</v>
      </c>
      <c r="K25">
        <f>+COUNTIF(技ログ!C:C,技マスタ[[#This Row],[技ID]])</f>
        <v>4</v>
      </c>
    </row>
    <row r="26" spans="1:11">
      <c r="A26" t="s">
        <v>851</v>
      </c>
      <c r="B26" s="3" t="s">
        <v>857</v>
      </c>
      <c r="C26" t="s">
        <v>288</v>
      </c>
      <c r="D26" s="6" t="str">
        <f>VLOOKUP(C26,キャラマスタ[],2,FALSE)</f>
        <v>モンキー・D・ルフィ</v>
      </c>
      <c r="E26" t="s">
        <v>430</v>
      </c>
      <c r="F26" t="s">
        <v>399</v>
      </c>
      <c r="G26">
        <v>4</v>
      </c>
      <c r="H26">
        <v>30</v>
      </c>
      <c r="I26" s="29">
        <v>3</v>
      </c>
      <c r="J26">
        <f>+SUMIF(技ログ!C:C,A26,技ログ!I:I)</f>
        <v>0</v>
      </c>
      <c r="K26">
        <f>+COUNTIF(技ログ!C:C,技マスタ[[#This Row],[技ID]])</f>
        <v>3</v>
      </c>
    </row>
    <row r="27" spans="1:11">
      <c r="A27" t="s">
        <v>852</v>
      </c>
      <c r="B27" t="s">
        <v>858</v>
      </c>
      <c r="C27" t="s">
        <v>819</v>
      </c>
      <c r="D27" s="6" t="str">
        <f>VLOOKUP(C27,キャラマスタ[],2,FALSE)</f>
        <v>シャム</v>
      </c>
      <c r="E27" t="s">
        <v>616</v>
      </c>
      <c r="G27">
        <v>4</v>
      </c>
      <c r="H27">
        <v>32</v>
      </c>
      <c r="I27" s="29">
        <v>3</v>
      </c>
      <c r="J27">
        <f>+SUMIF(技ログ!C:C,A27,技ログ!I:I)</f>
        <v>0</v>
      </c>
      <c r="K27">
        <f>+COUNTIF(技ログ!C:C,技マスタ[[#This Row],[技ID]])</f>
        <v>1</v>
      </c>
    </row>
    <row r="28" spans="1:11">
      <c r="A28" t="s">
        <v>853</v>
      </c>
      <c r="B28" t="s">
        <v>859</v>
      </c>
      <c r="C28" t="s">
        <v>821</v>
      </c>
      <c r="D28" s="6" t="str">
        <f>VLOOKUP(C28,キャラマスタ[],2,FALSE)</f>
        <v>ブチ</v>
      </c>
      <c r="E28" t="s">
        <v>430</v>
      </c>
      <c r="G28">
        <v>4</v>
      </c>
      <c r="H28">
        <v>32</v>
      </c>
      <c r="I28" s="29">
        <v>3</v>
      </c>
      <c r="J28">
        <f>+SUMIF(技ログ!C:C,A28,技ログ!I:I)</f>
        <v>0</v>
      </c>
      <c r="K28">
        <f>+COUNTIF(技ログ!C:C,技マスタ[[#This Row],[技ID]])</f>
        <v>2</v>
      </c>
    </row>
    <row r="29" spans="1:11">
      <c r="A29" t="s">
        <v>854</v>
      </c>
      <c r="B29" t="s">
        <v>860</v>
      </c>
      <c r="C29" t="s">
        <v>819</v>
      </c>
      <c r="D29" s="6" t="str">
        <f>VLOOKUP(C29,キャラマスタ[],2,FALSE)</f>
        <v>シャム</v>
      </c>
      <c r="E29" t="s">
        <v>623</v>
      </c>
      <c r="G29">
        <v>4</v>
      </c>
      <c r="H29">
        <v>32</v>
      </c>
      <c r="I29" s="29">
        <v>3</v>
      </c>
      <c r="J29">
        <f>+SUMIF(技ログ!C:C,A29,技ログ!I:I)</f>
        <v>0</v>
      </c>
      <c r="K29">
        <f>+COUNTIF(技ログ!C:C,技マスタ[[#This Row],[技ID]])</f>
        <v>2</v>
      </c>
    </row>
    <row r="30" spans="1:11">
      <c r="A30" t="s">
        <v>861</v>
      </c>
      <c r="B30" t="s">
        <v>866</v>
      </c>
      <c r="C30" t="s">
        <v>723</v>
      </c>
      <c r="D30" s="6" t="str">
        <f>VLOOKUP(C30,キャラマスタ[],2,FALSE)</f>
        <v>クロ</v>
      </c>
      <c r="E30" t="s">
        <v>616</v>
      </c>
      <c r="G30">
        <v>4</v>
      </c>
      <c r="H30">
        <v>33</v>
      </c>
      <c r="I30" s="29">
        <v>3</v>
      </c>
      <c r="J30">
        <f>+SUMIF(技ログ!C:C,A30,技ログ!I:I)</f>
        <v>0</v>
      </c>
      <c r="K30">
        <f>+COUNTIF(技ログ!C:C,技マスタ[[#This Row],[技ID]])</f>
        <v>2</v>
      </c>
    </row>
    <row r="31" spans="1:11">
      <c r="A31" t="s">
        <v>862</v>
      </c>
      <c r="B31" t="s">
        <v>867</v>
      </c>
      <c r="C31" t="s">
        <v>308</v>
      </c>
      <c r="D31" s="6" t="str">
        <f>VLOOKUP(C31,キャラマスタ[],2,FALSE)</f>
        <v>ロロノア・ゾロ</v>
      </c>
      <c r="E31" t="s">
        <v>623</v>
      </c>
      <c r="G31">
        <v>4</v>
      </c>
      <c r="H31">
        <v>33</v>
      </c>
      <c r="I31" s="29">
        <v>3</v>
      </c>
      <c r="J31">
        <f>+SUMIF(技ログ!C:C,A31,技ログ!I:I)</f>
        <v>1</v>
      </c>
      <c r="K31">
        <f>+COUNTIF(技ログ!C:C,技マスタ[[#This Row],[技ID]])</f>
        <v>3</v>
      </c>
    </row>
    <row r="32" spans="1:11">
      <c r="A32" t="s">
        <v>863</v>
      </c>
      <c r="B32" t="s">
        <v>969</v>
      </c>
      <c r="C32" t="s">
        <v>288</v>
      </c>
      <c r="D32" s="6" t="str">
        <f>VLOOKUP(C32,キャラマスタ[],2,FALSE)</f>
        <v>モンキー・D・ルフィ</v>
      </c>
      <c r="E32" t="s">
        <v>430</v>
      </c>
      <c r="F32" t="s">
        <v>399</v>
      </c>
      <c r="G32">
        <v>5</v>
      </c>
      <c r="H32">
        <v>36</v>
      </c>
      <c r="I32" s="29">
        <v>3</v>
      </c>
      <c r="J32">
        <f>+SUMIF(技ログ!C:C,A32,技ログ!I:I)</f>
        <v>0</v>
      </c>
      <c r="K32">
        <f>+COUNTIF(技ログ!C:C,技マスタ[[#This Row],[技ID]])</f>
        <v>1</v>
      </c>
    </row>
    <row r="33" spans="1:11">
      <c r="A33" t="s">
        <v>864</v>
      </c>
      <c r="B33" t="s">
        <v>970</v>
      </c>
      <c r="C33" t="s">
        <v>722</v>
      </c>
      <c r="D33" s="6" t="str">
        <f>VLOOKUP(C33,キャラマスタ[],2,FALSE)</f>
        <v>たまねぎ</v>
      </c>
      <c r="E33" t="s">
        <v>616</v>
      </c>
      <c r="G33">
        <v>5</v>
      </c>
      <c r="H33">
        <v>38</v>
      </c>
      <c r="I33" s="29">
        <v>3</v>
      </c>
      <c r="J33">
        <f>+SUMIF(技ログ!C:C,A33,技ログ!I:I)</f>
        <v>0</v>
      </c>
      <c r="K33">
        <f>+COUNTIF(技ログ!C:C,技マスタ[[#This Row],[技ID]])</f>
        <v>1</v>
      </c>
    </row>
    <row r="34" spans="1:11">
      <c r="A34" t="s">
        <v>971</v>
      </c>
      <c r="B34" t="s">
        <v>978</v>
      </c>
      <c r="C34" t="s">
        <v>723</v>
      </c>
      <c r="D34" s="6" t="str">
        <f>VLOOKUP(C34,キャラマスタ[],2,FALSE)</f>
        <v>クロ</v>
      </c>
      <c r="E34" t="s">
        <v>623</v>
      </c>
      <c r="G34">
        <v>5</v>
      </c>
      <c r="H34">
        <v>38</v>
      </c>
      <c r="I34" s="29">
        <v>3</v>
      </c>
      <c r="J34">
        <f>+SUMIF(技ログ!C:C,A34,技ログ!I:I)</f>
        <v>0</v>
      </c>
      <c r="K34">
        <f>+COUNTIF(技ログ!C:C,技マスタ[[#This Row],[技ID]])</f>
        <v>1</v>
      </c>
    </row>
    <row r="35" spans="1:11">
      <c r="A35" t="s">
        <v>972</v>
      </c>
      <c r="B35" s="3" t="s">
        <v>979</v>
      </c>
      <c r="C35" t="s">
        <v>718</v>
      </c>
      <c r="D35" s="6" t="str">
        <f>VLOOKUP(C35,キャラマスタ[],2,FALSE)</f>
        <v>ウソップ</v>
      </c>
      <c r="E35" t="s">
        <v>611</v>
      </c>
      <c r="G35">
        <v>5</v>
      </c>
      <c r="H35">
        <v>39</v>
      </c>
      <c r="I35" s="29">
        <v>3</v>
      </c>
      <c r="J35">
        <f>+SUMIF(技ログ!C:C,A35,技ログ!I:I)</f>
        <v>1</v>
      </c>
      <c r="K35">
        <f>+COUNTIF(技ログ!C:C,技マスタ[[#This Row],[技ID]])</f>
        <v>2</v>
      </c>
    </row>
    <row r="36" spans="1:11">
      <c r="A36" t="s">
        <v>973</v>
      </c>
      <c r="B36" s="3" t="s">
        <v>980</v>
      </c>
      <c r="C36" t="s">
        <v>288</v>
      </c>
      <c r="D36" s="6" t="str">
        <f>VLOOKUP(C36,キャラマスタ[],2,FALSE)</f>
        <v>モンキー・D・ルフィ</v>
      </c>
      <c r="E36" t="s">
        <v>430</v>
      </c>
      <c r="F36" t="s">
        <v>399</v>
      </c>
      <c r="G36">
        <v>5</v>
      </c>
      <c r="H36">
        <v>39</v>
      </c>
      <c r="I36" s="29">
        <v>3</v>
      </c>
      <c r="J36">
        <f>+SUMIF(技ログ!C:C,A36,技ログ!I:I)</f>
        <v>1</v>
      </c>
      <c r="K36">
        <f>+COUNTIF(技ログ!C:C,技マスタ[[#This Row],[技ID]])</f>
        <v>2</v>
      </c>
    </row>
    <row r="37" spans="1:11">
      <c r="A37" t="s">
        <v>974</v>
      </c>
      <c r="B37" s="3" t="s">
        <v>981</v>
      </c>
      <c r="C37" t="s">
        <v>1086</v>
      </c>
      <c r="D37" s="6" t="str">
        <f>VLOOKUP(C37,キャラマスタ[],2,FALSE)</f>
        <v>ゼフ</v>
      </c>
      <c r="E37" t="s">
        <v>430</v>
      </c>
      <c r="G37">
        <v>5</v>
      </c>
      <c r="H37">
        <v>44</v>
      </c>
      <c r="I37" s="29">
        <v>5</v>
      </c>
      <c r="J37">
        <f>+SUMIF(技ログ!C:C,A37,技ログ!I:I)</f>
        <v>0</v>
      </c>
      <c r="K37">
        <f>+COUNTIF(技ログ!C:C,技マスタ[[#This Row],[技ID]])</f>
        <v>1</v>
      </c>
    </row>
    <row r="38" spans="1:11">
      <c r="A38" t="s">
        <v>975</v>
      </c>
      <c r="B38" s="3" t="s">
        <v>982</v>
      </c>
      <c r="C38" t="s">
        <v>1086</v>
      </c>
      <c r="D38" s="6" t="str">
        <f>VLOOKUP(C38,キャラマスタ[],2,FALSE)</f>
        <v>ゼフ</v>
      </c>
      <c r="E38" t="s">
        <v>430</v>
      </c>
      <c r="G38">
        <v>5</v>
      </c>
      <c r="H38">
        <v>44</v>
      </c>
      <c r="I38" s="29">
        <v>5</v>
      </c>
      <c r="J38">
        <f>+SUMIF(技ログ!C:C,A38,技ログ!I:I)</f>
        <v>0</v>
      </c>
      <c r="K38">
        <f>+COUNTIF(技ログ!C:C,技マスタ[[#This Row],[技ID]])</f>
        <v>1</v>
      </c>
    </row>
    <row r="39" spans="1:11">
      <c r="A39" t="s">
        <v>976</v>
      </c>
      <c r="B39" s="3" t="s">
        <v>1158</v>
      </c>
      <c r="C39" t="s">
        <v>945</v>
      </c>
      <c r="D39" s="6" t="str">
        <f>VLOOKUP(C39,キャラマスタ[],2,FALSE)</f>
        <v>パティ</v>
      </c>
      <c r="E39" t="s">
        <v>611</v>
      </c>
      <c r="G39">
        <v>6</v>
      </c>
      <c r="H39">
        <v>47</v>
      </c>
      <c r="I39" s="29">
        <v>7</v>
      </c>
      <c r="J39">
        <f>+SUMIF(技ログ!C:C,A39,技ログ!I:I)</f>
        <v>0</v>
      </c>
      <c r="K39">
        <f>+COUNTIF(技ログ!C:C,技マスタ[[#This Row],[技ID]])</f>
        <v>1</v>
      </c>
    </row>
    <row r="40" spans="1:11">
      <c r="A40" t="s">
        <v>977</v>
      </c>
      <c r="B40" s="3" t="s">
        <v>1159</v>
      </c>
      <c r="C40" t="s">
        <v>308</v>
      </c>
      <c r="D40" s="6" t="str">
        <f>VLOOKUP(C40,キャラマスタ[],2,FALSE)</f>
        <v>ロロノア・ゾロ</v>
      </c>
      <c r="E40" t="s">
        <v>623</v>
      </c>
      <c r="G40">
        <v>6</v>
      </c>
      <c r="H40">
        <v>51</v>
      </c>
      <c r="I40" s="29">
        <v>7</v>
      </c>
      <c r="J40">
        <f>+SUMIF(技ログ!C:C,A40,技ログ!I:I)</f>
        <v>0</v>
      </c>
      <c r="K40">
        <f>+COUNTIF(技ログ!C:C,技マスタ[[#This Row],[技ID]])</f>
        <v>1</v>
      </c>
    </row>
    <row r="41" spans="1:11">
      <c r="A41" t="s">
        <v>1160</v>
      </c>
      <c r="B41" s="3" t="s">
        <v>1166</v>
      </c>
      <c r="C41" t="s">
        <v>288</v>
      </c>
      <c r="D41" s="6" t="str">
        <f>VLOOKUP(C41,キャラマスタ[],2,FALSE)</f>
        <v>モンキー・D・ルフィ</v>
      </c>
      <c r="E41" t="s">
        <v>430</v>
      </c>
      <c r="F41" t="s">
        <v>399</v>
      </c>
      <c r="G41">
        <v>6</v>
      </c>
      <c r="H41">
        <v>53</v>
      </c>
      <c r="I41" s="29">
        <v>7</v>
      </c>
      <c r="J41">
        <f>+SUMIF(技ログ!C:C,A41,技ログ!I:I)</f>
        <v>0</v>
      </c>
      <c r="K41">
        <f>+COUNTIF(技ログ!C:C,技マスタ[[#This Row],[技ID]])</f>
        <v>1</v>
      </c>
    </row>
    <row r="42" spans="1:11">
      <c r="A42" t="s">
        <v>1161</v>
      </c>
      <c r="B42" s="3" t="s">
        <v>1256</v>
      </c>
      <c r="C42" t="s">
        <v>1236</v>
      </c>
      <c r="D42" s="6" t="str">
        <f>VLOOKUP(C42,キャラマスタ[],2,FALSE)</f>
        <v>パール</v>
      </c>
      <c r="E42" t="s">
        <v>430</v>
      </c>
      <c r="G42">
        <v>7</v>
      </c>
      <c r="H42">
        <v>55</v>
      </c>
      <c r="I42" s="29">
        <v>7</v>
      </c>
      <c r="J42">
        <f>+SUMIF(技ログ!C:C,A42,技ログ!I:I)</f>
        <v>0</v>
      </c>
      <c r="K42">
        <f>+COUNTIF(技ログ!C:C,技マスタ[[#This Row],[技ID]])</f>
        <v>1</v>
      </c>
    </row>
    <row r="43" spans="1:11">
      <c r="A43" t="s">
        <v>1162</v>
      </c>
      <c r="B43" s="3" t="s">
        <v>1257</v>
      </c>
      <c r="C43" t="s">
        <v>1236</v>
      </c>
      <c r="D43" s="6" t="str">
        <f>VLOOKUP(C43,キャラマスタ[],2,FALSE)</f>
        <v>パール</v>
      </c>
      <c r="E43" t="s">
        <v>430</v>
      </c>
      <c r="G43">
        <v>7</v>
      </c>
      <c r="H43">
        <v>55</v>
      </c>
      <c r="I43" s="29">
        <v>7</v>
      </c>
      <c r="J43">
        <f>+SUMIF(技ログ!C:C,A43,技ログ!I:I)</f>
        <v>0</v>
      </c>
      <c r="K43">
        <f>+COUNTIF(技ログ!C:C,技マスタ[[#This Row],[技ID]])</f>
        <v>1</v>
      </c>
    </row>
    <row r="44" spans="1:11">
      <c r="A44" t="s">
        <v>1163</v>
      </c>
      <c r="B44" s="3" t="s">
        <v>1258</v>
      </c>
      <c r="C44" t="s">
        <v>1236</v>
      </c>
      <c r="D44" s="6" t="str">
        <f>VLOOKUP(C44,キャラマスタ[],2,FALSE)</f>
        <v>パール</v>
      </c>
      <c r="E44" t="s">
        <v>430</v>
      </c>
      <c r="G44">
        <v>7</v>
      </c>
      <c r="H44">
        <v>56</v>
      </c>
      <c r="I44" s="29">
        <v>7</v>
      </c>
      <c r="J44">
        <f>+SUMIF(技ログ!C:C,A44,技ログ!I:I)</f>
        <v>0</v>
      </c>
      <c r="K44">
        <f>+COUNTIF(技ログ!C:C,技マスタ[[#This Row],[技ID]])</f>
        <v>1</v>
      </c>
    </row>
    <row r="45" spans="1:11">
      <c r="A45" t="s">
        <v>1164</v>
      </c>
      <c r="B45" s="3" t="s">
        <v>1259</v>
      </c>
      <c r="C45" t="s">
        <v>1236</v>
      </c>
      <c r="D45" s="6" t="str">
        <f>VLOOKUP(C45,キャラマスタ[],2,FALSE)</f>
        <v>パール</v>
      </c>
      <c r="E45" t="s">
        <v>430</v>
      </c>
      <c r="G45">
        <v>7</v>
      </c>
      <c r="H45">
        <v>56</v>
      </c>
      <c r="I45" s="29">
        <v>7</v>
      </c>
      <c r="J45">
        <f>+SUMIF(技ログ!C:C,A45,技ログ!I:I)</f>
        <v>0</v>
      </c>
      <c r="K45">
        <f>+COUNTIF(技ログ!C:C,技マスタ[[#This Row],[技ID]])</f>
        <v>1</v>
      </c>
    </row>
    <row r="46" spans="1:11">
      <c r="A46" t="s">
        <v>1165</v>
      </c>
      <c r="B46" s="3" t="s">
        <v>1260</v>
      </c>
      <c r="C46" t="s">
        <v>1236</v>
      </c>
      <c r="D46" s="6" t="str">
        <f>VLOOKUP(C46,キャラマスタ[],2,FALSE)</f>
        <v>パール</v>
      </c>
      <c r="E46" t="s">
        <v>430</v>
      </c>
      <c r="G46">
        <v>7</v>
      </c>
      <c r="H46">
        <v>56</v>
      </c>
      <c r="I46" s="29">
        <v>7</v>
      </c>
      <c r="J46">
        <f>+SUMIF(技ログ!C:C,A46,技ログ!I:I)</f>
        <v>0</v>
      </c>
      <c r="K46">
        <f>+COUNTIF(技ログ!C:C,技マスタ[[#This Row],[技ID]])</f>
        <v>1</v>
      </c>
    </row>
    <row r="47" spans="1:11">
      <c r="A47" t="s">
        <v>1261</v>
      </c>
      <c r="B47" s="3" t="s">
        <v>1266</v>
      </c>
      <c r="C47" t="s">
        <v>1236</v>
      </c>
      <c r="D47" s="6" t="str">
        <f>VLOOKUP(C47,キャラマスタ[],2,FALSE)</f>
        <v>パール</v>
      </c>
      <c r="E47" t="s">
        <v>430</v>
      </c>
      <c r="G47">
        <v>7</v>
      </c>
      <c r="H47">
        <v>59</v>
      </c>
      <c r="I47" s="29">
        <v>7</v>
      </c>
      <c r="J47">
        <f>+SUMIF(技ログ!C:C,A47,技ログ!I:I)</f>
        <v>0</v>
      </c>
      <c r="K47">
        <f>+COUNTIF(技ログ!C:C,技マスタ[[#This Row],[技ID]])</f>
        <v>1</v>
      </c>
    </row>
    <row r="48" spans="1:11">
      <c r="A48" t="s">
        <v>1262</v>
      </c>
      <c r="B48" s="3" t="s">
        <v>1267</v>
      </c>
      <c r="C48" t="s">
        <v>288</v>
      </c>
      <c r="D48" s="6" t="str">
        <f>VLOOKUP(C48,キャラマスタ[],2,FALSE)</f>
        <v>モンキー・D・ルフィ</v>
      </c>
      <c r="E48" t="s">
        <v>430</v>
      </c>
      <c r="F48" t="s">
        <v>399</v>
      </c>
      <c r="G48">
        <v>7</v>
      </c>
      <c r="H48">
        <v>59</v>
      </c>
      <c r="I48" s="29">
        <v>7</v>
      </c>
      <c r="J48">
        <f>+SUMIF(技ログ!C:C,A48,技ログ!I:I)</f>
        <v>1</v>
      </c>
      <c r="K48">
        <f>+COUNTIF(技ログ!C:C,技マスタ[[#This Row],[技ID]])</f>
        <v>2</v>
      </c>
    </row>
    <row r="49" spans="1:11">
      <c r="A49" t="s">
        <v>1263</v>
      </c>
      <c r="B49" s="3" t="s">
        <v>1268</v>
      </c>
      <c r="C49" t="s">
        <v>1099</v>
      </c>
      <c r="D49" s="6" t="str">
        <f>VLOOKUP(C49,キャラマスタ[],2,FALSE)</f>
        <v>クリーク</v>
      </c>
      <c r="E49" t="s">
        <v>623</v>
      </c>
      <c r="G49">
        <v>7</v>
      </c>
      <c r="H49">
        <v>60</v>
      </c>
      <c r="I49" s="29">
        <v>7</v>
      </c>
      <c r="J49">
        <f>+SUMIF(技ログ!C:C,A49,技ログ!I:I)</f>
        <v>0</v>
      </c>
      <c r="K49">
        <f>+COUNTIF(技ログ!C:C,技マスタ[[#This Row],[技ID]])</f>
        <v>1</v>
      </c>
    </row>
    <row r="50" spans="1:11">
      <c r="A50" t="s">
        <v>1264</v>
      </c>
      <c r="B50" s="3" t="s">
        <v>1269</v>
      </c>
      <c r="C50" t="s">
        <v>1099</v>
      </c>
      <c r="D50" s="6" t="str">
        <f>VLOOKUP(C50,キャラマスタ[],2,FALSE)</f>
        <v>クリーク</v>
      </c>
      <c r="E50" t="s">
        <v>611</v>
      </c>
      <c r="G50">
        <v>7</v>
      </c>
      <c r="H50">
        <v>62</v>
      </c>
      <c r="I50" s="29">
        <v>7</v>
      </c>
      <c r="J50">
        <f>+SUMIF(技ログ!C:C,A50,技ログ!I:I)</f>
        <v>0</v>
      </c>
      <c r="K50">
        <f>+COUNTIF(技ログ!C:C,技マスタ[[#This Row],[技ID]])</f>
        <v>1</v>
      </c>
    </row>
    <row r="51" spans="1:11">
      <c r="A51" t="s">
        <v>1265</v>
      </c>
      <c r="B51" s="3" t="s">
        <v>1357</v>
      </c>
      <c r="C51" t="s">
        <v>1099</v>
      </c>
      <c r="D51" s="6" t="str">
        <f>VLOOKUP(C51,キャラマスタ[],2,FALSE)</f>
        <v>クリーク</v>
      </c>
      <c r="E51" t="s">
        <v>623</v>
      </c>
      <c r="G51">
        <v>8</v>
      </c>
      <c r="H51">
        <v>63</v>
      </c>
      <c r="I51" s="29">
        <v>7</v>
      </c>
      <c r="J51">
        <f>+SUMIF(技ログ!C:C,A51,技ログ!I:I)</f>
        <v>0</v>
      </c>
      <c r="K51">
        <f>+COUNTIF(技ログ!C:C,技マスタ[[#This Row],[技ID]])</f>
        <v>1</v>
      </c>
    </row>
    <row r="52" spans="1:11">
      <c r="A52" t="s">
        <v>1347</v>
      </c>
      <c r="B52" t="s">
        <v>1358</v>
      </c>
      <c r="C52" t="s">
        <v>288</v>
      </c>
      <c r="D52" s="6" t="str">
        <f>VLOOKUP(C52,キャラマスタ[],2,FALSE)</f>
        <v>モンキー・D・ルフィ</v>
      </c>
      <c r="E52" t="s">
        <v>430</v>
      </c>
      <c r="F52" t="s">
        <v>399</v>
      </c>
      <c r="G52">
        <v>8</v>
      </c>
      <c r="H52">
        <v>63</v>
      </c>
      <c r="I52" s="29">
        <v>7</v>
      </c>
      <c r="J52">
        <f>+SUMIF(技ログ!C:C,A52,技ログ!I:I)</f>
        <v>0</v>
      </c>
      <c r="K52">
        <f>+COUNTIF(技ログ!C:C,技マスタ[[#This Row],[技ID]])</f>
        <v>3</v>
      </c>
    </row>
    <row r="53" spans="1:11">
      <c r="A53" t="s">
        <v>1348</v>
      </c>
      <c r="B53" t="s">
        <v>1359</v>
      </c>
      <c r="C53" t="s">
        <v>1099</v>
      </c>
      <c r="D53" s="6" t="str">
        <f>VLOOKUP(C53,キャラマスタ[],2,FALSE)</f>
        <v>クリーク</v>
      </c>
      <c r="E53" t="s">
        <v>623</v>
      </c>
      <c r="G53">
        <v>8</v>
      </c>
      <c r="H53">
        <v>64</v>
      </c>
      <c r="I53" s="29">
        <v>7</v>
      </c>
      <c r="J53">
        <f>+SUMIF(技ログ!C:C,A53,技ログ!I:I)</f>
        <v>0</v>
      </c>
      <c r="K53">
        <f>+COUNTIF(技ログ!C:C,技マスタ[[#This Row],[技ID]])</f>
        <v>1</v>
      </c>
    </row>
    <row r="54" spans="1:11">
      <c r="A54" t="s">
        <v>1349</v>
      </c>
      <c r="B54" t="s">
        <v>1360</v>
      </c>
      <c r="C54" t="s">
        <v>288</v>
      </c>
      <c r="D54" s="6" t="str">
        <f>VLOOKUP(C54,キャラマスタ[],2,FALSE)</f>
        <v>モンキー・D・ルフィ</v>
      </c>
      <c r="E54" t="s">
        <v>430</v>
      </c>
      <c r="F54" t="s">
        <v>399</v>
      </c>
      <c r="G54">
        <v>8</v>
      </c>
      <c r="H54">
        <v>66</v>
      </c>
      <c r="I54" s="29">
        <v>7</v>
      </c>
      <c r="J54">
        <f>+SUMIF(技ログ!C:C,A54,技ログ!I:I)</f>
        <v>1</v>
      </c>
      <c r="K54">
        <f>+COUNTIF(技ログ!C:C,技マスタ[[#This Row],[技ID]])</f>
        <v>1</v>
      </c>
    </row>
    <row r="55" spans="1:11">
      <c r="A55" t="s">
        <v>1350</v>
      </c>
      <c r="B55" s="3" t="s">
        <v>1501</v>
      </c>
      <c r="C55" t="s">
        <v>718</v>
      </c>
      <c r="D55" s="6" t="str">
        <f>VLOOKUP(C55,キャラマスタ[],2,FALSE)</f>
        <v>ウソップ</v>
      </c>
      <c r="E55" t="s">
        <v>611</v>
      </c>
      <c r="G55">
        <v>9</v>
      </c>
      <c r="H55">
        <v>72</v>
      </c>
      <c r="I55" s="29">
        <v>8.6999999999999993</v>
      </c>
      <c r="J55">
        <f>+SUMIF(技ログ!C:C,A55,技ログ!I:I)</f>
        <v>0</v>
      </c>
      <c r="K55">
        <f>+COUNTIF(技ログ!C:C,技マスタ[[#This Row],[技ID]])</f>
        <v>2</v>
      </c>
    </row>
    <row r="56" spans="1:11">
      <c r="A56" t="s">
        <v>1351</v>
      </c>
      <c r="B56" s="3" t="s">
        <v>1502</v>
      </c>
      <c r="C56" t="s">
        <v>942</v>
      </c>
      <c r="D56" s="6" t="str">
        <f>VLOOKUP(C56,キャラマスタ[],2,FALSE)</f>
        <v>サンジ</v>
      </c>
      <c r="E56" t="s">
        <v>430</v>
      </c>
      <c r="G56">
        <v>9</v>
      </c>
      <c r="H56">
        <v>73</v>
      </c>
      <c r="I56" s="29">
        <v>8.6999999999999993</v>
      </c>
      <c r="J56">
        <f>+SUMIF(技ログ!C:C,A56,技ログ!I:I)</f>
        <v>1</v>
      </c>
      <c r="K56">
        <f>+COUNTIF(技ログ!C:C,技マスタ[[#This Row],[技ID]])</f>
        <v>1</v>
      </c>
    </row>
    <row r="57" spans="1:11">
      <c r="A57" t="s">
        <v>1352</v>
      </c>
      <c r="B57" s="3" t="s">
        <v>1503</v>
      </c>
      <c r="C57" t="s">
        <v>718</v>
      </c>
      <c r="D57" s="6" t="str">
        <f>VLOOKUP(C57,キャラマスタ[],2,FALSE)</f>
        <v>ウソップ</v>
      </c>
      <c r="E57" t="s">
        <v>611</v>
      </c>
      <c r="G57">
        <v>9</v>
      </c>
      <c r="H57">
        <v>74</v>
      </c>
      <c r="I57" s="29">
        <v>8.6999999999999993</v>
      </c>
      <c r="J57">
        <f>+SUMIF(技ログ!C:C,A57,技ログ!I:I)</f>
        <v>0</v>
      </c>
      <c r="K57">
        <f>+COUNTIF(技ログ!C:C,技マスタ[[#This Row],[技ID]])</f>
        <v>1</v>
      </c>
    </row>
    <row r="58" spans="1:11">
      <c r="A58" t="s">
        <v>1353</v>
      </c>
      <c r="B58" s="3" t="s">
        <v>1504</v>
      </c>
      <c r="C58" t="s">
        <v>1454</v>
      </c>
      <c r="D58" s="6" t="str">
        <f>VLOOKUP(C58,キャラマスタ[],2,FALSE)</f>
        <v>チュウ</v>
      </c>
      <c r="E58" t="s">
        <v>611</v>
      </c>
      <c r="G58">
        <v>9</v>
      </c>
      <c r="H58">
        <v>75</v>
      </c>
      <c r="I58" s="29">
        <v>8.6999999999999993</v>
      </c>
      <c r="J58">
        <f>+SUMIF(技ログ!C:C,A58,技ログ!I:I)</f>
        <v>0</v>
      </c>
      <c r="K58">
        <f>+COUNTIF(技ログ!C:C,技マスタ[[#This Row],[技ID]])</f>
        <v>2</v>
      </c>
    </row>
    <row r="59" spans="1:11">
      <c r="A59" t="s">
        <v>1354</v>
      </c>
      <c r="B59" s="3" t="s">
        <v>1669</v>
      </c>
      <c r="C59" t="s">
        <v>288</v>
      </c>
      <c r="D59" s="6" t="str">
        <f>VLOOKUP(C59,キャラマスタ[],2,FALSE)</f>
        <v>モンキー・D・ルフィ</v>
      </c>
      <c r="E59" t="s">
        <v>430</v>
      </c>
      <c r="F59" t="s">
        <v>399</v>
      </c>
      <c r="G59">
        <v>10</v>
      </c>
      <c r="H59">
        <v>82</v>
      </c>
      <c r="I59" s="29">
        <v>8.6999999999999993</v>
      </c>
      <c r="J59">
        <f>+SUMIF(技ログ!C:C,A59,技ログ!I:I)</f>
        <v>1</v>
      </c>
      <c r="K59">
        <f>+COUNTIF(技ログ!C:C,技マスタ[[#This Row],[技ID]])</f>
        <v>1</v>
      </c>
    </row>
    <row r="60" spans="1:11">
      <c r="A60" t="s">
        <v>1355</v>
      </c>
      <c r="B60" s="3" t="s">
        <v>1670</v>
      </c>
      <c r="C60" t="s">
        <v>1311</v>
      </c>
      <c r="D60" s="6" t="str">
        <f>VLOOKUP(C60,キャラマスタ[],2,FALSE)</f>
        <v>はっちゃん</v>
      </c>
      <c r="E60" t="s">
        <v>611</v>
      </c>
      <c r="G60">
        <v>10</v>
      </c>
      <c r="H60">
        <v>83</v>
      </c>
      <c r="I60" s="29">
        <v>8.6999999999999993</v>
      </c>
      <c r="J60">
        <f>+SUMIF(技ログ!C:C,A60,技ログ!I:I)</f>
        <v>0</v>
      </c>
      <c r="K60">
        <f>+COUNTIF(技ログ!C:C,技マスタ[[#This Row],[技ID]])</f>
        <v>2</v>
      </c>
    </row>
    <row r="61" spans="1:11">
      <c r="A61" t="s">
        <v>1356</v>
      </c>
      <c r="B61" s="3" t="s">
        <v>1718</v>
      </c>
      <c r="C61" t="s">
        <v>1311</v>
      </c>
      <c r="D61" s="6" t="str">
        <f>VLOOKUP(C61,キャラマスタ[],2,FALSE)</f>
        <v>はっちゃん</v>
      </c>
      <c r="E61" t="s">
        <v>611</v>
      </c>
      <c r="G61">
        <v>10</v>
      </c>
      <c r="H61">
        <v>83</v>
      </c>
      <c r="I61" s="29">
        <v>8.6999999999999993</v>
      </c>
      <c r="J61">
        <f>+SUMIF(技ログ!C:C,A61,技ログ!I:I)</f>
        <v>0</v>
      </c>
      <c r="K61">
        <f>+COUNTIF(技ログ!C:C,技マスタ[[#This Row],[技ID]])</f>
        <v>1</v>
      </c>
    </row>
    <row r="62" spans="1:11">
      <c r="A62" t="s">
        <v>1659</v>
      </c>
      <c r="B62" s="3" t="s">
        <v>1719</v>
      </c>
      <c r="C62" t="s">
        <v>718</v>
      </c>
      <c r="D62" s="6" t="str">
        <f>VLOOKUP(C62,キャラマスタ[],2,FALSE)</f>
        <v>ウソップ</v>
      </c>
      <c r="E62" t="s">
        <v>611</v>
      </c>
      <c r="G62">
        <v>10</v>
      </c>
      <c r="H62">
        <v>83</v>
      </c>
      <c r="I62" s="29">
        <v>8.6999999999999993</v>
      </c>
      <c r="J62">
        <f>+SUMIF(技ログ!C:C,A62,技ログ!I:I)</f>
        <v>0</v>
      </c>
      <c r="K62">
        <f>+COUNTIF(技ログ!C:C,技マスタ[[#This Row],[技ID]])</f>
        <v>2</v>
      </c>
    </row>
    <row r="63" spans="1:11">
      <c r="A63" t="s">
        <v>1660</v>
      </c>
      <c r="B63" s="3" t="s">
        <v>1671</v>
      </c>
      <c r="C63" t="s">
        <v>1311</v>
      </c>
      <c r="D63" s="6" t="str">
        <f>VLOOKUP(C63,キャラマスタ[],2,FALSE)</f>
        <v>はっちゃん</v>
      </c>
      <c r="E63" t="s">
        <v>616</v>
      </c>
      <c r="G63">
        <v>10</v>
      </c>
      <c r="H63">
        <v>84</v>
      </c>
      <c r="I63" s="29">
        <v>8.6999999999999993</v>
      </c>
      <c r="J63">
        <f>+SUMIF(技ログ!C:C,A63,技ログ!I:I)</f>
        <v>0</v>
      </c>
      <c r="K63">
        <f>+COUNTIF(技ログ!C:C,技マスタ[[#This Row],[技ID]])</f>
        <v>1</v>
      </c>
    </row>
    <row r="64" spans="1:11">
      <c r="A64" t="s">
        <v>1661</v>
      </c>
      <c r="B64" s="3" t="s">
        <v>1720</v>
      </c>
      <c r="C64" t="s">
        <v>1311</v>
      </c>
      <c r="D64" s="6" t="str">
        <f>VLOOKUP(C64,キャラマスタ[],2,FALSE)</f>
        <v>はっちゃん</v>
      </c>
      <c r="E64" t="s">
        <v>616</v>
      </c>
      <c r="G64">
        <v>10</v>
      </c>
      <c r="H64">
        <v>84</v>
      </c>
      <c r="I64" s="29">
        <v>8.6999999999999993</v>
      </c>
      <c r="J64">
        <f>+SUMIF(技ログ!C:C,A64,技ログ!I:I)</f>
        <v>0</v>
      </c>
      <c r="K64">
        <f>+COUNTIF(技ログ!C:C,技マスタ[[#This Row],[技ID]])</f>
        <v>1</v>
      </c>
    </row>
    <row r="65" spans="1:11">
      <c r="A65" t="s">
        <v>1662</v>
      </c>
      <c r="B65" s="3" t="s">
        <v>1672</v>
      </c>
      <c r="C65" t="s">
        <v>1311</v>
      </c>
      <c r="D65" s="6" t="str">
        <f>VLOOKUP(C65,キャラマスタ[],2,FALSE)</f>
        <v>はっちゃん</v>
      </c>
      <c r="E65" t="s">
        <v>430</v>
      </c>
      <c r="G65">
        <v>10</v>
      </c>
      <c r="H65">
        <v>84</v>
      </c>
      <c r="I65" s="29">
        <v>8.6999999999999993</v>
      </c>
      <c r="J65">
        <f>+SUMIF(技ログ!C:C,A65,技ログ!I:I)</f>
        <v>0</v>
      </c>
      <c r="K65">
        <f>+COUNTIF(技ログ!C:C,技マスタ[[#This Row],[技ID]])</f>
        <v>2</v>
      </c>
    </row>
    <row r="66" spans="1:11">
      <c r="A66" t="s">
        <v>1663</v>
      </c>
      <c r="B66" s="3" t="s">
        <v>1721</v>
      </c>
      <c r="C66" t="s">
        <v>1311</v>
      </c>
      <c r="D66" s="6" t="str">
        <f>VLOOKUP(C66,キャラマスタ[],2,FALSE)</f>
        <v>はっちゃん</v>
      </c>
      <c r="E66" t="s">
        <v>623</v>
      </c>
      <c r="G66">
        <v>10</v>
      </c>
      <c r="H66">
        <v>85</v>
      </c>
      <c r="I66" s="29">
        <v>8.6999999999999993</v>
      </c>
      <c r="J66">
        <f>+SUMIF(技ログ!C:C,A66,技ログ!I:I)</f>
        <v>0</v>
      </c>
      <c r="K66">
        <f>+COUNTIF(技ログ!C:C,技マスタ[[#This Row],[技ID]])</f>
        <v>1</v>
      </c>
    </row>
    <row r="67" spans="1:11">
      <c r="A67" t="s">
        <v>1664</v>
      </c>
      <c r="B67" s="3" t="s">
        <v>1722</v>
      </c>
      <c r="C67" t="s">
        <v>308</v>
      </c>
      <c r="D67" s="6" t="str">
        <f>VLOOKUP(C67,キャラマスタ[],2,FALSE)</f>
        <v>ロロノア・ゾロ</v>
      </c>
      <c r="E67" t="s">
        <v>623</v>
      </c>
      <c r="G67">
        <v>10</v>
      </c>
      <c r="H67">
        <v>85</v>
      </c>
      <c r="I67" s="29">
        <v>8.6999999999999993</v>
      </c>
      <c r="J67">
        <f>+SUMIF(技ログ!C:C,A67,技ログ!I:I)</f>
        <v>0</v>
      </c>
      <c r="K67">
        <f>+COUNTIF(技ログ!C:C,技マスタ[[#This Row],[技ID]])</f>
        <v>1</v>
      </c>
    </row>
    <row r="68" spans="1:11">
      <c r="A68" t="s">
        <v>1665</v>
      </c>
      <c r="B68" s="3" t="s">
        <v>1723</v>
      </c>
      <c r="C68" t="s">
        <v>1311</v>
      </c>
      <c r="D68" s="6" t="str">
        <f>VLOOKUP(C68,キャラマスタ[],2,FALSE)</f>
        <v>はっちゃん</v>
      </c>
      <c r="E68" t="s">
        <v>623</v>
      </c>
      <c r="G68">
        <v>10</v>
      </c>
      <c r="H68">
        <v>85</v>
      </c>
      <c r="I68" s="29">
        <v>8.6999999999999993</v>
      </c>
      <c r="J68">
        <f>+SUMIF(技ログ!C:C,A68,技ログ!I:I)</f>
        <v>0</v>
      </c>
      <c r="K68">
        <f>+COUNTIF(技ログ!C:C,技マスタ[[#This Row],[技ID]])</f>
        <v>1</v>
      </c>
    </row>
    <row r="69" spans="1:11">
      <c r="A69" t="s">
        <v>1666</v>
      </c>
      <c r="B69" s="3" t="s">
        <v>1724</v>
      </c>
      <c r="C69" t="s">
        <v>1311</v>
      </c>
      <c r="D69" s="6" t="str">
        <f>VLOOKUP(C69,キャラマスタ[],2,FALSE)</f>
        <v>はっちゃん</v>
      </c>
      <c r="E69" t="s">
        <v>623</v>
      </c>
      <c r="G69">
        <v>10</v>
      </c>
      <c r="H69">
        <v>85</v>
      </c>
      <c r="I69" s="29">
        <v>8.6999999999999993</v>
      </c>
      <c r="J69">
        <f>+SUMIF(技ログ!C:C,A69,技ログ!I:I)</f>
        <v>0</v>
      </c>
      <c r="K69">
        <f>+COUNTIF(技ログ!C:C,技マスタ[[#This Row],[技ID]])</f>
        <v>1</v>
      </c>
    </row>
    <row r="70" spans="1:11">
      <c r="A70" t="s">
        <v>1667</v>
      </c>
      <c r="B70" s="3" t="s">
        <v>1673</v>
      </c>
      <c r="C70" t="s">
        <v>308</v>
      </c>
      <c r="D70" s="6" t="str">
        <f>VLOOKUP(C70,キャラマスタ[],2,FALSE)</f>
        <v>ロロノア・ゾロ</v>
      </c>
      <c r="E70" t="s">
        <v>623</v>
      </c>
      <c r="G70">
        <v>10</v>
      </c>
      <c r="H70">
        <v>85</v>
      </c>
      <c r="I70" s="29">
        <v>8.6999999999999993</v>
      </c>
      <c r="J70">
        <f>+SUMIF(技ログ!C:C,A70,技ログ!I:I)</f>
        <v>1</v>
      </c>
      <c r="K70">
        <f>+COUNTIF(技ログ!C:C,技マスタ[[#This Row],[技ID]])</f>
        <v>1</v>
      </c>
    </row>
    <row r="71" spans="1:11">
      <c r="A71" t="s">
        <v>1668</v>
      </c>
      <c r="B71" s="3" t="s">
        <v>1727</v>
      </c>
      <c r="C71" t="s">
        <v>1455</v>
      </c>
      <c r="D71" s="6" t="str">
        <f>VLOOKUP(C71,キャラマスタ[],2,FALSE)</f>
        <v>クロオビ</v>
      </c>
      <c r="E71" t="s">
        <v>430</v>
      </c>
      <c r="G71">
        <v>10</v>
      </c>
      <c r="H71">
        <v>86</v>
      </c>
      <c r="I71" s="29">
        <v>8.6999999999999993</v>
      </c>
      <c r="J71">
        <f>+SUMIF(技ログ!C:C,A71,技ログ!I:I)</f>
        <v>0</v>
      </c>
      <c r="K71">
        <f>+COUNTIF(技ログ!C:C,技マスタ[[#This Row],[技ID]])</f>
        <v>1</v>
      </c>
    </row>
    <row r="72" spans="1:11">
      <c r="A72" t="s">
        <v>1674</v>
      </c>
      <c r="B72" s="3" t="s">
        <v>1728</v>
      </c>
      <c r="C72" t="s">
        <v>1455</v>
      </c>
      <c r="D72" s="6" t="str">
        <f>VLOOKUP(C72,キャラマスタ[],2,FALSE)</f>
        <v>クロオビ</v>
      </c>
      <c r="E72" t="s">
        <v>430</v>
      </c>
      <c r="G72">
        <v>10</v>
      </c>
      <c r="H72">
        <v>86</v>
      </c>
      <c r="I72" s="29">
        <v>8.6999999999999993</v>
      </c>
      <c r="J72">
        <f>+SUMIF(技ログ!C:C,A72,技ログ!I:I)</f>
        <v>0</v>
      </c>
      <c r="K72">
        <f>+COUNTIF(技ログ!C:C,技マスタ[[#This Row],[技ID]])</f>
        <v>1</v>
      </c>
    </row>
    <row r="73" spans="1:11">
      <c r="A73" t="s">
        <v>1675</v>
      </c>
      <c r="B73" s="3" t="s">
        <v>1725</v>
      </c>
      <c r="C73" t="s">
        <v>1455</v>
      </c>
      <c r="D73" s="6" t="str">
        <f>VLOOKUP(C73,キャラマスタ[],2,FALSE)</f>
        <v>クロオビ</v>
      </c>
      <c r="E73" t="s">
        <v>430</v>
      </c>
      <c r="G73">
        <v>10</v>
      </c>
      <c r="H73">
        <v>86</v>
      </c>
      <c r="I73" s="29">
        <v>8.6999999999999993</v>
      </c>
      <c r="J73">
        <f>+SUMIF(技ログ!C:C,A73,技ログ!I:I)</f>
        <v>0</v>
      </c>
      <c r="K73">
        <f>+COUNTIF(技ログ!C:C,技マスタ[[#This Row],[技ID]])</f>
        <v>1</v>
      </c>
    </row>
    <row r="74" spans="1:11">
      <c r="A74" t="s">
        <v>1676</v>
      </c>
      <c r="B74" s="3" t="s">
        <v>1730</v>
      </c>
      <c r="C74" t="s">
        <v>1455</v>
      </c>
      <c r="D74" s="6" t="str">
        <f>VLOOKUP(C74,キャラマスタ[],2,FALSE)</f>
        <v>クロオビ</v>
      </c>
      <c r="E74" t="s">
        <v>430</v>
      </c>
      <c r="G74">
        <v>10</v>
      </c>
      <c r="H74">
        <v>86</v>
      </c>
      <c r="I74" s="29">
        <v>8.6999999999999993</v>
      </c>
      <c r="J74">
        <f>+SUMIF(技ログ!C:C,A74,技ログ!I:I)</f>
        <v>0</v>
      </c>
      <c r="K74">
        <f>+COUNTIF(技ログ!C:C,技マスタ[[#This Row],[技ID]])</f>
        <v>1</v>
      </c>
    </row>
    <row r="75" spans="1:11">
      <c r="A75" t="s">
        <v>1677</v>
      </c>
      <c r="B75" s="3" t="s">
        <v>1731</v>
      </c>
      <c r="C75" t="s">
        <v>1455</v>
      </c>
      <c r="D75" s="6" t="str">
        <f>VLOOKUP(C75,キャラマスタ[],2,FALSE)</f>
        <v>クロオビ</v>
      </c>
      <c r="E75" t="s">
        <v>430</v>
      </c>
      <c r="G75">
        <v>10</v>
      </c>
      <c r="H75">
        <v>86</v>
      </c>
      <c r="I75" s="29">
        <v>8.6999999999999993</v>
      </c>
      <c r="J75">
        <f>+SUMIF(技ログ!C:C,A75,技ログ!I:I)</f>
        <v>0</v>
      </c>
      <c r="K75">
        <f>+COUNTIF(技ログ!C:C,技マスタ[[#This Row],[技ID]])</f>
        <v>1</v>
      </c>
    </row>
    <row r="76" spans="1:11">
      <c r="A76" t="s">
        <v>1678</v>
      </c>
      <c r="B76" s="3" t="s">
        <v>1732</v>
      </c>
      <c r="C76" t="s">
        <v>1455</v>
      </c>
      <c r="D76" s="6" t="str">
        <f>VLOOKUP(C76,キャラマスタ[],2,FALSE)</f>
        <v>クロオビ</v>
      </c>
      <c r="E76" t="s">
        <v>430</v>
      </c>
      <c r="G76">
        <v>10</v>
      </c>
      <c r="H76">
        <v>86</v>
      </c>
      <c r="I76" s="29">
        <v>8.6999999999999993</v>
      </c>
      <c r="J76">
        <f>+SUMIF(技ログ!C:C,A76,技ログ!I:I)</f>
        <v>0</v>
      </c>
      <c r="K76">
        <f>+COUNTIF(技ログ!C:C,技マスタ[[#This Row],[技ID]])</f>
        <v>1</v>
      </c>
    </row>
    <row r="77" spans="1:11">
      <c r="A77" t="s">
        <v>1679</v>
      </c>
      <c r="B77" s="3" t="s">
        <v>1729</v>
      </c>
      <c r="C77" t="s">
        <v>1455</v>
      </c>
      <c r="D77" s="6" t="str">
        <f>VLOOKUP(C77,キャラマスタ[],2,FALSE)</f>
        <v>クロオビ</v>
      </c>
      <c r="E77" t="s">
        <v>430</v>
      </c>
      <c r="G77">
        <v>10</v>
      </c>
      <c r="H77">
        <v>86</v>
      </c>
      <c r="I77" s="29">
        <v>8.6999999999999993</v>
      </c>
      <c r="J77">
        <f>+SUMIF(技ログ!C:C,A77,技ログ!I:I)</f>
        <v>0</v>
      </c>
      <c r="K77">
        <f>+COUNTIF(技ログ!C:C,技マスタ[[#This Row],[技ID]])</f>
        <v>1</v>
      </c>
    </row>
    <row r="78" spans="1:11">
      <c r="A78" t="s">
        <v>1680</v>
      </c>
      <c r="B78" s="3" t="s">
        <v>1705</v>
      </c>
      <c r="C78" t="s">
        <v>942</v>
      </c>
      <c r="D78" s="6" t="str">
        <f>VLOOKUP(C78,キャラマスタ[],2,FALSE)</f>
        <v>サンジ</v>
      </c>
      <c r="E78" t="s">
        <v>430</v>
      </c>
      <c r="G78">
        <v>10</v>
      </c>
      <c r="H78">
        <v>86</v>
      </c>
      <c r="I78" s="29">
        <v>8.6999999999999993</v>
      </c>
      <c r="J78">
        <f>+SUMIF(技ログ!C:C,A78,技ログ!I:I)</f>
        <v>0</v>
      </c>
      <c r="K78">
        <f>+COUNTIF(技ログ!C:C,技マスタ[[#This Row],[技ID]])</f>
        <v>1</v>
      </c>
    </row>
    <row r="79" spans="1:11">
      <c r="A79" t="s">
        <v>1681</v>
      </c>
      <c r="B79" s="3" t="s">
        <v>1706</v>
      </c>
      <c r="C79" t="s">
        <v>942</v>
      </c>
      <c r="D79" s="6" t="str">
        <f>VLOOKUP(C79,キャラマスタ[],2,FALSE)</f>
        <v>サンジ</v>
      </c>
      <c r="E79" t="s">
        <v>430</v>
      </c>
      <c r="G79">
        <v>10</v>
      </c>
      <c r="H79">
        <v>86</v>
      </c>
      <c r="I79" s="29">
        <v>8.6999999999999993</v>
      </c>
      <c r="J79">
        <f>+SUMIF(技ログ!C:C,A79,技ログ!I:I)</f>
        <v>0</v>
      </c>
      <c r="K79">
        <f>+COUNTIF(技ログ!C:C,技マスタ[[#This Row],[技ID]])</f>
        <v>1</v>
      </c>
    </row>
    <row r="80" spans="1:11">
      <c r="A80" t="s">
        <v>1682</v>
      </c>
      <c r="B80" s="3" t="s">
        <v>1707</v>
      </c>
      <c r="C80" t="s">
        <v>942</v>
      </c>
      <c r="D80" s="6" t="str">
        <f>VLOOKUP(C80,キャラマスタ[],2,FALSE)</f>
        <v>サンジ</v>
      </c>
      <c r="E80" t="s">
        <v>430</v>
      </c>
      <c r="G80">
        <v>10</v>
      </c>
      <c r="H80">
        <v>86</v>
      </c>
      <c r="I80" s="29">
        <v>8.6999999999999993</v>
      </c>
      <c r="J80">
        <f>+SUMIF(技ログ!C:C,A80,技ログ!I:I)</f>
        <v>0</v>
      </c>
      <c r="K80">
        <f>+COUNTIF(技ログ!C:C,技マスタ[[#This Row],[技ID]])</f>
        <v>1</v>
      </c>
    </row>
    <row r="81" spans="1:11">
      <c r="A81" t="s">
        <v>1683</v>
      </c>
      <c r="B81" s="3" t="s">
        <v>1708</v>
      </c>
      <c r="C81" t="s">
        <v>942</v>
      </c>
      <c r="D81" s="6" t="str">
        <f>VLOOKUP(C81,キャラマスタ[],2,FALSE)</f>
        <v>サンジ</v>
      </c>
      <c r="E81" t="s">
        <v>430</v>
      </c>
      <c r="G81">
        <v>10</v>
      </c>
      <c r="H81">
        <v>86</v>
      </c>
      <c r="I81" s="29">
        <v>8.6999999999999993</v>
      </c>
      <c r="J81">
        <f>+SUMIF(技ログ!C:C,A81,技ログ!I:I)</f>
        <v>0</v>
      </c>
      <c r="K81">
        <f>+COUNTIF(技ログ!C:C,技マスタ[[#This Row],[技ID]])</f>
        <v>1</v>
      </c>
    </row>
    <row r="82" spans="1:11">
      <c r="A82" t="s">
        <v>1685</v>
      </c>
      <c r="B82" s="3" t="s">
        <v>1709</v>
      </c>
      <c r="C82" t="s">
        <v>942</v>
      </c>
      <c r="D82" s="6" t="str">
        <f>VLOOKUP(C82,キャラマスタ[],2,FALSE)</f>
        <v>サンジ</v>
      </c>
      <c r="E82" t="s">
        <v>430</v>
      </c>
      <c r="G82">
        <v>10</v>
      </c>
      <c r="H82">
        <v>86</v>
      </c>
      <c r="I82" s="29">
        <v>8.6999999999999993</v>
      </c>
      <c r="J82">
        <f>+SUMIF(技ログ!C:C,A82,技ログ!I:I)</f>
        <v>0</v>
      </c>
      <c r="K82">
        <f>+COUNTIF(技ログ!C:C,技マスタ[[#This Row],[技ID]])</f>
        <v>1</v>
      </c>
    </row>
    <row r="83" spans="1:11">
      <c r="A83" t="s">
        <v>1686</v>
      </c>
      <c r="B83" s="3" t="s">
        <v>1710</v>
      </c>
      <c r="C83" t="s">
        <v>942</v>
      </c>
      <c r="D83" s="6" t="str">
        <f>VLOOKUP(C83,キャラマスタ[],2,FALSE)</f>
        <v>サンジ</v>
      </c>
      <c r="E83" t="s">
        <v>430</v>
      </c>
      <c r="G83">
        <v>10</v>
      </c>
      <c r="H83">
        <v>86</v>
      </c>
      <c r="I83" s="29">
        <v>8.6999999999999993</v>
      </c>
      <c r="J83">
        <f>+SUMIF(技ログ!C:C,A83,技ログ!I:I)</f>
        <v>0</v>
      </c>
      <c r="K83">
        <f>+COUNTIF(技ログ!C:C,技マスタ[[#This Row],[技ID]])</f>
        <v>1</v>
      </c>
    </row>
    <row r="84" spans="1:11">
      <c r="A84" t="s">
        <v>1687</v>
      </c>
      <c r="B84" s="3" t="s">
        <v>1684</v>
      </c>
      <c r="C84" t="s">
        <v>942</v>
      </c>
      <c r="D84" s="6" t="str">
        <f>VLOOKUP(C84,キャラマスタ[],2,FALSE)</f>
        <v>サンジ</v>
      </c>
      <c r="E84" t="s">
        <v>430</v>
      </c>
      <c r="G84">
        <v>10</v>
      </c>
      <c r="H84">
        <v>86</v>
      </c>
      <c r="I84" s="29">
        <v>8.6999999999999993</v>
      </c>
      <c r="J84">
        <f>+SUMIF(技ログ!C:C,A84,技ログ!I:I)</f>
        <v>1</v>
      </c>
      <c r="K84">
        <f>+COUNTIF(技ログ!C:C,技マスタ[[#This Row],[技ID]])</f>
        <v>1</v>
      </c>
    </row>
    <row r="85" spans="1:11">
      <c r="A85" t="s">
        <v>1688</v>
      </c>
      <c r="B85" s="3" t="s">
        <v>1733</v>
      </c>
      <c r="C85" t="s">
        <v>1455</v>
      </c>
      <c r="D85" s="6" t="str">
        <f>VLOOKUP(C85,キャラマスタ[],2,FALSE)</f>
        <v>クロオビ</v>
      </c>
      <c r="E85" t="s">
        <v>430</v>
      </c>
      <c r="G85">
        <v>10</v>
      </c>
      <c r="H85">
        <v>86</v>
      </c>
      <c r="I85" s="29">
        <v>8.6999999999999993</v>
      </c>
      <c r="J85">
        <f>+SUMIF(技ログ!C:C,A85,技ログ!I:I)</f>
        <v>0</v>
      </c>
      <c r="K85">
        <f>+COUNTIF(技ログ!C:C,技マスタ[[#This Row],[技ID]])</f>
        <v>1</v>
      </c>
    </row>
    <row r="86" spans="1:11">
      <c r="A86" t="s">
        <v>1689</v>
      </c>
      <c r="B86" t="s">
        <v>1726</v>
      </c>
      <c r="C86" t="s">
        <v>718</v>
      </c>
      <c r="D86" s="6" t="str">
        <f>VLOOKUP(C86,キャラマスタ[],2,FALSE)</f>
        <v>ウソップ</v>
      </c>
      <c r="E86" t="s">
        <v>611</v>
      </c>
      <c r="G86">
        <v>10</v>
      </c>
      <c r="H86">
        <v>87</v>
      </c>
      <c r="I86" s="29">
        <v>8.6999999999999993</v>
      </c>
      <c r="J86">
        <f>+SUMIF(技ログ!C:C,A86,技ログ!I:I)</f>
        <v>0</v>
      </c>
      <c r="K86">
        <f>+COUNTIF(技ログ!C:C,技マスタ[[#This Row],[技ID]])</f>
        <v>1</v>
      </c>
    </row>
    <row r="87" spans="1:11">
      <c r="A87" t="s">
        <v>1690</v>
      </c>
      <c r="B87" s="3" t="s">
        <v>1711</v>
      </c>
      <c r="C87" t="s">
        <v>718</v>
      </c>
      <c r="D87" s="6" t="str">
        <f>VLOOKUP(C87,キャラマスタ[],2,FALSE)</f>
        <v>ウソップ</v>
      </c>
      <c r="E87" t="s">
        <v>430</v>
      </c>
      <c r="G87">
        <v>10</v>
      </c>
      <c r="H87">
        <v>87</v>
      </c>
      <c r="I87" s="29">
        <v>8.6999999999999993</v>
      </c>
      <c r="J87">
        <f>+SUMIF(技ログ!C:C,A87,技ログ!I:I)</f>
        <v>1</v>
      </c>
      <c r="K87">
        <f>+COUNTIF(技ログ!C:C,技マスタ[[#This Row],[技ID]])</f>
        <v>6</v>
      </c>
    </row>
    <row r="88" spans="1:11">
      <c r="A88" t="s">
        <v>1691</v>
      </c>
      <c r="B88" s="3" t="s">
        <v>1712</v>
      </c>
      <c r="C88" t="s">
        <v>718</v>
      </c>
      <c r="D88" s="6" t="str">
        <f>VLOOKUP(C88,キャラマスタ[],2,FALSE)</f>
        <v>ウソップ</v>
      </c>
      <c r="E88" t="s">
        <v>611</v>
      </c>
      <c r="G88">
        <v>10</v>
      </c>
      <c r="H88">
        <v>87</v>
      </c>
      <c r="I88" s="29">
        <v>8.6999999999999993</v>
      </c>
      <c r="J88">
        <f>+SUMIF(技ログ!C:C,A88,技ログ!I:I)</f>
        <v>0</v>
      </c>
      <c r="K88">
        <f>+COUNTIF(技ログ!C:C,技マスタ[[#This Row],[技ID]])</f>
        <v>3</v>
      </c>
    </row>
    <row r="89" spans="1:11">
      <c r="A89" t="s">
        <v>1692</v>
      </c>
      <c r="B89" s="3" t="s">
        <v>1713</v>
      </c>
      <c r="C89" t="s">
        <v>1454</v>
      </c>
      <c r="D89" s="6" t="str">
        <f>VLOOKUP(C89,キャラマスタ[],2,FALSE)</f>
        <v>チュウ</v>
      </c>
      <c r="E89" t="s">
        <v>611</v>
      </c>
      <c r="G89">
        <v>10</v>
      </c>
      <c r="H89">
        <v>87</v>
      </c>
      <c r="I89" s="29">
        <v>8.6999999999999993</v>
      </c>
      <c r="J89">
        <f>+SUMIF(技ログ!C:C,A89,技ログ!I:I)</f>
        <v>0</v>
      </c>
      <c r="K89">
        <f>+COUNTIF(技ログ!C:C,技マスタ[[#This Row],[技ID]])</f>
        <v>1</v>
      </c>
    </row>
    <row r="90" spans="1:11">
      <c r="A90" t="s">
        <v>1693</v>
      </c>
      <c r="B90" s="3" t="s">
        <v>1714</v>
      </c>
      <c r="C90" t="s">
        <v>1454</v>
      </c>
      <c r="D90" s="6" t="str">
        <f>VLOOKUP(C90,キャラマスタ[],2,FALSE)</f>
        <v>チュウ</v>
      </c>
      <c r="E90" t="s">
        <v>611</v>
      </c>
      <c r="G90">
        <v>10</v>
      </c>
      <c r="H90">
        <v>87</v>
      </c>
      <c r="I90" s="29">
        <v>8.6999999999999993</v>
      </c>
      <c r="J90">
        <f>+SUMIF(技ログ!C:C,A90,技ログ!I:I)</f>
        <v>0</v>
      </c>
      <c r="K90">
        <f>+COUNTIF(技ログ!C:C,技マスタ[[#This Row],[技ID]])</f>
        <v>1</v>
      </c>
    </row>
    <row r="91" spans="1:11">
      <c r="A91" t="s">
        <v>1694</v>
      </c>
      <c r="B91" s="3" t="s">
        <v>1715</v>
      </c>
      <c r="C91" t="s">
        <v>1310</v>
      </c>
      <c r="D91" s="6" t="str">
        <f>VLOOKUP(C91,キャラマスタ[],2,FALSE)</f>
        <v>アーロン</v>
      </c>
      <c r="E91" t="s">
        <v>611</v>
      </c>
      <c r="G91">
        <v>10</v>
      </c>
      <c r="H91">
        <v>88</v>
      </c>
      <c r="I91" s="29">
        <v>8.6999999999999993</v>
      </c>
      <c r="J91">
        <f>+SUMIF(技ログ!C:C,A91,技ログ!I:I)</f>
        <v>0</v>
      </c>
      <c r="K91">
        <f>+COUNTIF(技ログ!C:C,技マスタ[[#This Row],[技ID]])</f>
        <v>1</v>
      </c>
    </row>
    <row r="92" spans="1:11">
      <c r="A92" t="s">
        <v>1695</v>
      </c>
      <c r="B92" s="3" t="s">
        <v>1716</v>
      </c>
      <c r="C92" t="s">
        <v>942</v>
      </c>
      <c r="D92" s="6" t="str">
        <f>VLOOKUP(C92,キャラマスタ[],2,FALSE)</f>
        <v>サンジ</v>
      </c>
      <c r="E92" t="s">
        <v>430</v>
      </c>
      <c r="G92">
        <v>10</v>
      </c>
      <c r="H92">
        <v>88</v>
      </c>
      <c r="I92" s="29">
        <v>8.6999999999999993</v>
      </c>
      <c r="J92">
        <f>+SUMIF(技ログ!C:C,A92,技ログ!I:I)</f>
        <v>0</v>
      </c>
      <c r="K92">
        <f>+COUNTIF(技ログ!C:C,技マスタ[[#This Row],[技ID]])</f>
        <v>1</v>
      </c>
    </row>
    <row r="93" spans="1:11">
      <c r="A93" t="s">
        <v>1696</v>
      </c>
      <c r="B93" s="3" t="s">
        <v>1717</v>
      </c>
      <c r="C93" t="s">
        <v>1310</v>
      </c>
      <c r="D93" s="6" t="str">
        <f>VLOOKUP(C93,キャラマスタ[],2,FALSE)</f>
        <v>アーロン</v>
      </c>
      <c r="E93" t="s">
        <v>623</v>
      </c>
      <c r="G93">
        <v>10</v>
      </c>
      <c r="H93">
        <v>90</v>
      </c>
      <c r="I93" s="29">
        <v>8.6999999999999993</v>
      </c>
      <c r="J93">
        <f>+SUMIF(技ログ!C:C,A93,技ログ!I:I)</f>
        <v>0</v>
      </c>
      <c r="K93">
        <f>+COUNTIF(技ログ!C:C,技マスタ[[#This Row],[技ID]])</f>
        <v>3</v>
      </c>
    </row>
    <row r="94" spans="1:11">
      <c r="A94" t="s">
        <v>1697</v>
      </c>
      <c r="B94" t="s">
        <v>1828</v>
      </c>
      <c r="C94" t="s">
        <v>1310</v>
      </c>
      <c r="D94" s="6" t="str">
        <f>VLOOKUP(C94,キャラマスタ[],2,FALSE)</f>
        <v>アーロン</v>
      </c>
      <c r="E94" t="s">
        <v>623</v>
      </c>
      <c r="G94">
        <v>11</v>
      </c>
      <c r="H94">
        <v>91</v>
      </c>
      <c r="I94" s="29">
        <v>8.6999999999999993</v>
      </c>
      <c r="J94">
        <f>+SUMIF(技ログ!C:C,A94,技ログ!I:I)</f>
        <v>0</v>
      </c>
      <c r="K94">
        <f>+COUNTIF(技ログ!C:C,技マスタ[[#This Row],[技ID]])</f>
        <v>5</v>
      </c>
    </row>
    <row r="95" spans="1:11">
      <c r="A95" t="s">
        <v>1698</v>
      </c>
      <c r="B95" t="s">
        <v>1829</v>
      </c>
      <c r="C95" t="s">
        <v>288</v>
      </c>
      <c r="D95" s="6" t="str">
        <f>VLOOKUP(C95,キャラマスタ[],2,FALSE)</f>
        <v>モンキー・D・ルフィ</v>
      </c>
      <c r="E95" t="s">
        <v>430</v>
      </c>
      <c r="F95" t="s">
        <v>399</v>
      </c>
      <c r="G95">
        <v>11</v>
      </c>
      <c r="H95">
        <v>92</v>
      </c>
      <c r="I95" s="29">
        <v>8.6999999999999993</v>
      </c>
      <c r="J95">
        <f>+SUMIF(技ログ!C:C,A95,技ログ!I:I)</f>
        <v>0</v>
      </c>
      <c r="K95">
        <f>+COUNTIF(技ログ!C:C,技マスタ[[#This Row],[技ID]])</f>
        <v>1</v>
      </c>
    </row>
    <row r="96" spans="1:11">
      <c r="A96" t="s">
        <v>1699</v>
      </c>
      <c r="B96" t="s">
        <v>1830</v>
      </c>
      <c r="C96" t="s">
        <v>288</v>
      </c>
      <c r="D96" s="6" t="str">
        <f>VLOOKUP(C96,キャラマスタ[],2,FALSE)</f>
        <v>モンキー・D・ルフィ</v>
      </c>
      <c r="E96" t="s">
        <v>430</v>
      </c>
      <c r="F96" t="s">
        <v>399</v>
      </c>
      <c r="G96">
        <v>11</v>
      </c>
      <c r="H96">
        <v>92</v>
      </c>
      <c r="I96" s="29">
        <v>8.6999999999999993</v>
      </c>
      <c r="J96">
        <f>+SUMIF(技ログ!C:C,A96,技ログ!I:I)</f>
        <v>0</v>
      </c>
      <c r="K96">
        <f>+COUNTIF(技ログ!C:C,技マスタ[[#This Row],[技ID]])</f>
        <v>1</v>
      </c>
    </row>
    <row r="97" spans="1:11">
      <c r="A97" t="s">
        <v>1700</v>
      </c>
      <c r="B97" t="s">
        <v>1831</v>
      </c>
      <c r="C97" t="s">
        <v>288</v>
      </c>
      <c r="D97" s="6" t="str">
        <f>VLOOKUP(C97,キャラマスタ[],2,FALSE)</f>
        <v>モンキー・D・ルフィ</v>
      </c>
      <c r="E97" t="s">
        <v>430</v>
      </c>
      <c r="F97" t="s">
        <v>399</v>
      </c>
      <c r="G97">
        <v>11</v>
      </c>
      <c r="H97">
        <v>92</v>
      </c>
      <c r="I97" s="29">
        <v>8.6999999999999993</v>
      </c>
      <c r="J97">
        <f>+SUMIF(技ログ!C:C,A97,技ログ!I:I)</f>
        <v>0</v>
      </c>
      <c r="K97">
        <f>+COUNTIF(技ログ!C:C,技マスタ[[#This Row],[技ID]])</f>
        <v>1</v>
      </c>
    </row>
    <row r="98" spans="1:11">
      <c r="A98" t="s">
        <v>1701</v>
      </c>
      <c r="B98" t="s">
        <v>1832</v>
      </c>
      <c r="C98" t="s">
        <v>1310</v>
      </c>
      <c r="D98" s="6" t="str">
        <f>VLOOKUP(C98,キャラマスタ[],2,FALSE)</f>
        <v>アーロン</v>
      </c>
      <c r="E98" t="s">
        <v>623</v>
      </c>
      <c r="G98">
        <v>11</v>
      </c>
      <c r="H98">
        <v>93</v>
      </c>
      <c r="I98" s="29">
        <v>8.6999999999999993</v>
      </c>
      <c r="J98">
        <f>+SUMIF(技ログ!C:C,A98,技ログ!I:I)</f>
        <v>0</v>
      </c>
      <c r="K98">
        <f>+COUNTIF(技ログ!C:C,技マスタ[[#This Row],[技ID]])</f>
        <v>1</v>
      </c>
    </row>
    <row r="99" spans="1:11">
      <c r="A99" t="s">
        <v>1702</v>
      </c>
      <c r="B99" t="s">
        <v>1980</v>
      </c>
      <c r="C99" t="s">
        <v>570</v>
      </c>
      <c r="D99" s="6" t="str">
        <f>VLOOKUP(C99,キャラマスタ[],2,FALSE)</f>
        <v>バギー</v>
      </c>
      <c r="E99" t="s">
        <v>431</v>
      </c>
      <c r="F99" t="s">
        <v>592</v>
      </c>
      <c r="G99">
        <v>12</v>
      </c>
      <c r="H99">
        <v>100</v>
      </c>
      <c r="I99" s="29">
        <v>11</v>
      </c>
      <c r="J99">
        <f>+SUMIF(技ログ!C:C,A99,技ログ!I:I)</f>
        <v>0</v>
      </c>
      <c r="K99">
        <f>+COUNTIF(技ログ!C:C,技マスタ[[#This Row],[技ID]])</f>
        <v>1</v>
      </c>
    </row>
    <row r="100" spans="1:11">
      <c r="A100" t="s">
        <v>1703</v>
      </c>
      <c r="B100" t="s">
        <v>1981</v>
      </c>
      <c r="C100" t="s">
        <v>570</v>
      </c>
      <c r="D100" s="6" t="str">
        <f>VLOOKUP(C100,キャラマスタ[],2,FALSE)</f>
        <v>バギー</v>
      </c>
      <c r="E100" t="s">
        <v>616</v>
      </c>
      <c r="G100">
        <v>12</v>
      </c>
      <c r="H100">
        <v>100</v>
      </c>
      <c r="I100" s="29">
        <v>11</v>
      </c>
      <c r="J100">
        <f>+SUMIF(技ログ!C:C,A100,技ログ!I:I)</f>
        <v>0</v>
      </c>
      <c r="K100">
        <f>+COUNTIF(技ログ!C:C,技マスタ[[#This Row],[技ID]])</f>
        <v>1</v>
      </c>
    </row>
    <row r="101" spans="1:11">
      <c r="A101" t="s">
        <v>1704</v>
      </c>
      <c r="B101" t="s">
        <v>1982</v>
      </c>
      <c r="C101" t="s">
        <v>1992</v>
      </c>
      <c r="D101" s="6" t="str">
        <f>VLOOKUP(C101,キャラマスタ[],2,FALSE)</f>
        <v>アルビダ</v>
      </c>
      <c r="E101" t="s">
        <v>431</v>
      </c>
      <c r="F101" t="s">
        <v>1815</v>
      </c>
      <c r="G101">
        <v>12</v>
      </c>
      <c r="H101">
        <v>100</v>
      </c>
      <c r="I101" s="29">
        <v>11</v>
      </c>
      <c r="J101">
        <f>+SUMIF(技ログ!C:C,A101,技ログ!I:I)</f>
        <v>0</v>
      </c>
      <c r="K101">
        <f>+COUNTIF(技ログ!C:C,技マスタ[[#This Row],[技ID]])</f>
        <v>1</v>
      </c>
    </row>
    <row r="102" spans="1:11">
      <c r="A102" t="s">
        <v>1970</v>
      </c>
      <c r="B102" t="s">
        <v>1983</v>
      </c>
      <c r="C102" t="s">
        <v>1806</v>
      </c>
      <c r="D102" s="6" t="str">
        <f>VLOOKUP(C102,キャラマスタ[],2,FALSE)</f>
        <v>スモーカー</v>
      </c>
      <c r="E102" t="s">
        <v>616</v>
      </c>
      <c r="F102" t="s">
        <v>1816</v>
      </c>
      <c r="G102">
        <v>12</v>
      </c>
      <c r="H102">
        <v>100</v>
      </c>
      <c r="I102" s="29">
        <v>11</v>
      </c>
      <c r="J102">
        <f>+SUMIF(技ログ!C:C,A102,技ログ!I:I)</f>
        <v>0</v>
      </c>
      <c r="K102">
        <f>+COUNTIF(技ログ!C:C,技マスタ[[#This Row],[技ID]])</f>
        <v>2</v>
      </c>
    </row>
    <row r="103" spans="1:11">
      <c r="A103" t="s">
        <v>1971</v>
      </c>
      <c r="B103" t="s">
        <v>1985</v>
      </c>
      <c r="C103" t="s">
        <v>718</v>
      </c>
      <c r="D103" s="6" t="str">
        <f>VLOOKUP(C103,キャラマスタ[],2,FALSE)</f>
        <v>ウソップ</v>
      </c>
      <c r="E103" t="s">
        <v>611</v>
      </c>
      <c r="G103">
        <v>12</v>
      </c>
      <c r="H103">
        <v>100</v>
      </c>
      <c r="I103" s="29">
        <v>11</v>
      </c>
      <c r="J103">
        <f>+SUMIF(技ログ!C:C,A103,技ログ!I:I)</f>
        <v>0</v>
      </c>
      <c r="K103">
        <f>+COUNTIF(技ログ!C:C,技マスタ[[#This Row],[技ID]])</f>
        <v>1</v>
      </c>
    </row>
    <row r="104" spans="1:11">
      <c r="A104" t="s">
        <v>1972</v>
      </c>
      <c r="B104" t="s">
        <v>1984</v>
      </c>
      <c r="C104" t="s">
        <v>1806</v>
      </c>
      <c r="D104" s="6" t="str">
        <f>VLOOKUP(C104,キャラマスタ[],2,FALSE)</f>
        <v>スモーカー</v>
      </c>
      <c r="E104" t="s">
        <v>430</v>
      </c>
      <c r="F104" t="s">
        <v>1816</v>
      </c>
      <c r="G104">
        <v>12</v>
      </c>
      <c r="H104">
        <v>100</v>
      </c>
      <c r="I104" s="29">
        <v>11</v>
      </c>
      <c r="J104">
        <f>+SUMIF(技ログ!C:C,A104,技ログ!I:I)</f>
        <v>0</v>
      </c>
      <c r="K104">
        <f>+COUNTIF(技ログ!C:C,技マスタ[[#This Row],[技ID]])</f>
        <v>1</v>
      </c>
    </row>
    <row r="105" spans="1:11">
      <c r="A105" t="s">
        <v>1973</v>
      </c>
      <c r="B105" t="s">
        <v>1986</v>
      </c>
      <c r="C105" t="s">
        <v>288</v>
      </c>
      <c r="D105" s="6" t="str">
        <f>VLOOKUP(C105,キャラマスタ[],2,FALSE)</f>
        <v>モンキー・D・ルフィ</v>
      </c>
      <c r="E105" t="s">
        <v>616</v>
      </c>
      <c r="F105" t="s">
        <v>399</v>
      </c>
      <c r="G105">
        <v>12</v>
      </c>
      <c r="H105">
        <v>104</v>
      </c>
      <c r="I105" s="29">
        <v>11.5</v>
      </c>
      <c r="J105">
        <f>+SUMIF(技ログ!C:C,A105,技ログ!I:I)</f>
        <v>0</v>
      </c>
      <c r="K105">
        <f>+COUNTIF(技ログ!C:C,技マスタ[[#This Row],[技ID]])</f>
        <v>1</v>
      </c>
    </row>
    <row r="106" spans="1:11">
      <c r="A106" t="s">
        <v>1974</v>
      </c>
      <c r="B106" t="s">
        <v>1987</v>
      </c>
      <c r="C106" t="s">
        <v>1914</v>
      </c>
      <c r="D106" s="6" t="str">
        <f>VLOOKUP(C106,キャラマスタ[],2,FALSE)</f>
        <v>雪だるさん</v>
      </c>
      <c r="E106" t="s">
        <v>430</v>
      </c>
      <c r="G106">
        <v>12</v>
      </c>
      <c r="H106">
        <v>106</v>
      </c>
      <c r="I106" s="29">
        <v>11.7</v>
      </c>
      <c r="J106">
        <f>+SUMIF(技ログ!C:C,A106,技ログ!I:I)</f>
        <v>0</v>
      </c>
      <c r="K106">
        <f>+COUNTIF(技ログ!C:C,技マスタ[[#This Row],[技ID]])</f>
        <v>1</v>
      </c>
    </row>
    <row r="107" spans="1:11">
      <c r="A107" t="s">
        <v>1975</v>
      </c>
      <c r="B107" t="s">
        <v>1988</v>
      </c>
      <c r="C107" t="s">
        <v>1918</v>
      </c>
      <c r="D107" s="6" t="str">
        <f>VLOOKUP(C107,キャラマスタ[],2,FALSE)</f>
        <v>Mr.8</v>
      </c>
      <c r="E107" t="s">
        <v>611</v>
      </c>
      <c r="G107">
        <v>12</v>
      </c>
      <c r="H107">
        <v>107</v>
      </c>
      <c r="I107" s="29">
        <v>11.8</v>
      </c>
      <c r="J107">
        <f>+SUMIF(技ログ!C:C,A107,技ログ!I:I)</f>
        <v>0</v>
      </c>
      <c r="K107">
        <f>+COUNTIF(技ログ!C:C,技マスタ[[#This Row],[技ID]])</f>
        <v>3</v>
      </c>
    </row>
    <row r="108" spans="1:11">
      <c r="A108" t="s">
        <v>1976</v>
      </c>
      <c r="B108" t="s">
        <v>1989</v>
      </c>
      <c r="C108" t="s">
        <v>1916</v>
      </c>
      <c r="D108" s="6" t="str">
        <f>VLOOKUP(C108,キャラマスタ[],2,FALSE)</f>
        <v>ミス・キャサリーナ</v>
      </c>
      <c r="E108" t="s">
        <v>616</v>
      </c>
      <c r="G108">
        <v>12</v>
      </c>
      <c r="H108">
        <v>108</v>
      </c>
      <c r="I108" s="29">
        <v>11.8</v>
      </c>
      <c r="J108">
        <f>+SUMIF(技ログ!C:C,A108,技ログ!I:I)</f>
        <v>0</v>
      </c>
      <c r="K108">
        <f>+COUNTIF(技ログ!C:C,技マスタ[[#This Row],[技ID]])</f>
        <v>1</v>
      </c>
    </row>
    <row r="109" spans="1:11">
      <c r="A109" t="s">
        <v>1977</v>
      </c>
      <c r="B109" t="s">
        <v>1990</v>
      </c>
      <c r="C109" t="s">
        <v>308</v>
      </c>
      <c r="D109" s="6" t="str">
        <f>VLOOKUP(C109,キャラマスタ[],2,FALSE)</f>
        <v>ロロノア・ゾロ</v>
      </c>
      <c r="E109" t="s">
        <v>623</v>
      </c>
      <c r="G109">
        <v>12</v>
      </c>
      <c r="H109">
        <v>108</v>
      </c>
      <c r="I109" s="29">
        <v>11.8</v>
      </c>
      <c r="J109">
        <f>+SUMIF(技ログ!C:C,A109,技ログ!I:I)</f>
        <v>0</v>
      </c>
      <c r="K109">
        <f>+COUNTIF(技ログ!C:C,技マスタ[[#This Row],[技ID]])</f>
        <v>1</v>
      </c>
    </row>
    <row r="110" spans="1:11">
      <c r="A110" t="s">
        <v>1978</v>
      </c>
      <c r="B110" t="s">
        <v>1991</v>
      </c>
      <c r="C110" t="s">
        <v>1920</v>
      </c>
      <c r="D110" s="6" t="str">
        <f>VLOOKUP(C110,キャラマスタ[],2,FALSE)</f>
        <v>ミス・マンデー</v>
      </c>
      <c r="E110" t="s">
        <v>430</v>
      </c>
      <c r="G110">
        <v>12</v>
      </c>
      <c r="H110">
        <v>108</v>
      </c>
      <c r="I110" s="29">
        <v>11.8</v>
      </c>
      <c r="J110">
        <f>+SUMIF(技ログ!C:C,A110,技ログ!I:I)</f>
        <v>0</v>
      </c>
      <c r="K110">
        <f>+COUNTIF(技ログ!C:C,技マスタ[[#This Row],[技ID]])</f>
        <v>1</v>
      </c>
    </row>
    <row r="111" spans="1:11">
      <c r="A111" t="s">
        <v>1979</v>
      </c>
      <c r="B111" s="29" t="s">
        <v>2172</v>
      </c>
      <c r="C111" s="29" t="s">
        <v>1911</v>
      </c>
      <c r="D111" s="6" t="str">
        <f>VLOOKUP(C111,キャラマスタ[],2,FALSE)</f>
        <v>Mr.9</v>
      </c>
      <c r="E111" s="29" t="s">
        <v>430</v>
      </c>
      <c r="G111">
        <v>13</v>
      </c>
      <c r="H111">
        <v>109</v>
      </c>
      <c r="I111" s="29">
        <v>11.8</v>
      </c>
      <c r="J111">
        <f>+SUMIF(技ログ!C:C,A111,技ログ!I:I)</f>
        <v>0</v>
      </c>
      <c r="K111">
        <f>+COUNTIF(技ログ!C:C,技マスタ[[#This Row],[技ID]])</f>
        <v>2</v>
      </c>
    </row>
    <row r="112" spans="1:11">
      <c r="A112" s="29" t="s">
        <v>2162</v>
      </c>
      <c r="B112" s="29" t="s">
        <v>2173</v>
      </c>
      <c r="C112" s="29" t="s">
        <v>1910</v>
      </c>
      <c r="D112" s="6" t="str">
        <f>VLOOKUP(C112,キャラマスタ[],2,FALSE)</f>
        <v>ミス・ウェンズデー</v>
      </c>
      <c r="E112" s="29" t="s">
        <v>616</v>
      </c>
      <c r="F112" s="29"/>
      <c r="G112" s="29">
        <v>13</v>
      </c>
      <c r="H112" s="29">
        <v>109</v>
      </c>
      <c r="I112" s="29">
        <v>11.8</v>
      </c>
      <c r="J112" s="29">
        <f>+SUMIF(技ログ!C:C,A112,技ログ!I:I)</f>
        <v>0</v>
      </c>
      <c r="K112">
        <f>+COUNTIF(技ログ!C:C,技マスタ[[#This Row],[技ID]])</f>
        <v>1</v>
      </c>
    </row>
    <row r="113" spans="1:11">
      <c r="A113" s="29" t="s">
        <v>2163</v>
      </c>
      <c r="B113" s="29" t="s">
        <v>2174</v>
      </c>
      <c r="C113" s="29" t="s">
        <v>1910</v>
      </c>
      <c r="D113" s="6" t="str">
        <f>VLOOKUP(C113,キャラマスタ[],2,FALSE)</f>
        <v>ミス・ウェンズデー</v>
      </c>
      <c r="E113" s="29" t="s">
        <v>623</v>
      </c>
      <c r="F113" s="29"/>
      <c r="G113" s="29">
        <v>13</v>
      </c>
      <c r="H113" s="29">
        <v>109</v>
      </c>
      <c r="I113" s="29">
        <v>11.8</v>
      </c>
      <c r="J113" s="29">
        <f>+SUMIF(技ログ!C:C,A113,技ログ!I:I)</f>
        <v>0</v>
      </c>
      <c r="K113">
        <f>+COUNTIF(技ログ!C:C,技マスタ[[#This Row],[技ID]])</f>
        <v>1</v>
      </c>
    </row>
    <row r="114" spans="1:11">
      <c r="A114" s="29" t="s">
        <v>2164</v>
      </c>
      <c r="B114" s="29" t="s">
        <v>2175</v>
      </c>
      <c r="C114" s="29" t="s">
        <v>1911</v>
      </c>
      <c r="D114" s="6" t="str">
        <f>VLOOKUP(C114,キャラマスタ[],2,FALSE)</f>
        <v>Mr.9</v>
      </c>
      <c r="E114" s="29" t="s">
        <v>616</v>
      </c>
      <c r="F114" s="29"/>
      <c r="G114" s="29">
        <v>13</v>
      </c>
      <c r="H114" s="29">
        <v>109</v>
      </c>
      <c r="I114" s="29">
        <v>11.8</v>
      </c>
      <c r="J114" s="29">
        <f>+SUMIF(技ログ!C:C,A114,技ログ!I:I)</f>
        <v>0</v>
      </c>
      <c r="K114">
        <f>+COUNTIF(技ログ!C:C,技マスタ[[#This Row],[技ID]])</f>
        <v>1</v>
      </c>
    </row>
    <row r="115" spans="1:11">
      <c r="A115" s="29" t="s">
        <v>2165</v>
      </c>
      <c r="B115" s="29" t="s">
        <v>2176</v>
      </c>
      <c r="C115" s="29" t="s">
        <v>1918</v>
      </c>
      <c r="D115" s="6" t="str">
        <f>VLOOKUP(C115,キャラマスタ[],2,FALSE)</f>
        <v>Mr.8</v>
      </c>
      <c r="E115" s="29" t="s">
        <v>611</v>
      </c>
      <c r="F115" s="29"/>
      <c r="G115" s="29">
        <v>13</v>
      </c>
      <c r="H115" s="29">
        <v>109</v>
      </c>
      <c r="I115" s="29">
        <v>11.8</v>
      </c>
      <c r="J115" s="29">
        <f>+SUMIF(技ログ!C:C,A115,技ログ!I:I)</f>
        <v>0</v>
      </c>
      <c r="K115">
        <f>+COUNTIF(技ログ!C:C,技マスタ[[#This Row],[技ID]])</f>
        <v>2</v>
      </c>
    </row>
    <row r="116" spans="1:11">
      <c r="A116" s="29" t="s">
        <v>2166</v>
      </c>
      <c r="B116" s="29" t="s">
        <v>2177</v>
      </c>
      <c r="C116" s="29" t="s">
        <v>2072</v>
      </c>
      <c r="D116" s="6" t="str">
        <f>VLOOKUP(C116,キャラマスタ[],2,FALSE)</f>
        <v>Mr.5</v>
      </c>
      <c r="E116" s="29" t="s">
        <v>611</v>
      </c>
      <c r="F116" s="29"/>
      <c r="G116" s="29">
        <v>13</v>
      </c>
      <c r="H116" s="29">
        <v>110</v>
      </c>
      <c r="I116" s="29">
        <v>11.8</v>
      </c>
      <c r="J116" s="29">
        <f>+SUMIF(技ログ!C:C,A116,技ログ!I:I)</f>
        <v>1</v>
      </c>
      <c r="K116">
        <f>+COUNTIF(技ログ!C:C,技マスタ[[#This Row],[技ID]])</f>
        <v>2</v>
      </c>
    </row>
    <row r="117" spans="1:11">
      <c r="A117" s="29" t="s">
        <v>2167</v>
      </c>
      <c r="B117" s="29" t="s">
        <v>2178</v>
      </c>
      <c r="C117" s="29" t="s">
        <v>2073</v>
      </c>
      <c r="D117" s="6" t="str">
        <f>VLOOKUP(C117,キャラマスタ[],2,FALSE)</f>
        <v>ミス・バレンタイン</v>
      </c>
      <c r="E117" s="29" t="s">
        <v>430</v>
      </c>
      <c r="F117" s="29"/>
      <c r="G117" s="29">
        <v>13</v>
      </c>
      <c r="H117" s="29">
        <v>112</v>
      </c>
      <c r="I117" s="29">
        <v>11.8</v>
      </c>
      <c r="J117" s="29">
        <f>+SUMIF(技ログ!C:C,A117,技ログ!I:I)</f>
        <v>0</v>
      </c>
      <c r="K117">
        <f>+COUNTIF(技ログ!C:C,技マスタ[[#This Row],[技ID]])</f>
        <v>1</v>
      </c>
    </row>
    <row r="118" spans="1:11">
      <c r="A118" s="29" t="s">
        <v>2168</v>
      </c>
      <c r="B118" s="3"/>
      <c r="C118" s="29"/>
      <c r="D118" s="6" t="e">
        <f>VLOOKUP(C118,キャラマスタ[],2,FALSE)</f>
        <v>#N/A</v>
      </c>
      <c r="E118" s="29"/>
      <c r="F118" s="29"/>
      <c r="G118" s="29"/>
      <c r="H118" s="29"/>
      <c r="J118" s="29">
        <f>+SUMIF(技ログ!C:C,A118,技ログ!I:I)</f>
        <v>0</v>
      </c>
      <c r="K118">
        <f>+COUNTIF(技ログ!C:C,技マスタ[[#This Row],[技ID]])</f>
        <v>0</v>
      </c>
    </row>
    <row r="119" spans="1:11">
      <c r="A119" s="29" t="s">
        <v>2169</v>
      </c>
      <c r="B119" s="3"/>
      <c r="C119" s="29"/>
      <c r="D119" s="6" t="e">
        <f>VLOOKUP(C119,キャラマスタ[],2,FALSE)</f>
        <v>#N/A</v>
      </c>
      <c r="E119" s="29"/>
      <c r="F119" s="29"/>
      <c r="G119" s="29"/>
      <c r="H119" s="29"/>
      <c r="J119" s="29">
        <f>+SUMIF(技ログ!C:C,A119,技ログ!I:I)</f>
        <v>0</v>
      </c>
      <c r="K119">
        <f>+COUNTIF(技ログ!C:C,技マスタ[[#This Row],[技ID]])</f>
        <v>0</v>
      </c>
    </row>
    <row r="120" spans="1:11">
      <c r="A120" s="29" t="s">
        <v>2170</v>
      </c>
      <c r="B120" s="3"/>
      <c r="C120" s="29"/>
      <c r="D120" s="6" t="e">
        <f>VLOOKUP(C120,キャラマスタ[],2,FALSE)</f>
        <v>#N/A</v>
      </c>
      <c r="E120" s="29"/>
      <c r="F120" s="29"/>
      <c r="G120" s="29"/>
      <c r="H120" s="29"/>
      <c r="J120" s="29">
        <f>+SUMIF(技ログ!C:C,A120,技ログ!I:I)</f>
        <v>0</v>
      </c>
      <c r="K120">
        <f>+COUNTIF(技ログ!C:C,技マスタ[[#This Row],[技ID]])</f>
        <v>0</v>
      </c>
    </row>
    <row r="121" spans="1:11">
      <c r="A121" s="29" t="s">
        <v>2171</v>
      </c>
      <c r="B121" s="3"/>
      <c r="C121" s="29"/>
      <c r="D121" s="6" t="e">
        <f>VLOOKUP(C121,キャラマスタ[],2,FALSE)</f>
        <v>#N/A</v>
      </c>
      <c r="E121" s="29"/>
      <c r="F121" s="29"/>
      <c r="G121" s="29"/>
      <c r="H121" s="29"/>
      <c r="J121" s="29">
        <f>+SUMIF(技ログ!C:C,A121,技ログ!I:I)</f>
        <v>0</v>
      </c>
      <c r="K121">
        <f>+COUNTIF(技ログ!C:C,技マスタ[[#This Row],[技ID]])</f>
        <v>0</v>
      </c>
    </row>
  </sheetData>
  <phoneticPr fontId="1"/>
  <conditionalFormatting sqref="B1:B1048576">
    <cfRule type="duplicateValues" dxfId="0" priority="1"/>
  </conditionalFormatting>
  <pageMargins left="0.7" right="0.7" top="0.75" bottom="0.75" header="0.3" footer="0.3"/>
  <pageSetup paperSize="9" orientation="portrait"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422A-1A1C-423F-B275-3E63A5CBBAEB}">
  <sheetPr>
    <tabColor rgb="FFFFFF00"/>
  </sheetPr>
  <dimension ref="A1:D26"/>
  <sheetViews>
    <sheetView topLeftCell="A14" workbookViewId="0">
      <selection activeCell="A26" sqref="A26"/>
    </sheetView>
  </sheetViews>
  <sheetFormatPr defaultColWidth="8.875" defaultRowHeight="18.75"/>
  <cols>
    <col min="1" max="1" width="9.125" customWidth="1"/>
    <col min="2" max="2" width="13" bestFit="1" customWidth="1"/>
    <col min="3" max="3" width="12.875" customWidth="1"/>
  </cols>
  <sheetData>
    <row r="1" spans="1:4">
      <c r="A1" t="s">
        <v>435</v>
      </c>
      <c r="B1" t="s">
        <v>436</v>
      </c>
      <c r="C1" t="s">
        <v>437</v>
      </c>
      <c r="D1" t="s">
        <v>438</v>
      </c>
    </row>
    <row r="2" spans="1:4">
      <c r="A2" t="s">
        <v>439</v>
      </c>
      <c r="B2" t="s">
        <v>237</v>
      </c>
      <c r="C2" t="s">
        <v>411</v>
      </c>
      <c r="D2" t="s">
        <v>372</v>
      </c>
    </row>
    <row r="3" spans="1:4">
      <c r="A3" t="s">
        <v>440</v>
      </c>
      <c r="B3" t="s">
        <v>325</v>
      </c>
      <c r="C3" t="s">
        <v>289</v>
      </c>
      <c r="D3" t="s">
        <v>372</v>
      </c>
    </row>
    <row r="4" spans="1:4">
      <c r="A4" t="s">
        <v>441</v>
      </c>
      <c r="B4" t="s">
        <v>264</v>
      </c>
      <c r="C4" t="s">
        <v>453</v>
      </c>
      <c r="D4" t="s">
        <v>372</v>
      </c>
    </row>
    <row r="5" spans="1:4">
      <c r="A5" t="s">
        <v>442</v>
      </c>
      <c r="B5" t="s">
        <v>332</v>
      </c>
      <c r="C5" t="s">
        <v>410</v>
      </c>
      <c r="D5" t="s">
        <v>374</v>
      </c>
    </row>
    <row r="6" spans="1:4">
      <c r="A6" t="s">
        <v>443</v>
      </c>
      <c r="B6" t="s">
        <v>444</v>
      </c>
      <c r="C6" t="s">
        <v>433</v>
      </c>
      <c r="D6" t="s">
        <v>451</v>
      </c>
    </row>
    <row r="7" spans="1:4">
      <c r="A7" t="s">
        <v>446</v>
      </c>
      <c r="B7" t="s">
        <v>239</v>
      </c>
      <c r="D7" t="s">
        <v>452</v>
      </c>
    </row>
    <row r="8" spans="1:4">
      <c r="A8" t="s">
        <v>447</v>
      </c>
      <c r="B8" t="s">
        <v>508</v>
      </c>
      <c r="D8" t="s">
        <v>508</v>
      </c>
    </row>
    <row r="9" spans="1:4">
      <c r="A9" t="s">
        <v>448</v>
      </c>
      <c r="B9" t="s">
        <v>523</v>
      </c>
      <c r="D9" t="s">
        <v>523</v>
      </c>
    </row>
    <row r="10" spans="1:4">
      <c r="A10" t="s">
        <v>449</v>
      </c>
      <c r="B10" t="s">
        <v>593</v>
      </c>
      <c r="C10" t="s">
        <v>571</v>
      </c>
      <c r="D10" t="s">
        <v>372</v>
      </c>
    </row>
    <row r="11" spans="1:4">
      <c r="A11" t="s">
        <v>450</v>
      </c>
      <c r="B11" t="s">
        <v>735</v>
      </c>
      <c r="C11" t="s">
        <v>718</v>
      </c>
      <c r="D11" t="s">
        <v>736</v>
      </c>
    </row>
    <row r="12" spans="1:4">
      <c r="A12" t="s">
        <v>737</v>
      </c>
      <c r="B12" t="s">
        <v>692</v>
      </c>
      <c r="C12" t="s">
        <v>727</v>
      </c>
      <c r="D12" t="s">
        <v>372</v>
      </c>
    </row>
    <row r="13" spans="1:4">
      <c r="A13" t="s">
        <v>959</v>
      </c>
      <c r="B13" t="s">
        <v>908</v>
      </c>
      <c r="C13" t="s">
        <v>1086</v>
      </c>
      <c r="D13" t="s">
        <v>373</v>
      </c>
    </row>
    <row r="14" spans="1:4">
      <c r="A14" t="s">
        <v>960</v>
      </c>
      <c r="B14" t="s">
        <v>931</v>
      </c>
      <c r="C14" t="s">
        <v>1099</v>
      </c>
      <c r="D14" t="s">
        <v>372</v>
      </c>
    </row>
    <row r="15" spans="1:4">
      <c r="A15" t="s">
        <v>1144</v>
      </c>
      <c r="B15" t="s">
        <v>1140</v>
      </c>
      <c r="D15" t="s">
        <v>452</v>
      </c>
    </row>
    <row r="16" spans="1:4">
      <c r="A16" t="s">
        <v>1145</v>
      </c>
      <c r="B16" t="s">
        <v>1175</v>
      </c>
      <c r="C16" t="s">
        <v>1086</v>
      </c>
      <c r="D16" t="s">
        <v>372</v>
      </c>
    </row>
    <row r="17" spans="1:4">
      <c r="A17" t="s">
        <v>1291</v>
      </c>
      <c r="B17" t="s">
        <v>1296</v>
      </c>
      <c r="D17" t="s">
        <v>373</v>
      </c>
    </row>
    <row r="18" spans="1:4">
      <c r="A18" t="s">
        <v>1292</v>
      </c>
      <c r="B18" t="s">
        <v>1324</v>
      </c>
      <c r="C18" t="s">
        <v>1310</v>
      </c>
      <c r="D18" t="s">
        <v>372</v>
      </c>
    </row>
    <row r="19" spans="1:4">
      <c r="A19" t="s">
        <v>1293</v>
      </c>
      <c r="B19" t="s">
        <v>1923</v>
      </c>
      <c r="C19" t="s">
        <v>1907</v>
      </c>
      <c r="D19" t="s">
        <v>1993</v>
      </c>
    </row>
    <row r="20" spans="1:4">
      <c r="A20" t="s">
        <v>1294</v>
      </c>
      <c r="B20" s="29" t="s">
        <v>1945</v>
      </c>
      <c r="C20" s="29"/>
      <c r="D20" s="29" t="s">
        <v>1994</v>
      </c>
    </row>
    <row r="21" spans="1:4">
      <c r="A21" t="s">
        <v>1295</v>
      </c>
    </row>
    <row r="22" spans="1:4">
      <c r="A22" s="29" t="s">
        <v>2150</v>
      </c>
    </row>
    <row r="23" spans="1:4">
      <c r="A23" s="29" t="s">
        <v>2151</v>
      </c>
    </row>
    <row r="24" spans="1:4">
      <c r="A24" s="29" t="s">
        <v>2152</v>
      </c>
    </row>
    <row r="25" spans="1:4">
      <c r="A25" s="29" t="s">
        <v>2153</v>
      </c>
    </row>
    <row r="26" spans="1:4">
      <c r="A26" s="29" t="s">
        <v>2154</v>
      </c>
    </row>
  </sheetData>
  <phoneticPr fontId="1"/>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E48BC75-A507-C44C-A385-8A305077121D}">
          <x14:formula1>
            <xm:f>キャラクターマスタ!$A$2:$A$36</xm:f>
          </x14:formula1>
          <xm:sqref>C2:C7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FD38-2F97-4E6C-8F96-CD64A4B419E4}">
  <sheetPr>
    <tabColor theme="4" tint="0.59999389629810485"/>
  </sheetPr>
  <dimension ref="A1:K30"/>
  <sheetViews>
    <sheetView workbookViewId="0"/>
  </sheetViews>
  <sheetFormatPr defaultColWidth="8.875" defaultRowHeight="18.75"/>
  <cols>
    <col min="1" max="1" width="13.5" customWidth="1"/>
    <col min="2" max="2" width="20.625" style="6" bestFit="1" customWidth="1"/>
    <col min="3" max="3" width="10.5" style="5" bestFit="1" customWidth="1"/>
    <col min="4" max="4" width="25.125" customWidth="1"/>
    <col min="5" max="5" width="6.375" customWidth="1"/>
  </cols>
  <sheetData>
    <row r="1" spans="1:11">
      <c r="A1" t="s">
        <v>491</v>
      </c>
      <c r="B1" s="6" t="s">
        <v>492</v>
      </c>
      <c r="C1" s="5" t="s">
        <v>519</v>
      </c>
      <c r="D1" t="s">
        <v>162</v>
      </c>
      <c r="E1" t="s">
        <v>520</v>
      </c>
      <c r="F1" t="s">
        <v>92</v>
      </c>
      <c r="G1" t="s">
        <v>105</v>
      </c>
      <c r="H1" t="s">
        <v>361</v>
      </c>
      <c r="I1" t="s">
        <v>480</v>
      </c>
      <c r="J1" t="s">
        <v>161</v>
      </c>
      <c r="K1" t="s">
        <v>235</v>
      </c>
    </row>
    <row r="2" spans="1:11">
      <c r="A2" t="s">
        <v>288</v>
      </c>
      <c r="B2" s="6" t="str">
        <f>VLOOKUP(懸賞金・肩書ログ!A2,キャラマスタ[],2,FALSE)</f>
        <v>モンキー・D・ルフィ</v>
      </c>
      <c r="D2" t="s">
        <v>35</v>
      </c>
      <c r="E2" t="s">
        <v>372</v>
      </c>
      <c r="F2">
        <v>1</v>
      </c>
      <c r="G2">
        <v>1</v>
      </c>
      <c r="H2">
        <v>0</v>
      </c>
      <c r="I2">
        <v>1</v>
      </c>
    </row>
    <row r="3" spans="1:11">
      <c r="A3" t="s">
        <v>289</v>
      </c>
      <c r="B3" s="6" t="str">
        <f>VLOOKUP(懸賞金・肩書ログ!A3,キャラマスタ[],2,FALSE)</f>
        <v>ゴール・D・ロジャー</v>
      </c>
      <c r="D3" t="s">
        <v>362</v>
      </c>
      <c r="E3" t="s">
        <v>372</v>
      </c>
      <c r="F3">
        <v>1</v>
      </c>
      <c r="G3">
        <v>1</v>
      </c>
      <c r="H3">
        <v>-22</v>
      </c>
      <c r="I3">
        <v>-8000</v>
      </c>
      <c r="K3" t="s">
        <v>516</v>
      </c>
    </row>
    <row r="4" spans="1:11">
      <c r="A4" t="s">
        <v>292</v>
      </c>
      <c r="B4" s="6" t="str">
        <f>VLOOKUP(懸賞金・肩書ログ!A4,キャラマスタ[],2,FALSE)</f>
        <v>シャンクス</v>
      </c>
      <c r="D4" t="s">
        <v>34</v>
      </c>
      <c r="E4" t="s">
        <v>372</v>
      </c>
      <c r="F4">
        <v>1</v>
      </c>
      <c r="G4">
        <v>1</v>
      </c>
      <c r="H4">
        <v>-10</v>
      </c>
      <c r="I4">
        <v>-4015</v>
      </c>
      <c r="K4" t="s">
        <v>516</v>
      </c>
    </row>
    <row r="5" spans="1:11">
      <c r="A5" t="s">
        <v>298</v>
      </c>
      <c r="B5" s="6" t="str">
        <f>VLOOKUP(懸賞金・肩書ログ!A5,キャラマスタ[],2,FALSE)</f>
        <v>ヒグマ</v>
      </c>
      <c r="C5" s="5">
        <v>8000000</v>
      </c>
      <c r="D5" t="s">
        <v>664</v>
      </c>
      <c r="E5" t="s">
        <v>374</v>
      </c>
      <c r="F5">
        <v>1</v>
      </c>
      <c r="G5">
        <v>1</v>
      </c>
      <c r="H5">
        <v>-10</v>
      </c>
      <c r="I5">
        <v>-3650</v>
      </c>
      <c r="J5" t="s">
        <v>364</v>
      </c>
      <c r="K5" t="s">
        <v>518</v>
      </c>
    </row>
    <row r="6" spans="1:11">
      <c r="A6" t="s">
        <v>304</v>
      </c>
      <c r="B6" s="6" t="str">
        <f>VLOOKUP(懸賞金・肩書ログ!A6,キャラマスタ[],2,FALSE)</f>
        <v>アルビダ</v>
      </c>
      <c r="C6" s="5">
        <v>5000000</v>
      </c>
      <c r="D6" t="s">
        <v>67</v>
      </c>
      <c r="E6" t="s">
        <v>372</v>
      </c>
      <c r="F6">
        <v>1</v>
      </c>
      <c r="G6">
        <v>2</v>
      </c>
      <c r="H6">
        <v>0</v>
      </c>
      <c r="I6">
        <v>1.3</v>
      </c>
      <c r="K6" t="s">
        <v>518</v>
      </c>
    </row>
    <row r="7" spans="1:11">
      <c r="A7" t="s">
        <v>308</v>
      </c>
      <c r="B7" s="6" t="str">
        <f>VLOOKUP(懸賞金・肩書ログ!A7,キャラマスタ[],2,FALSE)</f>
        <v>ロロノア・ゾロ</v>
      </c>
      <c r="D7" t="s">
        <v>73</v>
      </c>
      <c r="E7" t="s">
        <v>372</v>
      </c>
      <c r="F7">
        <v>1</v>
      </c>
      <c r="G7">
        <v>3</v>
      </c>
      <c r="H7">
        <v>0</v>
      </c>
      <c r="I7">
        <v>-300</v>
      </c>
      <c r="K7" t="s">
        <v>518</v>
      </c>
    </row>
    <row r="8" spans="1:11">
      <c r="A8" t="s">
        <v>408</v>
      </c>
      <c r="B8" s="6" t="str">
        <f>VLOOKUP(懸賞金・肩書ログ!A8,キャラマスタ[],2,FALSE)</f>
        <v>モーガン</v>
      </c>
      <c r="D8" t="s">
        <v>82</v>
      </c>
      <c r="E8" t="s">
        <v>375</v>
      </c>
      <c r="F8">
        <v>1</v>
      </c>
      <c r="G8">
        <v>4</v>
      </c>
      <c r="H8">
        <v>0</v>
      </c>
      <c r="I8">
        <v>-1000</v>
      </c>
      <c r="K8" t="s">
        <v>518</v>
      </c>
    </row>
    <row r="9" spans="1:11">
      <c r="A9" t="s">
        <v>416</v>
      </c>
      <c r="B9" s="6" t="str">
        <f>VLOOKUP(懸賞金・肩書ログ!A9,キャラマスタ[],2,FALSE)</f>
        <v>ナミ</v>
      </c>
      <c r="D9" t="s">
        <v>645</v>
      </c>
      <c r="E9" t="s">
        <v>646</v>
      </c>
      <c r="F9">
        <v>2</v>
      </c>
      <c r="G9">
        <v>9</v>
      </c>
      <c r="H9">
        <v>0</v>
      </c>
      <c r="I9">
        <v>1.2</v>
      </c>
      <c r="K9" t="s">
        <v>518</v>
      </c>
    </row>
    <row r="10" spans="1:11">
      <c r="A10" t="s">
        <v>570</v>
      </c>
      <c r="B10" s="6" t="str">
        <f>VLOOKUP(懸賞金・肩書ログ!A10,キャラマスタ[],2,FALSE)</f>
        <v>バギー</v>
      </c>
      <c r="C10" s="5">
        <v>15000000</v>
      </c>
      <c r="D10" t="s">
        <v>591</v>
      </c>
      <c r="E10" t="s">
        <v>372</v>
      </c>
      <c r="F10">
        <v>2</v>
      </c>
      <c r="G10">
        <v>9</v>
      </c>
      <c r="H10">
        <v>0</v>
      </c>
      <c r="I10">
        <v>1.5</v>
      </c>
      <c r="K10" t="s">
        <v>518</v>
      </c>
    </row>
    <row r="11" spans="1:11">
      <c r="A11" t="s">
        <v>574</v>
      </c>
      <c r="B11" s="6" t="str">
        <f>VLOOKUP(懸賞金・肩書ログ!A11,キャラマスタ[],2,FALSE)</f>
        <v>モージ</v>
      </c>
      <c r="D11" t="s">
        <v>541</v>
      </c>
      <c r="E11" t="s">
        <v>372</v>
      </c>
      <c r="F11">
        <v>2</v>
      </c>
      <c r="G11">
        <v>12</v>
      </c>
      <c r="H11">
        <v>0</v>
      </c>
      <c r="I11">
        <v>1.8</v>
      </c>
      <c r="K11" t="s">
        <v>518</v>
      </c>
    </row>
    <row r="12" spans="1:11">
      <c r="A12" t="s">
        <v>580</v>
      </c>
      <c r="B12" s="6" t="str">
        <f>VLOOKUP(懸賞金・肩書ログ!A12,キャラマスタ[],2,FALSE)</f>
        <v>カバジ</v>
      </c>
      <c r="D12" t="s">
        <v>658</v>
      </c>
      <c r="E12" t="s">
        <v>372</v>
      </c>
      <c r="F12">
        <v>2</v>
      </c>
      <c r="G12">
        <v>15</v>
      </c>
      <c r="H12">
        <v>0</v>
      </c>
      <c r="I12">
        <v>1.8</v>
      </c>
      <c r="K12" t="s">
        <v>518</v>
      </c>
    </row>
    <row r="13" spans="1:11">
      <c r="A13" t="s">
        <v>723</v>
      </c>
      <c r="B13" s="6" t="str">
        <f>VLOOKUP(懸賞金・肩書ログ!A13,キャラマスタ[],2,FALSE)</f>
        <v>クロ</v>
      </c>
      <c r="C13" s="5">
        <v>16000000</v>
      </c>
      <c r="D13" t="s">
        <v>691</v>
      </c>
      <c r="E13" t="s">
        <v>372</v>
      </c>
      <c r="F13">
        <v>4</v>
      </c>
      <c r="G13">
        <v>37</v>
      </c>
      <c r="H13">
        <v>-3</v>
      </c>
      <c r="I13">
        <v>-1095</v>
      </c>
      <c r="K13" t="s">
        <v>518</v>
      </c>
    </row>
    <row r="14" spans="1:11">
      <c r="A14" t="s">
        <v>727</v>
      </c>
      <c r="B14" s="6" t="str">
        <f>VLOOKUP(懸賞金・肩書ログ!A14,キャラマスタ[],2,FALSE)</f>
        <v>ジャンゴ</v>
      </c>
      <c r="C14" s="5">
        <v>9000000</v>
      </c>
      <c r="D14" t="s">
        <v>733</v>
      </c>
      <c r="E14" t="s">
        <v>372</v>
      </c>
      <c r="F14">
        <v>4</v>
      </c>
      <c r="G14">
        <v>28</v>
      </c>
      <c r="H14">
        <v>0</v>
      </c>
      <c r="I14">
        <v>2.5</v>
      </c>
      <c r="K14" t="s">
        <v>518</v>
      </c>
    </row>
    <row r="15" spans="1:11">
      <c r="A15" t="s">
        <v>819</v>
      </c>
      <c r="B15" s="6" t="str">
        <f>VLOOKUP(懸賞金・肩書ログ!A15,キャラマスタ[],2,FALSE)</f>
        <v>シャム</v>
      </c>
      <c r="C15" s="5">
        <v>3500000</v>
      </c>
      <c r="D15" t="s">
        <v>886</v>
      </c>
      <c r="E15" t="s">
        <v>372</v>
      </c>
      <c r="F15">
        <v>4</v>
      </c>
      <c r="G15">
        <v>31</v>
      </c>
      <c r="H15">
        <v>0</v>
      </c>
      <c r="I15">
        <v>3</v>
      </c>
      <c r="K15" t="s">
        <v>518</v>
      </c>
    </row>
    <row r="16" spans="1:11">
      <c r="A16" t="s">
        <v>821</v>
      </c>
      <c r="B16" s="6" t="str">
        <f>VLOOKUP(懸賞金・肩書ログ!A16,キャラマスタ[],2,FALSE)</f>
        <v>ブチ</v>
      </c>
      <c r="C16" s="5">
        <v>3500000</v>
      </c>
      <c r="D16" t="s">
        <v>886</v>
      </c>
      <c r="E16" t="s">
        <v>372</v>
      </c>
      <c r="F16">
        <v>4</v>
      </c>
      <c r="G16">
        <v>31</v>
      </c>
      <c r="H16">
        <v>0</v>
      </c>
      <c r="I16">
        <v>3</v>
      </c>
      <c r="K16" t="s">
        <v>518</v>
      </c>
    </row>
    <row r="17" spans="1:11">
      <c r="A17" t="s">
        <v>1087</v>
      </c>
      <c r="B17" s="6" t="str">
        <f>VLOOKUP(懸賞金・肩書ログ!A17,キャラマスタ[],2,FALSE)</f>
        <v>フルボディ</v>
      </c>
      <c r="D17" t="s">
        <v>948</v>
      </c>
      <c r="E17" t="s">
        <v>375</v>
      </c>
      <c r="F17">
        <v>5</v>
      </c>
      <c r="G17">
        <v>43</v>
      </c>
      <c r="H17">
        <v>0</v>
      </c>
      <c r="I17">
        <v>5</v>
      </c>
    </row>
    <row r="18" spans="1:11">
      <c r="A18" t="s">
        <v>1099</v>
      </c>
      <c r="B18" s="6" t="str">
        <f>VLOOKUP(懸賞金・肩書ログ!A18,キャラマスタ[],2,FALSE)</f>
        <v>クリーク</v>
      </c>
      <c r="C18" s="5">
        <v>17000000</v>
      </c>
      <c r="D18" t="s">
        <v>1172</v>
      </c>
      <c r="E18" t="s">
        <v>372</v>
      </c>
      <c r="F18">
        <v>6</v>
      </c>
      <c r="G18">
        <v>46</v>
      </c>
      <c r="H18">
        <v>0</v>
      </c>
      <c r="I18">
        <v>-5</v>
      </c>
      <c r="K18" t="s">
        <v>518</v>
      </c>
    </row>
    <row r="19" spans="1:11">
      <c r="A19" t="s">
        <v>943</v>
      </c>
      <c r="B19" s="6" t="str">
        <f>VLOOKUP(懸賞金・肩書ログ!A19,キャラマスタ[],2,FALSE)</f>
        <v>ゼフ</v>
      </c>
      <c r="D19" t="s">
        <v>1173</v>
      </c>
      <c r="E19" t="s">
        <v>740</v>
      </c>
      <c r="F19">
        <v>6</v>
      </c>
      <c r="G19">
        <v>47</v>
      </c>
      <c r="H19">
        <v>-9</v>
      </c>
      <c r="I19">
        <v>-3285</v>
      </c>
      <c r="K19" t="s">
        <v>518</v>
      </c>
    </row>
    <row r="20" spans="1:11">
      <c r="A20" t="s">
        <v>1100</v>
      </c>
      <c r="B20" s="6" t="str">
        <f>VLOOKUP(懸賞金・肩書ログ!A20,キャラマスタ[],2,FALSE)</f>
        <v>ジュラキュール・ミホーク</v>
      </c>
      <c r="D20" t="s">
        <v>1197</v>
      </c>
      <c r="E20" t="s">
        <v>1198</v>
      </c>
      <c r="F20">
        <v>6</v>
      </c>
      <c r="G20">
        <v>51</v>
      </c>
      <c r="H20">
        <v>0</v>
      </c>
      <c r="I20">
        <v>7</v>
      </c>
      <c r="K20" t="s">
        <v>518</v>
      </c>
    </row>
    <row r="21" spans="1:11">
      <c r="A21" t="s">
        <v>1085</v>
      </c>
      <c r="B21" s="6" t="str">
        <f>VLOOKUP(懸賞金・肩書ログ!A21,キャラマスタ[],2,FALSE)</f>
        <v>ギン</v>
      </c>
      <c r="C21" s="5">
        <v>12000000</v>
      </c>
      <c r="D21" t="s">
        <v>930</v>
      </c>
      <c r="E21" t="s">
        <v>372</v>
      </c>
      <c r="F21">
        <v>7</v>
      </c>
      <c r="G21">
        <v>61</v>
      </c>
      <c r="H21">
        <v>0</v>
      </c>
      <c r="I21">
        <v>-5</v>
      </c>
      <c r="K21" t="s">
        <v>518</v>
      </c>
    </row>
    <row r="22" spans="1:11">
      <c r="A22" t="s">
        <v>1310</v>
      </c>
      <c r="B22" s="6" t="str">
        <f>VLOOKUP(懸賞金・肩書ログ!A22,キャラマスタ[],2,FALSE)</f>
        <v>アーロン</v>
      </c>
      <c r="C22" s="5">
        <v>20000000</v>
      </c>
      <c r="D22" t="s">
        <v>1423</v>
      </c>
      <c r="E22" t="s">
        <v>372</v>
      </c>
      <c r="F22">
        <v>8</v>
      </c>
      <c r="G22">
        <v>69</v>
      </c>
      <c r="H22">
        <v>0</v>
      </c>
      <c r="I22">
        <v>8.1</v>
      </c>
      <c r="K22" t="s">
        <v>518</v>
      </c>
    </row>
    <row r="23" spans="1:11">
      <c r="A23" t="s">
        <v>1424</v>
      </c>
      <c r="B23" s="6" t="str">
        <f>VLOOKUP(懸賞金・肩書ログ!A23,キャラマスタ[],2,FALSE)</f>
        <v>はっちゃん</v>
      </c>
      <c r="C23" s="5">
        <v>8000000</v>
      </c>
      <c r="D23" t="s">
        <v>1329</v>
      </c>
      <c r="E23" t="s">
        <v>372</v>
      </c>
      <c r="I23">
        <v>8.1</v>
      </c>
      <c r="K23" t="s">
        <v>518</v>
      </c>
    </row>
    <row r="24" spans="1:11">
      <c r="A24" t="s">
        <v>1454</v>
      </c>
      <c r="B24" s="6" t="str">
        <f>VLOOKUP(懸賞金・肩書ログ!A24,キャラマスタ[],2,FALSE)</f>
        <v>チュウ</v>
      </c>
      <c r="C24" s="5">
        <v>5500000</v>
      </c>
      <c r="E24" t="s">
        <v>372</v>
      </c>
      <c r="F24">
        <v>9</v>
      </c>
      <c r="G24">
        <v>75</v>
      </c>
      <c r="H24">
        <v>0</v>
      </c>
      <c r="I24">
        <v>8.5</v>
      </c>
      <c r="K24" t="s">
        <v>518</v>
      </c>
    </row>
    <row r="25" spans="1:11">
      <c r="A25" t="s">
        <v>1455</v>
      </c>
      <c r="B25" s="6" t="str">
        <f>VLOOKUP(懸賞金・肩書ログ!A25,キャラマスタ[],2,FALSE)</f>
        <v>クロオビ</v>
      </c>
      <c r="C25" s="5">
        <v>9000000</v>
      </c>
      <c r="E25" t="s">
        <v>372</v>
      </c>
      <c r="F25">
        <v>9</v>
      </c>
      <c r="G25">
        <v>75</v>
      </c>
      <c r="H25">
        <v>0</v>
      </c>
      <c r="I25">
        <v>8.5</v>
      </c>
      <c r="K25" t="s">
        <v>518</v>
      </c>
    </row>
    <row r="26" spans="1:11">
      <c r="A26" t="s">
        <v>288</v>
      </c>
      <c r="B26" s="6" t="str">
        <f>VLOOKUP(懸賞金・肩書ログ!A26,キャラマスタ[],2,FALSE)</f>
        <v>モンキー・D・ルフィ</v>
      </c>
      <c r="C26" s="5">
        <v>30000000</v>
      </c>
      <c r="D26" t="s">
        <v>35</v>
      </c>
      <c r="E26" t="s">
        <v>372</v>
      </c>
      <c r="F26">
        <v>11</v>
      </c>
      <c r="G26">
        <v>96</v>
      </c>
      <c r="H26">
        <v>0</v>
      </c>
      <c r="I26">
        <v>11</v>
      </c>
      <c r="J26" t="s">
        <v>1835</v>
      </c>
    </row>
    <row r="27" spans="1:11">
      <c r="A27" s="29" t="s">
        <v>2073</v>
      </c>
      <c r="B27" s="6" t="str">
        <f>VLOOKUP(懸賞金・肩書ログ!A27,キャラマスタ[],2,FALSE)</f>
        <v>ミス・バレンタイン</v>
      </c>
      <c r="C27" s="5">
        <v>7500000</v>
      </c>
      <c r="D27" s="29" t="s">
        <v>2094</v>
      </c>
      <c r="E27" t="s">
        <v>1994</v>
      </c>
      <c r="F27">
        <v>13</v>
      </c>
      <c r="G27">
        <v>110</v>
      </c>
      <c r="H27">
        <v>0</v>
      </c>
      <c r="I27">
        <v>11.8</v>
      </c>
      <c r="K27" s="29" t="s">
        <v>518</v>
      </c>
    </row>
    <row r="28" spans="1:11">
      <c r="A28" s="29" t="s">
        <v>2072</v>
      </c>
      <c r="B28" s="6" t="str">
        <f>VLOOKUP(懸賞金・肩書ログ!A28,キャラマスタ[],2,FALSE)</f>
        <v>Mr.5</v>
      </c>
      <c r="C28" s="5">
        <v>10000000</v>
      </c>
      <c r="D28" s="29" t="s">
        <v>2088</v>
      </c>
      <c r="E28" s="29" t="s">
        <v>1994</v>
      </c>
      <c r="F28" s="29">
        <v>13</v>
      </c>
      <c r="G28" s="29">
        <v>110</v>
      </c>
      <c r="H28" s="29">
        <v>0</v>
      </c>
      <c r="I28" s="29">
        <v>11.8</v>
      </c>
      <c r="K28" s="29" t="s">
        <v>518</v>
      </c>
    </row>
    <row r="29" spans="1:11">
      <c r="B29" s="6" t="e">
        <f>VLOOKUP(懸賞金・肩書ログ!A29,キャラマスタ[],2,FALSE)</f>
        <v>#N/A</v>
      </c>
    </row>
    <row r="30" spans="1:11">
      <c r="B30" s="6" t="e">
        <f>VLOOKUP(懸賞金・肩書ログ!A30,キャラマスタ[],2,FALSE)</f>
        <v>#N/A</v>
      </c>
    </row>
  </sheetData>
  <phoneticPr fontId="1"/>
  <dataValidations count="1">
    <dataValidation type="list" allowBlank="1" showInputMessage="1" showErrorMessage="1" sqref="A26" xr:uid="{7BD5C094-CFA0-4E45-A8C3-49FC6A3561D2}">
      <formula1>$A$2:$A$1026</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69D159E-0B87-4E8D-A6D9-C22043A45AB1}">
          <x14:formula1>
            <xm:f>キャラクターマスタ!$A$2:$A$1051</xm:f>
          </x14:formula1>
          <xm:sqref>A2:A16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9013-E7B0-4A5B-A1BA-960400DA60E1}">
  <sheetPr>
    <tabColor theme="4" tint="0.59999389629810485"/>
  </sheetPr>
  <dimension ref="A1:N234"/>
  <sheetViews>
    <sheetView topLeftCell="A218" workbookViewId="0">
      <selection activeCell="D217" sqref="D217"/>
    </sheetView>
  </sheetViews>
  <sheetFormatPr defaultColWidth="8.875" defaultRowHeight="18.75"/>
  <cols>
    <col min="1" max="1" width="9.125" customWidth="1"/>
    <col min="2" max="2" width="9" customWidth="1"/>
    <col min="3" max="3" width="23.625" customWidth="1"/>
    <col min="4" max="4" width="9" customWidth="1"/>
    <col min="7" max="7" width="9.125" customWidth="1"/>
    <col min="8" max="8" width="14.125" customWidth="1"/>
    <col min="9" max="9" width="14.5" customWidth="1"/>
    <col min="10" max="10" width="19.125" bestFit="1" customWidth="1"/>
    <col min="11" max="12" width="15.625" customWidth="1"/>
    <col min="13" max="15" width="13.625" customWidth="1"/>
    <col min="16" max="16" width="10.875" customWidth="1"/>
  </cols>
  <sheetData>
    <row r="1" spans="1:14" s="1" customFormat="1" ht="34.5" customHeight="1">
      <c r="A1" s="1" t="s">
        <v>477</v>
      </c>
      <c r="B1" s="1" t="s">
        <v>226</v>
      </c>
      <c r="C1" s="1" t="s">
        <v>163</v>
      </c>
      <c r="D1" s="1" t="s">
        <v>480</v>
      </c>
      <c r="E1" s="1" t="s">
        <v>92</v>
      </c>
      <c r="F1" s="1" t="s">
        <v>236</v>
      </c>
      <c r="G1" s="1" t="s">
        <v>401</v>
      </c>
      <c r="H1" s="7" t="s">
        <v>478</v>
      </c>
      <c r="I1" s="1" t="s">
        <v>181</v>
      </c>
      <c r="J1" s="1" t="s">
        <v>164</v>
      </c>
      <c r="K1" s="1" t="s">
        <v>491</v>
      </c>
      <c r="L1" s="7" t="s">
        <v>492</v>
      </c>
      <c r="M1" s="1" t="s">
        <v>199</v>
      </c>
      <c r="N1" s="1" t="s">
        <v>235</v>
      </c>
    </row>
    <row r="2" spans="1:14">
      <c r="A2" t="s">
        <v>346</v>
      </c>
      <c r="B2">
        <f t="shared" ref="B2:B35" si="0">1539+C2</f>
        <v>1517</v>
      </c>
      <c r="C2">
        <v>-22</v>
      </c>
      <c r="D2">
        <f t="shared" ref="D2:D7" si="1">C2*365</f>
        <v>-8030</v>
      </c>
      <c r="E2">
        <v>1</v>
      </c>
      <c r="F2">
        <v>1</v>
      </c>
      <c r="G2" t="s">
        <v>1809</v>
      </c>
      <c r="H2" s="6" t="str">
        <f>VLOOKUP(G2,場所マスタ[],6,FALSE)</f>
        <v>ローグタウン</v>
      </c>
      <c r="I2" t="s">
        <v>233</v>
      </c>
      <c r="J2" t="s">
        <v>505</v>
      </c>
      <c r="K2" t="s">
        <v>289</v>
      </c>
      <c r="L2" s="6" t="str">
        <f>IFERROR(VLOOKUP(K2,キャラマスタ[],2,FALSE),"")</f>
        <v>ゴール・D・ロジャー</v>
      </c>
      <c r="N2" t="s">
        <v>517</v>
      </c>
    </row>
    <row r="3" spans="1:14">
      <c r="A3" t="s">
        <v>347</v>
      </c>
      <c r="B3">
        <f t="shared" si="0"/>
        <v>1528</v>
      </c>
      <c r="C3">
        <v>-11</v>
      </c>
      <c r="D3">
        <f t="shared" si="1"/>
        <v>-4015</v>
      </c>
      <c r="E3">
        <v>1</v>
      </c>
      <c r="F3">
        <v>1</v>
      </c>
      <c r="G3" t="s">
        <v>384</v>
      </c>
      <c r="H3" s="6" t="str">
        <f>VLOOKUP(G3,場所マスタ[],6,FALSE)</f>
        <v>フーシャ村</v>
      </c>
      <c r="I3" t="s">
        <v>233</v>
      </c>
      <c r="J3" t="s">
        <v>273</v>
      </c>
      <c r="K3" t="s">
        <v>453</v>
      </c>
      <c r="L3" s="6" t="str">
        <f>IFERROR(VLOOKUP(K3,キャラマスタ[],2,FALSE),"")</f>
        <v>シャンクス</v>
      </c>
    </row>
    <row r="4" spans="1:14">
      <c r="A4" t="s">
        <v>348</v>
      </c>
      <c r="B4">
        <f t="shared" ref="B4" si="2">1539+C4</f>
        <v>1528</v>
      </c>
      <c r="C4">
        <v>-11</v>
      </c>
      <c r="D4">
        <f t="shared" ref="D4" si="3">C4*365</f>
        <v>-4015</v>
      </c>
      <c r="E4">
        <v>1</v>
      </c>
      <c r="F4">
        <v>1</v>
      </c>
      <c r="G4" t="s">
        <v>384</v>
      </c>
      <c r="H4" s="6" t="str">
        <f>VLOOKUP(G4,場所マスタ[],6,FALSE)</f>
        <v>フーシャ村</v>
      </c>
      <c r="I4" t="s">
        <v>233</v>
      </c>
      <c r="J4" t="s">
        <v>273</v>
      </c>
      <c r="K4" t="s">
        <v>409</v>
      </c>
      <c r="L4" s="6" t="str">
        <f>IFERROR(VLOOKUP(K4,キャラマスタ[],2,FALSE),"")</f>
        <v>ラッキー・ルウ</v>
      </c>
    </row>
    <row r="5" spans="1:14">
      <c r="A5" t="s">
        <v>349</v>
      </c>
      <c r="B5">
        <f t="shared" si="0"/>
        <v>1528</v>
      </c>
      <c r="C5">
        <v>-11</v>
      </c>
      <c r="D5">
        <f t="shared" si="1"/>
        <v>-4015</v>
      </c>
      <c r="E5">
        <v>1</v>
      </c>
      <c r="F5">
        <v>1</v>
      </c>
      <c r="G5" t="s">
        <v>384</v>
      </c>
      <c r="H5" s="6" t="str">
        <f>VLOOKUP(G5,場所マスタ[],6,FALSE)</f>
        <v>フーシャ村</v>
      </c>
      <c r="I5" t="s">
        <v>233</v>
      </c>
      <c r="J5" t="s">
        <v>273</v>
      </c>
      <c r="K5" t="s">
        <v>454</v>
      </c>
      <c r="L5" s="6" t="str">
        <f>IFERROR(VLOOKUP(K5,キャラマスタ[],2,FALSE),"")</f>
        <v>ヤソップ</v>
      </c>
    </row>
    <row r="6" spans="1:14">
      <c r="A6" t="s">
        <v>350</v>
      </c>
      <c r="B6">
        <f t="shared" ref="B6" si="4">1539+C6</f>
        <v>1528</v>
      </c>
      <c r="C6">
        <v>-11</v>
      </c>
      <c r="D6">
        <f t="shared" ref="D6" si="5">C6*365</f>
        <v>-4015</v>
      </c>
      <c r="E6">
        <v>1</v>
      </c>
      <c r="F6">
        <v>1</v>
      </c>
      <c r="G6" t="s">
        <v>384</v>
      </c>
      <c r="H6" s="6" t="str">
        <f>VLOOKUP(G6,場所マスタ[],6,FALSE)</f>
        <v>フーシャ村</v>
      </c>
      <c r="I6" t="s">
        <v>233</v>
      </c>
      <c r="J6" t="s">
        <v>273</v>
      </c>
      <c r="K6" t="s">
        <v>1871</v>
      </c>
      <c r="L6" s="6" t="str">
        <f>IFERROR(VLOOKUP(K6,キャラマスタ[],2,FALSE),"")</f>
        <v>ベン・ベックマン</v>
      </c>
    </row>
    <row r="7" spans="1:14">
      <c r="A7" t="s">
        <v>351</v>
      </c>
      <c r="B7">
        <f t="shared" si="0"/>
        <v>1529</v>
      </c>
      <c r="C7">
        <v>-10</v>
      </c>
      <c r="D7">
        <f t="shared" si="1"/>
        <v>-3650</v>
      </c>
      <c r="E7">
        <v>1</v>
      </c>
      <c r="F7">
        <v>1</v>
      </c>
      <c r="G7" t="s">
        <v>384</v>
      </c>
      <c r="H7" s="6" t="str">
        <f>VLOOKUP(G7,場所マスタ[],6,FALSE)</f>
        <v>フーシャ村</v>
      </c>
      <c r="I7" t="s">
        <v>233</v>
      </c>
      <c r="J7" t="s">
        <v>281</v>
      </c>
      <c r="K7" t="s">
        <v>288</v>
      </c>
      <c r="L7" s="6" t="str">
        <f>IFERROR(VLOOKUP(K7,キャラマスタ[],2,FALSE),"")</f>
        <v>モンキー・D・ルフィ</v>
      </c>
    </row>
    <row r="8" spans="1:14">
      <c r="A8" t="s">
        <v>637</v>
      </c>
      <c r="B8">
        <f t="shared" si="0"/>
        <v>1529</v>
      </c>
      <c r="C8">
        <v>-10</v>
      </c>
      <c r="D8">
        <v>-3645</v>
      </c>
      <c r="E8">
        <v>1</v>
      </c>
      <c r="F8">
        <v>1</v>
      </c>
      <c r="G8" t="s">
        <v>386</v>
      </c>
      <c r="H8" s="6" t="str">
        <f>VLOOKUP(G8,場所マスタ[],6,FALSE)</f>
        <v>フーシャ村近海</v>
      </c>
      <c r="I8" t="s">
        <v>233</v>
      </c>
      <c r="J8" t="s">
        <v>282</v>
      </c>
      <c r="K8" t="s">
        <v>298</v>
      </c>
      <c r="L8" s="6" t="str">
        <f>IFERROR(VLOOKUP(K8,キャラマスタ[],2,FALSE),"")</f>
        <v>ヒグマ</v>
      </c>
    </row>
    <row r="9" spans="1:14">
      <c r="A9" t="s">
        <v>352</v>
      </c>
      <c r="B9">
        <f t="shared" si="0"/>
        <v>1529</v>
      </c>
      <c r="C9">
        <v>-10</v>
      </c>
      <c r="D9">
        <v>-3640</v>
      </c>
      <c r="E9">
        <v>1</v>
      </c>
      <c r="F9">
        <v>1</v>
      </c>
      <c r="G9" t="s">
        <v>386</v>
      </c>
      <c r="H9" s="6" t="str">
        <f>VLOOKUP(G9,場所マスタ[],6,FALSE)</f>
        <v>フーシャ村近海</v>
      </c>
      <c r="I9" t="s">
        <v>233</v>
      </c>
      <c r="J9" t="s">
        <v>283</v>
      </c>
      <c r="K9" t="s">
        <v>292</v>
      </c>
      <c r="L9" s="6" t="str">
        <f>IFERROR(VLOOKUP(K9,キャラマスタ[],2,FALSE),"")</f>
        <v>シャンクス</v>
      </c>
    </row>
    <row r="10" spans="1:14">
      <c r="A10" t="s">
        <v>638</v>
      </c>
      <c r="B10">
        <f t="shared" si="0"/>
        <v>1529</v>
      </c>
      <c r="C10">
        <v>-10</v>
      </c>
      <c r="D10">
        <v>-3640</v>
      </c>
      <c r="E10">
        <v>1</v>
      </c>
      <c r="F10">
        <v>1</v>
      </c>
      <c r="G10" t="s">
        <v>497</v>
      </c>
      <c r="H10" s="6" t="str">
        <f>VLOOKUP(G10,場所マスタ[],6,FALSE)</f>
        <v>不明</v>
      </c>
      <c r="I10" t="s">
        <v>233</v>
      </c>
      <c r="J10" t="s">
        <v>499</v>
      </c>
      <c r="K10" t="s">
        <v>453</v>
      </c>
      <c r="L10" s="6" t="str">
        <f>IFERROR(VLOOKUP(K10,キャラマスタ[],2,FALSE),"")</f>
        <v>シャンクス</v>
      </c>
    </row>
    <row r="11" spans="1:14">
      <c r="A11" t="s">
        <v>353</v>
      </c>
      <c r="B11">
        <f t="shared" ref="B11" si="6">1539+C11</f>
        <v>1529</v>
      </c>
      <c r="C11">
        <v>-10</v>
      </c>
      <c r="D11">
        <v>-3640</v>
      </c>
      <c r="E11">
        <v>1</v>
      </c>
      <c r="F11">
        <v>1</v>
      </c>
      <c r="G11" t="s">
        <v>497</v>
      </c>
      <c r="H11" s="6" t="str">
        <f>VLOOKUP(G11,場所マスタ[],6,FALSE)</f>
        <v>不明</v>
      </c>
      <c r="I11" t="s">
        <v>233</v>
      </c>
      <c r="J11" t="s">
        <v>499</v>
      </c>
      <c r="K11" t="s">
        <v>409</v>
      </c>
      <c r="L11" s="6" t="str">
        <f>IFERROR(VLOOKUP(K11,キャラマスタ[],2,FALSE),"")</f>
        <v>ラッキー・ルウ</v>
      </c>
    </row>
    <row r="12" spans="1:14">
      <c r="A12" t="s">
        <v>354</v>
      </c>
      <c r="B12">
        <f t="shared" si="0"/>
        <v>1529</v>
      </c>
      <c r="C12">
        <v>-10</v>
      </c>
      <c r="D12">
        <v>-3640</v>
      </c>
      <c r="E12">
        <v>1</v>
      </c>
      <c r="F12">
        <v>1</v>
      </c>
      <c r="G12" t="s">
        <v>497</v>
      </c>
      <c r="H12" s="6" t="str">
        <f>VLOOKUP(G12,場所マスタ[],6,FALSE)</f>
        <v>不明</v>
      </c>
      <c r="I12" t="s">
        <v>233</v>
      </c>
      <c r="J12" t="s">
        <v>499</v>
      </c>
      <c r="K12" t="s">
        <v>454</v>
      </c>
      <c r="L12" s="6" t="str">
        <f>IFERROR(VLOOKUP(K12,キャラマスタ[],2,FALSE),"")</f>
        <v>ヤソップ</v>
      </c>
    </row>
    <row r="13" spans="1:14">
      <c r="A13" t="s">
        <v>355</v>
      </c>
      <c r="B13">
        <f t="shared" ref="B13" si="7">1539+C13</f>
        <v>1529</v>
      </c>
      <c r="C13">
        <v>-10</v>
      </c>
      <c r="D13">
        <v>-3640</v>
      </c>
      <c r="E13">
        <v>1</v>
      </c>
      <c r="F13">
        <v>1</v>
      </c>
      <c r="G13" t="s">
        <v>497</v>
      </c>
      <c r="H13" s="6" t="str">
        <f>VLOOKUP(G13,場所マスタ[],6,FALSE)</f>
        <v>不明</v>
      </c>
      <c r="I13" t="s">
        <v>233</v>
      </c>
      <c r="J13" t="s">
        <v>499</v>
      </c>
      <c r="K13" t="s">
        <v>1871</v>
      </c>
      <c r="L13" s="6" t="str">
        <f>IFERROR(VLOOKUP(K13,キャラマスタ[],2,FALSE),"")</f>
        <v>ベン・ベックマン</v>
      </c>
    </row>
    <row r="14" spans="1:14">
      <c r="A14" t="s">
        <v>481</v>
      </c>
      <c r="B14">
        <f>1539+C14</f>
        <v>1539</v>
      </c>
      <c r="C14">
        <v>0</v>
      </c>
      <c r="D14">
        <v>0</v>
      </c>
      <c r="E14">
        <v>1</v>
      </c>
      <c r="F14">
        <v>1</v>
      </c>
      <c r="G14" t="s">
        <v>405</v>
      </c>
      <c r="H14" s="6" t="str">
        <f>VLOOKUP(G14,場所マスタ[],6,FALSE)</f>
        <v>フーシャ村</v>
      </c>
      <c r="I14" t="s">
        <v>233</v>
      </c>
      <c r="J14" t="s">
        <v>511</v>
      </c>
      <c r="K14" t="s">
        <v>411</v>
      </c>
      <c r="L14" s="6" t="str">
        <f>IFERROR(VLOOKUP(K14,キャラマスタ[],2,FALSE),"")</f>
        <v>モンキー・D・ルフィ</v>
      </c>
    </row>
    <row r="15" spans="1:14">
      <c r="A15" t="s">
        <v>482</v>
      </c>
      <c r="B15">
        <f t="shared" si="0"/>
        <v>1539</v>
      </c>
      <c r="C15">
        <v>0</v>
      </c>
      <c r="D15">
        <v>1</v>
      </c>
      <c r="E15">
        <v>1</v>
      </c>
      <c r="F15">
        <v>1</v>
      </c>
      <c r="G15" t="s">
        <v>405</v>
      </c>
      <c r="H15" s="6" t="str">
        <f>VLOOKUP(G15,場所マスタ[],6,FALSE)</f>
        <v>フーシャ村</v>
      </c>
      <c r="I15" t="s">
        <v>233</v>
      </c>
      <c r="J15" t="s">
        <v>234</v>
      </c>
      <c r="K15" t="s">
        <v>411</v>
      </c>
      <c r="L15" s="6" t="str">
        <f>IFERROR(VLOOKUP(K15,キャラマスタ[],2,FALSE),"")</f>
        <v>モンキー・D・ルフィ</v>
      </c>
      <c r="M15" t="s">
        <v>343</v>
      </c>
    </row>
    <row r="16" spans="1:14">
      <c r="A16" t="s">
        <v>483</v>
      </c>
      <c r="B16">
        <f t="shared" si="0"/>
        <v>1539</v>
      </c>
      <c r="C16">
        <v>0</v>
      </c>
      <c r="D16">
        <v>1.1000000000000001</v>
      </c>
      <c r="E16">
        <v>1</v>
      </c>
      <c r="F16">
        <v>2</v>
      </c>
      <c r="G16" t="s">
        <v>387</v>
      </c>
      <c r="H16" s="6" t="str">
        <f>VLOOKUP(G16,場所マスタ[],6,FALSE)</f>
        <v>ゴート島</v>
      </c>
      <c r="I16" t="s">
        <v>233</v>
      </c>
      <c r="J16" t="s">
        <v>342</v>
      </c>
      <c r="K16" t="s">
        <v>411</v>
      </c>
      <c r="L16" s="6" t="str">
        <f>IFERROR(VLOOKUP(K16,キャラマスタ[],2,FALSE),"")</f>
        <v>モンキー・D・ルフィ</v>
      </c>
      <c r="M16" t="s">
        <v>344</v>
      </c>
    </row>
    <row r="17" spans="1:13">
      <c r="A17" t="s">
        <v>484</v>
      </c>
      <c r="B17">
        <f t="shared" si="0"/>
        <v>1537</v>
      </c>
      <c r="C17">
        <v>-2</v>
      </c>
      <c r="D17">
        <f>-2*365</f>
        <v>-730</v>
      </c>
      <c r="E17">
        <v>1</v>
      </c>
      <c r="F17">
        <v>2</v>
      </c>
      <c r="G17" t="s">
        <v>387</v>
      </c>
      <c r="H17" s="6" t="str">
        <f>VLOOKUP(G17,場所マスタ[],6,FALSE)</f>
        <v>ゴート島</v>
      </c>
      <c r="I17" t="s">
        <v>233</v>
      </c>
      <c r="J17" t="s">
        <v>506</v>
      </c>
      <c r="K17" t="s">
        <v>303</v>
      </c>
      <c r="L17" s="6" t="str">
        <f>IFERROR(VLOOKUP(K17,キャラマスタ[],2,FALSE),"")</f>
        <v>コビー</v>
      </c>
    </row>
    <row r="18" spans="1:13">
      <c r="A18" t="s">
        <v>485</v>
      </c>
      <c r="B18">
        <f t="shared" si="0"/>
        <v>1539</v>
      </c>
      <c r="C18">
        <v>0</v>
      </c>
      <c r="D18">
        <v>1.2</v>
      </c>
      <c r="E18">
        <v>1</v>
      </c>
      <c r="F18">
        <v>2</v>
      </c>
      <c r="G18" t="s">
        <v>387</v>
      </c>
      <c r="H18" s="6" t="str">
        <f>VLOOKUP(G18,場所マスタ[],6,FALSE)</f>
        <v>ゴート島</v>
      </c>
      <c r="I18" t="s">
        <v>233</v>
      </c>
      <c r="J18" t="s">
        <v>345</v>
      </c>
      <c r="K18" t="s">
        <v>288</v>
      </c>
      <c r="L18" s="6" t="str">
        <f>IFERROR(VLOOKUP(K18,キャラマスタ[],2,FALSE),"")</f>
        <v>モンキー・D・ルフィ</v>
      </c>
    </row>
    <row r="19" spans="1:13">
      <c r="A19" t="s">
        <v>486</v>
      </c>
      <c r="B19">
        <f t="shared" si="0"/>
        <v>1539</v>
      </c>
      <c r="C19">
        <v>0</v>
      </c>
      <c r="D19">
        <v>1.2</v>
      </c>
      <c r="E19">
        <v>1</v>
      </c>
      <c r="F19">
        <v>2</v>
      </c>
      <c r="G19" t="s">
        <v>387</v>
      </c>
      <c r="H19" s="6" t="str">
        <f>VLOOKUP(G19,場所マスタ[],6,FALSE)</f>
        <v>ゴート島</v>
      </c>
      <c r="I19" t="s">
        <v>233</v>
      </c>
      <c r="J19" t="s">
        <v>345</v>
      </c>
      <c r="K19" t="s">
        <v>304</v>
      </c>
      <c r="L19" s="6" t="str">
        <f>IFERROR(VLOOKUP(K19,キャラマスタ[],2,FALSE),"")</f>
        <v>アルビダ</v>
      </c>
    </row>
    <row r="20" spans="1:13">
      <c r="A20" t="s">
        <v>487</v>
      </c>
      <c r="B20">
        <f t="shared" si="0"/>
        <v>1539</v>
      </c>
      <c r="C20">
        <v>0</v>
      </c>
      <c r="D20">
        <v>1.3</v>
      </c>
      <c r="E20">
        <v>1</v>
      </c>
      <c r="F20">
        <v>3</v>
      </c>
      <c r="G20" t="s">
        <v>388</v>
      </c>
      <c r="H20" s="6" t="str">
        <f>VLOOKUP(G20,場所マスタ[],6,FALSE)</f>
        <v>シェルズタウン</v>
      </c>
      <c r="I20" t="s">
        <v>233</v>
      </c>
      <c r="J20" t="s">
        <v>356</v>
      </c>
      <c r="K20" t="s">
        <v>288</v>
      </c>
      <c r="L20" s="6" t="str">
        <f>IFERROR(VLOOKUP(K20,キャラマスタ[],2,FALSE),"")</f>
        <v>モンキー・D・ルフィ</v>
      </c>
      <c r="M20" t="s">
        <v>343</v>
      </c>
    </row>
    <row r="21" spans="1:13">
      <c r="A21" t="s">
        <v>488</v>
      </c>
      <c r="B21">
        <f t="shared" si="0"/>
        <v>1539</v>
      </c>
      <c r="C21">
        <v>0</v>
      </c>
      <c r="D21">
        <v>1.3</v>
      </c>
      <c r="E21">
        <v>1</v>
      </c>
      <c r="F21">
        <v>3</v>
      </c>
      <c r="G21" t="s">
        <v>388</v>
      </c>
      <c r="H21" s="6" t="str">
        <f>VLOOKUP(G21,場所マスタ[],6,FALSE)</f>
        <v>シェルズタウン</v>
      </c>
      <c r="I21" t="s">
        <v>233</v>
      </c>
      <c r="J21" t="s">
        <v>356</v>
      </c>
      <c r="K21" t="s">
        <v>303</v>
      </c>
      <c r="L21" s="6" t="str">
        <f>IFERROR(VLOOKUP(K21,キャラマスタ[],2,FALSE),"")</f>
        <v>コビー</v>
      </c>
    </row>
    <row r="22" spans="1:13">
      <c r="A22" t="s">
        <v>489</v>
      </c>
      <c r="B22">
        <f t="shared" si="0"/>
        <v>1539</v>
      </c>
      <c r="C22">
        <v>0</v>
      </c>
      <c r="D22">
        <v>-7</v>
      </c>
      <c r="E22">
        <v>1</v>
      </c>
      <c r="F22">
        <v>3</v>
      </c>
      <c r="G22" t="s">
        <v>388</v>
      </c>
      <c r="H22" s="6" t="str">
        <f>VLOOKUP(G22,場所マスタ[],6,FALSE)</f>
        <v>シェルズタウン</v>
      </c>
      <c r="I22" t="s">
        <v>233</v>
      </c>
      <c r="J22" t="s">
        <v>510</v>
      </c>
      <c r="K22" t="s">
        <v>308</v>
      </c>
      <c r="L22" s="6" t="str">
        <f>IFERROR(VLOOKUP(K22,キャラマスタ[],2,FALSE),"")</f>
        <v>ロロノア・ゾロ</v>
      </c>
    </row>
    <row r="23" spans="1:13">
      <c r="A23" t="s">
        <v>490</v>
      </c>
      <c r="B23">
        <f t="shared" si="0"/>
        <v>1528</v>
      </c>
      <c r="C23">
        <v>-11</v>
      </c>
      <c r="D23">
        <v>-4000</v>
      </c>
      <c r="E23">
        <v>1</v>
      </c>
      <c r="F23">
        <v>5</v>
      </c>
      <c r="G23" t="s">
        <v>402</v>
      </c>
      <c r="H23" s="6" t="str">
        <f>VLOOKUP(G23,場所マスタ[],6,FALSE)</f>
        <v>シモツキ村</v>
      </c>
      <c r="I23" t="s">
        <v>233</v>
      </c>
      <c r="J23" t="s">
        <v>358</v>
      </c>
      <c r="K23" t="s">
        <v>455</v>
      </c>
      <c r="L23" s="6" t="str">
        <f>IFERROR(VLOOKUP(K23,キャラマスタ[],2,FALSE),"")</f>
        <v>くいな</v>
      </c>
    </row>
    <row r="24" spans="1:13">
      <c r="A24" t="s">
        <v>500</v>
      </c>
      <c r="B24">
        <f t="shared" si="0"/>
        <v>1528</v>
      </c>
      <c r="C24">
        <v>-11</v>
      </c>
      <c r="D24">
        <v>-4000</v>
      </c>
      <c r="E24">
        <v>1</v>
      </c>
      <c r="F24">
        <v>5</v>
      </c>
      <c r="G24" t="s">
        <v>402</v>
      </c>
      <c r="H24" s="6" t="str">
        <f>VLOOKUP(G24,場所マスタ[],6,FALSE)</f>
        <v>シモツキ村</v>
      </c>
      <c r="I24" t="s">
        <v>233</v>
      </c>
      <c r="J24" t="s">
        <v>358</v>
      </c>
      <c r="K24" t="s">
        <v>308</v>
      </c>
      <c r="L24" s="6" t="str">
        <f>IFERROR(VLOOKUP(K24,キャラマスタ[],2,FALSE),"")</f>
        <v>ロロノア・ゾロ</v>
      </c>
    </row>
    <row r="25" spans="1:13">
      <c r="A25" t="s">
        <v>501</v>
      </c>
      <c r="B25">
        <f t="shared" si="0"/>
        <v>1539</v>
      </c>
      <c r="C25">
        <v>0</v>
      </c>
      <c r="D25">
        <v>1.4</v>
      </c>
      <c r="E25">
        <v>1</v>
      </c>
      <c r="F25">
        <v>6</v>
      </c>
      <c r="G25" t="s">
        <v>388</v>
      </c>
      <c r="H25" s="6" t="str">
        <f>VLOOKUP(G25,場所マスタ[],6,FALSE)</f>
        <v>シェルズタウン</v>
      </c>
      <c r="I25" t="s">
        <v>233</v>
      </c>
      <c r="J25" t="s">
        <v>357</v>
      </c>
      <c r="K25" t="s">
        <v>288</v>
      </c>
      <c r="L25" s="6" t="str">
        <f>IFERROR(VLOOKUP(K25,キャラマスタ[],2,FALSE),"")</f>
        <v>モンキー・D・ルフィ</v>
      </c>
    </row>
    <row r="26" spans="1:13">
      <c r="A26" t="s">
        <v>502</v>
      </c>
      <c r="B26">
        <f t="shared" si="0"/>
        <v>1539</v>
      </c>
      <c r="C26">
        <v>0</v>
      </c>
      <c r="D26">
        <v>1.4</v>
      </c>
      <c r="E26">
        <v>1</v>
      </c>
      <c r="F26">
        <v>6</v>
      </c>
      <c r="G26" t="s">
        <v>388</v>
      </c>
      <c r="H26" s="6" t="str">
        <f>VLOOKUP(G26,場所マスタ[],6,FALSE)</f>
        <v>シェルズタウン</v>
      </c>
      <c r="I26" t="s">
        <v>233</v>
      </c>
      <c r="J26" t="s">
        <v>357</v>
      </c>
      <c r="K26" t="s">
        <v>308</v>
      </c>
      <c r="L26" s="6" t="str">
        <f>IFERROR(VLOOKUP(K26,キャラマスタ[],2,FALSE),"")</f>
        <v>ロロノア・ゾロ</v>
      </c>
    </row>
    <row r="27" spans="1:13">
      <c r="A27" t="s">
        <v>503</v>
      </c>
      <c r="B27">
        <f t="shared" si="0"/>
        <v>1539</v>
      </c>
      <c r="C27">
        <v>0</v>
      </c>
      <c r="D27">
        <v>1.4</v>
      </c>
      <c r="E27">
        <v>1</v>
      </c>
      <c r="F27">
        <v>6</v>
      </c>
      <c r="G27" t="s">
        <v>388</v>
      </c>
      <c r="H27" s="6" t="str">
        <f>VLOOKUP(G27,場所マスタ[],6,FALSE)</f>
        <v>シェルズタウン</v>
      </c>
      <c r="I27" t="s">
        <v>233</v>
      </c>
      <c r="J27" t="s">
        <v>357</v>
      </c>
      <c r="K27" t="s">
        <v>310</v>
      </c>
      <c r="L27" s="6" t="str">
        <f>IFERROR(VLOOKUP(K27,キャラマスタ[],2,FALSE),"")</f>
        <v>ヘルメッポ</v>
      </c>
    </row>
    <row r="28" spans="1:13">
      <c r="A28" t="s">
        <v>504</v>
      </c>
      <c r="B28">
        <f t="shared" si="0"/>
        <v>1539</v>
      </c>
      <c r="C28">
        <v>0</v>
      </c>
      <c r="D28">
        <v>1.4</v>
      </c>
      <c r="E28">
        <v>1</v>
      </c>
      <c r="F28">
        <v>6</v>
      </c>
      <c r="G28" t="s">
        <v>388</v>
      </c>
      <c r="H28" s="6" t="str">
        <f>VLOOKUP(G28,場所マスタ[],6,FALSE)</f>
        <v>シェルズタウン</v>
      </c>
      <c r="I28" t="s">
        <v>233</v>
      </c>
      <c r="J28" t="s">
        <v>357</v>
      </c>
      <c r="K28" t="s">
        <v>313</v>
      </c>
      <c r="L28" s="6" t="str">
        <f>IFERROR(VLOOKUP(K28,キャラマスタ[],2,FALSE),"")</f>
        <v>モーガン</v>
      </c>
    </row>
    <row r="29" spans="1:13">
      <c r="A29" t="s">
        <v>639</v>
      </c>
      <c r="B29">
        <f t="shared" si="0"/>
        <v>1539</v>
      </c>
      <c r="C29">
        <v>0</v>
      </c>
      <c r="D29">
        <v>1.5</v>
      </c>
      <c r="E29">
        <v>1</v>
      </c>
      <c r="F29">
        <v>7</v>
      </c>
      <c r="G29" t="s">
        <v>388</v>
      </c>
      <c r="H29" s="6" t="str">
        <f>VLOOKUP(G29,場所マスタ[],6,FALSE)</f>
        <v>シェルズタウン</v>
      </c>
      <c r="I29" t="s">
        <v>233</v>
      </c>
      <c r="J29" t="s">
        <v>359</v>
      </c>
      <c r="K29" t="s">
        <v>288</v>
      </c>
      <c r="L29" s="6" t="str">
        <f>IFERROR(VLOOKUP(K29,キャラマスタ[],2,FALSE),"")</f>
        <v>モンキー・D・ルフィ</v>
      </c>
    </row>
    <row r="30" spans="1:13">
      <c r="A30" t="s">
        <v>640</v>
      </c>
      <c r="B30">
        <f t="shared" si="0"/>
        <v>1539</v>
      </c>
      <c r="C30">
        <v>0</v>
      </c>
      <c r="D30">
        <v>1.5</v>
      </c>
      <c r="E30">
        <v>1</v>
      </c>
      <c r="F30">
        <v>7</v>
      </c>
      <c r="G30" t="s">
        <v>388</v>
      </c>
      <c r="H30" s="6" t="str">
        <f>VLOOKUP(G30,場所マスタ[],6,FALSE)</f>
        <v>シェルズタウン</v>
      </c>
      <c r="I30" t="s">
        <v>233</v>
      </c>
      <c r="J30" t="s">
        <v>359</v>
      </c>
      <c r="K30" t="s">
        <v>308</v>
      </c>
      <c r="L30" s="6" t="str">
        <f>IFERROR(VLOOKUP(K30,キャラマスタ[],2,FALSE),"")</f>
        <v>ロロノア・ゾロ</v>
      </c>
    </row>
    <row r="31" spans="1:13">
      <c r="A31" t="s">
        <v>641</v>
      </c>
      <c r="B31">
        <f t="shared" si="0"/>
        <v>1539</v>
      </c>
      <c r="C31">
        <v>0</v>
      </c>
      <c r="D31">
        <v>1.6</v>
      </c>
      <c r="E31">
        <v>1</v>
      </c>
      <c r="F31">
        <v>8</v>
      </c>
      <c r="G31" t="s">
        <v>403</v>
      </c>
      <c r="H31" s="6" t="str">
        <f>VLOOKUP(G31,場所マスタ[],6,FALSE)</f>
        <v>オレンジの町</v>
      </c>
      <c r="I31" t="s">
        <v>233</v>
      </c>
      <c r="J31" t="s">
        <v>360</v>
      </c>
      <c r="K31" t="s">
        <v>412</v>
      </c>
      <c r="L31" s="6" t="str">
        <f>IFERROR(VLOOKUP(K31,キャラマスタ[],2,FALSE),"")</f>
        <v>モンキー・D・ルフィ</v>
      </c>
    </row>
    <row r="32" spans="1:13">
      <c r="A32" t="s">
        <v>642</v>
      </c>
      <c r="B32">
        <f t="shared" si="0"/>
        <v>1539</v>
      </c>
      <c r="C32">
        <v>0</v>
      </c>
      <c r="D32">
        <v>1.6</v>
      </c>
      <c r="E32">
        <v>1</v>
      </c>
      <c r="F32">
        <v>8</v>
      </c>
      <c r="G32" t="s">
        <v>512</v>
      </c>
      <c r="H32" s="6" t="str">
        <f>VLOOKUP(G32,場所マスタ[],6,FALSE)</f>
        <v>シェルズタウン近海</v>
      </c>
      <c r="I32" t="s">
        <v>233</v>
      </c>
      <c r="J32" t="s">
        <v>514</v>
      </c>
      <c r="K32" t="s">
        <v>308</v>
      </c>
      <c r="L32" s="6" t="str">
        <f>IFERROR(VLOOKUP(K32,キャラマスタ[],2,FALSE),"")</f>
        <v>ロロノア・ゾロ</v>
      </c>
    </row>
    <row r="33" spans="1:12">
      <c r="A33" t="s">
        <v>643</v>
      </c>
      <c r="B33">
        <f t="shared" si="0"/>
        <v>1539</v>
      </c>
      <c r="C33">
        <v>0</v>
      </c>
      <c r="D33">
        <v>1.2</v>
      </c>
      <c r="E33">
        <v>1</v>
      </c>
      <c r="F33">
        <v>8</v>
      </c>
      <c r="G33" t="s">
        <v>512</v>
      </c>
      <c r="H33" s="6" t="str">
        <f>VLOOKUP(G33,場所マスタ[],6,FALSE)</f>
        <v>シェルズタウン近海</v>
      </c>
      <c r="I33" t="s">
        <v>233</v>
      </c>
      <c r="J33" t="s">
        <v>514</v>
      </c>
      <c r="K33" t="s">
        <v>321</v>
      </c>
      <c r="L33" s="6" t="str">
        <f>IFERROR(VLOOKUP(K33,キャラマスタ[],2,FALSE),"")</f>
        <v>ナミ</v>
      </c>
    </row>
    <row r="34" spans="1:12">
      <c r="A34" t="s">
        <v>644</v>
      </c>
      <c r="B34">
        <f t="shared" si="0"/>
        <v>1539</v>
      </c>
      <c r="C34">
        <v>0</v>
      </c>
      <c r="D34">
        <v>1.6</v>
      </c>
      <c r="E34">
        <v>1</v>
      </c>
      <c r="F34">
        <v>8</v>
      </c>
      <c r="G34" t="s">
        <v>403</v>
      </c>
      <c r="H34" s="6" t="str">
        <f>VLOOKUP(G34,場所マスタ[],6,FALSE)</f>
        <v>オレンジの町</v>
      </c>
      <c r="I34" t="s">
        <v>233</v>
      </c>
      <c r="J34" t="s">
        <v>515</v>
      </c>
      <c r="K34" t="s">
        <v>321</v>
      </c>
      <c r="L34" s="6" t="str">
        <f>IFERROR(VLOOKUP(K34,キャラマスタ[],2,FALSE),"")</f>
        <v>ナミ</v>
      </c>
    </row>
    <row r="35" spans="1:12">
      <c r="A35" t="s">
        <v>655</v>
      </c>
      <c r="B35">
        <f t="shared" si="0"/>
        <v>1539</v>
      </c>
      <c r="C35">
        <v>0</v>
      </c>
      <c r="D35">
        <v>1.7</v>
      </c>
      <c r="E35">
        <v>1</v>
      </c>
      <c r="F35">
        <v>9</v>
      </c>
      <c r="G35" t="s">
        <v>403</v>
      </c>
      <c r="H35" s="6" t="str">
        <f>VLOOKUP(G35,場所マスタ[],6,FALSE)</f>
        <v>オレンジの町</v>
      </c>
      <c r="I35" t="s">
        <v>233</v>
      </c>
      <c r="J35" t="s">
        <v>647</v>
      </c>
      <c r="K35" t="s">
        <v>308</v>
      </c>
      <c r="L35" s="6" t="str">
        <f>IFERROR(VLOOKUP(K35,キャラマスタ[],2,FALSE),"")</f>
        <v>ロロノア・ゾロ</v>
      </c>
    </row>
    <row r="36" spans="1:12">
      <c r="A36" t="s">
        <v>770</v>
      </c>
      <c r="B36">
        <f t="shared" ref="B36:B47" si="8">1539+C36</f>
        <v>1529</v>
      </c>
      <c r="C36">
        <v>-10</v>
      </c>
      <c r="D36">
        <v>-3640</v>
      </c>
      <c r="E36">
        <v>2</v>
      </c>
      <c r="F36">
        <v>12</v>
      </c>
      <c r="G36" t="s">
        <v>403</v>
      </c>
      <c r="H36" s="6" t="str">
        <f>VLOOKUP(G36,場所マスタ[],6,FALSE)</f>
        <v>オレンジの町</v>
      </c>
      <c r="I36" t="s">
        <v>233</v>
      </c>
      <c r="J36" t="s">
        <v>656</v>
      </c>
      <c r="K36" t="s">
        <v>576</v>
      </c>
      <c r="L36" s="6" t="str">
        <f>IFERROR(VLOOKUP(K36,キャラマスタ[],2,FALSE),"")</f>
        <v>シュシュ</v>
      </c>
    </row>
    <row r="37" spans="1:12">
      <c r="A37" t="s">
        <v>771</v>
      </c>
      <c r="B37">
        <f t="shared" si="8"/>
        <v>1538</v>
      </c>
      <c r="C37">
        <v>-1</v>
      </c>
      <c r="D37">
        <v>-90</v>
      </c>
      <c r="E37">
        <v>2</v>
      </c>
      <c r="F37">
        <v>12</v>
      </c>
      <c r="G37" t="s">
        <v>403</v>
      </c>
      <c r="H37" s="6" t="str">
        <f>VLOOKUP(G37,場所マスタ[],6,FALSE)</f>
        <v>オレンジの町</v>
      </c>
      <c r="I37" t="s">
        <v>233</v>
      </c>
      <c r="J37" t="s">
        <v>657</v>
      </c>
      <c r="K37" t="s">
        <v>576</v>
      </c>
      <c r="L37" s="6" t="str">
        <f>IFERROR(VLOOKUP(K37,キャラマスタ[],2,FALSE),"")</f>
        <v>シュシュ</v>
      </c>
    </row>
    <row r="38" spans="1:12">
      <c r="A38" t="s">
        <v>772</v>
      </c>
      <c r="B38">
        <f t="shared" si="8"/>
        <v>1539</v>
      </c>
      <c r="C38">
        <v>0</v>
      </c>
      <c r="D38">
        <v>1.8</v>
      </c>
      <c r="E38">
        <v>3</v>
      </c>
      <c r="F38">
        <v>20</v>
      </c>
      <c r="G38" t="s">
        <v>403</v>
      </c>
      <c r="H38" s="6" t="str">
        <f>VLOOKUP(G38,場所マスタ[],6,FALSE)</f>
        <v>オレンジの町</v>
      </c>
      <c r="I38" t="s">
        <v>233</v>
      </c>
      <c r="J38" t="s">
        <v>659</v>
      </c>
      <c r="K38" t="s">
        <v>411</v>
      </c>
      <c r="L38" s="6" t="str">
        <f>IFERROR(VLOOKUP(K38,キャラマスタ[],2,FALSE),"")</f>
        <v>モンキー・D・ルフィ</v>
      </c>
    </row>
    <row r="39" spans="1:12">
      <c r="A39" t="s">
        <v>773</v>
      </c>
      <c r="B39">
        <f t="shared" si="8"/>
        <v>1539</v>
      </c>
      <c r="C39">
        <v>0</v>
      </c>
      <c r="D39">
        <v>1.8</v>
      </c>
      <c r="E39">
        <v>2</v>
      </c>
      <c r="F39">
        <v>17</v>
      </c>
      <c r="G39" t="s">
        <v>403</v>
      </c>
      <c r="H39" s="6" t="str">
        <f>VLOOKUP(G39,場所マスタ[],6,FALSE)</f>
        <v>オレンジの町</v>
      </c>
      <c r="I39" t="s">
        <v>233</v>
      </c>
      <c r="J39" t="s">
        <v>659</v>
      </c>
      <c r="K39" t="s">
        <v>308</v>
      </c>
      <c r="L39" s="6" t="str">
        <f>IFERROR(VLOOKUP(K39,キャラマスタ[],2,FALSE),"")</f>
        <v>ロロノア・ゾロ</v>
      </c>
    </row>
    <row r="40" spans="1:12">
      <c r="A40" t="s">
        <v>774</v>
      </c>
      <c r="B40">
        <f t="shared" si="8"/>
        <v>1539</v>
      </c>
      <c r="C40">
        <v>0</v>
      </c>
      <c r="D40">
        <v>1.8</v>
      </c>
      <c r="E40">
        <v>2</v>
      </c>
      <c r="F40">
        <v>15</v>
      </c>
      <c r="G40" t="s">
        <v>403</v>
      </c>
      <c r="H40" s="6" t="str">
        <f>VLOOKUP(G40,場所マスタ[],6,FALSE)</f>
        <v>オレンジの町</v>
      </c>
      <c r="I40" t="s">
        <v>233</v>
      </c>
      <c r="J40" t="s">
        <v>659</v>
      </c>
      <c r="K40" t="s">
        <v>321</v>
      </c>
      <c r="L40" s="6" t="str">
        <f>IFERROR(VLOOKUP(K40,キャラマスタ[],2,FALSE),"")</f>
        <v>ナミ</v>
      </c>
    </row>
    <row r="41" spans="1:12">
      <c r="A41" t="s">
        <v>775</v>
      </c>
      <c r="B41">
        <f t="shared" si="8"/>
        <v>1539</v>
      </c>
      <c r="C41">
        <v>0</v>
      </c>
      <c r="D41">
        <v>1.8</v>
      </c>
      <c r="E41">
        <v>3</v>
      </c>
      <c r="F41">
        <v>20</v>
      </c>
      <c r="G41" t="s">
        <v>403</v>
      </c>
      <c r="H41" s="6" t="str">
        <f>VLOOKUP(G41,場所マスタ[],6,FALSE)</f>
        <v>オレンジの町</v>
      </c>
      <c r="I41" t="s">
        <v>233</v>
      </c>
      <c r="J41" t="s">
        <v>660</v>
      </c>
      <c r="K41" t="s">
        <v>570</v>
      </c>
      <c r="L41" s="6" t="str">
        <f>IFERROR(VLOOKUP(K41,キャラマスタ[],2,FALSE),"")</f>
        <v>バギー</v>
      </c>
    </row>
    <row r="42" spans="1:12">
      <c r="A42" t="s">
        <v>776</v>
      </c>
      <c r="B42">
        <f t="shared" si="8"/>
        <v>1539</v>
      </c>
      <c r="C42">
        <v>0</v>
      </c>
      <c r="D42">
        <v>1.8</v>
      </c>
      <c r="E42">
        <v>2</v>
      </c>
      <c r="F42">
        <v>15</v>
      </c>
      <c r="G42" t="s">
        <v>403</v>
      </c>
      <c r="H42" s="6" t="str">
        <f>VLOOKUP(G42,場所マスタ[],6,FALSE)</f>
        <v>オレンジの町</v>
      </c>
      <c r="I42" t="s">
        <v>233</v>
      </c>
      <c r="J42" t="s">
        <v>660</v>
      </c>
      <c r="K42" t="s">
        <v>661</v>
      </c>
      <c r="L42" s="6" t="str">
        <f>IFERROR(VLOOKUP(K42,キャラマスタ[],2,FALSE),"")</f>
        <v>モージ</v>
      </c>
    </row>
    <row r="43" spans="1:12">
      <c r="A43" t="s">
        <v>777</v>
      </c>
      <c r="B43">
        <f t="shared" si="8"/>
        <v>1539</v>
      </c>
      <c r="C43">
        <v>0</v>
      </c>
      <c r="D43">
        <v>1.8</v>
      </c>
      <c r="E43">
        <v>2</v>
      </c>
      <c r="F43">
        <v>17</v>
      </c>
      <c r="G43" t="s">
        <v>403</v>
      </c>
      <c r="H43" s="6" t="str">
        <f>VLOOKUP(G43,場所マスタ[],6,FALSE)</f>
        <v>オレンジの町</v>
      </c>
      <c r="I43" t="s">
        <v>233</v>
      </c>
      <c r="J43" t="s">
        <v>660</v>
      </c>
      <c r="K43" t="s">
        <v>662</v>
      </c>
      <c r="L43" s="6" t="str">
        <f>IFERROR(VLOOKUP(K43,キャラマスタ[],2,FALSE),"")</f>
        <v>カバジ</v>
      </c>
    </row>
    <row r="44" spans="1:12">
      <c r="A44" t="s">
        <v>778</v>
      </c>
      <c r="B44">
        <f>1539+C44</f>
        <v>1539</v>
      </c>
      <c r="C44">
        <v>0</v>
      </c>
      <c r="D44">
        <v>-10</v>
      </c>
      <c r="E44">
        <v>2</v>
      </c>
      <c r="F44">
        <v>17</v>
      </c>
      <c r="G44" t="s">
        <v>403</v>
      </c>
      <c r="H44" s="6" t="str">
        <f>VLOOKUP(G44,場所マスタ[],6,FALSE)</f>
        <v>オレンジの町</v>
      </c>
      <c r="I44" t="s">
        <v>233</v>
      </c>
      <c r="J44" t="s">
        <v>871</v>
      </c>
      <c r="K44" t="s">
        <v>570</v>
      </c>
      <c r="L44" s="6" t="str">
        <f>IFERROR(VLOOKUP(K44,キャラマスタ[],2,FALSE),"")</f>
        <v>バギー</v>
      </c>
    </row>
    <row r="45" spans="1:12">
      <c r="A45" t="s">
        <v>788</v>
      </c>
      <c r="B45">
        <f>1539+C45</f>
        <v>1539</v>
      </c>
      <c r="C45">
        <v>0</v>
      </c>
      <c r="D45">
        <v>-10</v>
      </c>
      <c r="E45">
        <v>2</v>
      </c>
      <c r="F45">
        <v>17</v>
      </c>
      <c r="G45" t="s">
        <v>403</v>
      </c>
      <c r="H45" s="6" t="str">
        <f>VLOOKUP(G45,場所マスタ[],6,FALSE)</f>
        <v>オレンジの町</v>
      </c>
      <c r="I45" t="s">
        <v>233</v>
      </c>
      <c r="J45" t="s">
        <v>871</v>
      </c>
      <c r="K45" t="s">
        <v>661</v>
      </c>
      <c r="L45" s="6" t="str">
        <f>IFERROR(VLOOKUP(K45,キャラマスタ[],2,FALSE),"")</f>
        <v>モージ</v>
      </c>
    </row>
    <row r="46" spans="1:12">
      <c r="A46" t="s">
        <v>789</v>
      </c>
      <c r="B46">
        <f>1539+C46</f>
        <v>1539</v>
      </c>
      <c r="C46">
        <v>0</v>
      </c>
      <c r="D46">
        <v>-10</v>
      </c>
      <c r="E46">
        <v>2</v>
      </c>
      <c r="F46">
        <v>17</v>
      </c>
      <c r="G46" t="s">
        <v>403</v>
      </c>
      <c r="H46" s="6" t="str">
        <f>VLOOKUP(G46,場所マスタ[],6,FALSE)</f>
        <v>オレンジの町</v>
      </c>
      <c r="I46" t="s">
        <v>233</v>
      </c>
      <c r="J46" t="s">
        <v>871</v>
      </c>
      <c r="K46" t="s">
        <v>662</v>
      </c>
      <c r="L46" s="6" t="str">
        <f>IFERROR(VLOOKUP(K46,キャラマスタ[],2,FALSE),"")</f>
        <v>カバジ</v>
      </c>
    </row>
    <row r="47" spans="1:12">
      <c r="A47" t="s">
        <v>790</v>
      </c>
      <c r="B47">
        <f t="shared" si="8"/>
        <v>1499</v>
      </c>
      <c r="C47">
        <v>-40</v>
      </c>
      <c r="D47">
        <v>-14600</v>
      </c>
      <c r="E47">
        <v>2</v>
      </c>
      <c r="F47">
        <v>14</v>
      </c>
      <c r="G47" t="s">
        <v>403</v>
      </c>
      <c r="H47" s="6" t="str">
        <f>VLOOKUP(G47,場所マスタ[],6,FALSE)</f>
        <v>オレンジの町</v>
      </c>
      <c r="I47" t="s">
        <v>233</v>
      </c>
      <c r="J47" t="s">
        <v>663</v>
      </c>
      <c r="K47" t="s">
        <v>577</v>
      </c>
      <c r="L47" s="6" t="str">
        <f>IFERROR(VLOOKUP(K47,キャラマスタ[],2,FALSE),"")</f>
        <v>ブードル</v>
      </c>
    </row>
    <row r="48" spans="1:12">
      <c r="A48" t="s">
        <v>791</v>
      </c>
      <c r="B48">
        <f t="shared" ref="B48:B56" si="9">1539+C48</f>
        <v>1514</v>
      </c>
      <c r="C48">
        <v>-25</v>
      </c>
      <c r="D48">
        <v>-9125</v>
      </c>
      <c r="E48">
        <v>3</v>
      </c>
      <c r="F48">
        <v>19</v>
      </c>
      <c r="G48" t="s">
        <v>497</v>
      </c>
      <c r="H48" s="6" t="str">
        <f>VLOOKUP(G48,場所マスタ[],6,FALSE)</f>
        <v>不明</v>
      </c>
      <c r="I48" t="s">
        <v>233</v>
      </c>
      <c r="J48" t="s">
        <v>779</v>
      </c>
      <c r="K48" t="s">
        <v>570</v>
      </c>
      <c r="L48" s="6" t="str">
        <f>IFERROR(VLOOKUP(K48,キャラマスタ[],2,FALSE),"")</f>
        <v>バギー</v>
      </c>
    </row>
    <row r="49" spans="1:12">
      <c r="A49" t="s">
        <v>792</v>
      </c>
      <c r="B49">
        <f t="shared" si="9"/>
        <v>1514</v>
      </c>
      <c r="C49">
        <v>-25</v>
      </c>
      <c r="D49">
        <v>-9125</v>
      </c>
      <c r="E49">
        <v>3</v>
      </c>
      <c r="F49">
        <v>19</v>
      </c>
      <c r="G49" t="s">
        <v>497</v>
      </c>
      <c r="H49" s="6" t="str">
        <f>VLOOKUP(G49,場所マスタ[],6,FALSE)</f>
        <v>不明</v>
      </c>
      <c r="I49" t="s">
        <v>233</v>
      </c>
      <c r="J49" t="s">
        <v>780</v>
      </c>
      <c r="K49" t="s">
        <v>292</v>
      </c>
      <c r="L49" s="6" t="str">
        <f>IFERROR(VLOOKUP(K49,キャラマスタ[],2,FALSE),"")</f>
        <v>シャンクス</v>
      </c>
    </row>
    <row r="50" spans="1:12">
      <c r="A50" t="s">
        <v>793</v>
      </c>
      <c r="B50">
        <f t="shared" si="9"/>
        <v>1539</v>
      </c>
      <c r="C50">
        <v>0</v>
      </c>
      <c r="D50">
        <v>1.9</v>
      </c>
      <c r="E50">
        <v>3</v>
      </c>
      <c r="F50">
        <v>21</v>
      </c>
      <c r="G50" t="s">
        <v>781</v>
      </c>
      <c r="H50" s="6" t="str">
        <f>VLOOKUP(G50,場所マスタ[],6,FALSE)</f>
        <v>オレンジの町近海</v>
      </c>
      <c r="I50" t="s">
        <v>233</v>
      </c>
      <c r="J50" t="s">
        <v>784</v>
      </c>
      <c r="K50" t="s">
        <v>570</v>
      </c>
      <c r="L50" s="6" t="str">
        <f>IFERROR(VLOOKUP(K50,キャラマスタ[],2,FALSE),"")</f>
        <v>バギー</v>
      </c>
    </row>
    <row r="51" spans="1:12">
      <c r="A51" t="s">
        <v>794</v>
      </c>
      <c r="B51">
        <f t="shared" si="9"/>
        <v>1539</v>
      </c>
      <c r="C51">
        <v>0</v>
      </c>
      <c r="D51">
        <v>1.9</v>
      </c>
      <c r="E51">
        <v>3</v>
      </c>
      <c r="F51">
        <v>22</v>
      </c>
      <c r="G51" t="s">
        <v>729</v>
      </c>
      <c r="H51" s="6" t="str">
        <f>VLOOKUP(G51,場所マスタ[],6,FALSE)</f>
        <v>珍獣島</v>
      </c>
      <c r="I51" t="s">
        <v>233</v>
      </c>
      <c r="J51" t="s">
        <v>785</v>
      </c>
      <c r="K51" t="s">
        <v>411</v>
      </c>
      <c r="L51" s="6" t="str">
        <f>IFERROR(VLOOKUP(K51,キャラマスタ[],2,FALSE),"")</f>
        <v>モンキー・D・ルフィ</v>
      </c>
    </row>
    <row r="52" spans="1:12">
      <c r="A52" t="s">
        <v>795</v>
      </c>
      <c r="B52">
        <f t="shared" si="9"/>
        <v>1539</v>
      </c>
      <c r="C52">
        <v>0</v>
      </c>
      <c r="D52">
        <v>1.9</v>
      </c>
      <c r="E52">
        <v>3</v>
      </c>
      <c r="F52">
        <v>22</v>
      </c>
      <c r="G52" t="s">
        <v>729</v>
      </c>
      <c r="H52" s="6" t="str">
        <f>VLOOKUP(G52,場所マスタ[],6,FALSE)</f>
        <v>珍獣島</v>
      </c>
      <c r="I52" t="s">
        <v>233</v>
      </c>
      <c r="J52" t="s">
        <v>785</v>
      </c>
      <c r="K52" t="s">
        <v>308</v>
      </c>
      <c r="L52" s="6" t="str">
        <f>IFERROR(VLOOKUP(K52,キャラマスタ[],2,FALSE),"")</f>
        <v>ロロノア・ゾロ</v>
      </c>
    </row>
    <row r="53" spans="1:12">
      <c r="A53" t="s">
        <v>796</v>
      </c>
      <c r="B53">
        <f t="shared" si="9"/>
        <v>1539</v>
      </c>
      <c r="C53">
        <v>0</v>
      </c>
      <c r="D53">
        <v>1.9</v>
      </c>
      <c r="E53">
        <v>3</v>
      </c>
      <c r="F53">
        <v>22</v>
      </c>
      <c r="G53" t="s">
        <v>729</v>
      </c>
      <c r="H53" s="6" t="str">
        <f>VLOOKUP(G53,場所マスタ[],6,FALSE)</f>
        <v>珍獣島</v>
      </c>
      <c r="I53" t="s">
        <v>233</v>
      </c>
      <c r="J53" t="s">
        <v>785</v>
      </c>
      <c r="K53" t="s">
        <v>321</v>
      </c>
      <c r="L53" s="6" t="str">
        <f>IFERROR(VLOOKUP(K53,キャラマスタ[],2,FALSE),"")</f>
        <v>ナミ</v>
      </c>
    </row>
    <row r="54" spans="1:12">
      <c r="A54" t="s">
        <v>797</v>
      </c>
      <c r="B54">
        <f t="shared" si="9"/>
        <v>1539</v>
      </c>
      <c r="C54">
        <v>0</v>
      </c>
      <c r="D54">
        <v>1.9</v>
      </c>
      <c r="E54">
        <v>3</v>
      </c>
      <c r="F54">
        <v>22</v>
      </c>
      <c r="G54" t="s">
        <v>729</v>
      </c>
      <c r="H54" s="6" t="str">
        <f>VLOOKUP(G54,場所マスタ[],6,FALSE)</f>
        <v>珍獣島</v>
      </c>
      <c r="I54" t="s">
        <v>233</v>
      </c>
      <c r="J54" t="s">
        <v>786</v>
      </c>
      <c r="K54" t="s">
        <v>717</v>
      </c>
      <c r="L54" s="6" t="str">
        <f>IFERROR(VLOOKUP(K54,キャラマスタ[],2,FALSE),"")</f>
        <v>ガイモン</v>
      </c>
    </row>
    <row r="55" spans="1:12">
      <c r="A55" t="s">
        <v>798</v>
      </c>
      <c r="B55">
        <f t="shared" si="9"/>
        <v>1519</v>
      </c>
      <c r="C55">
        <v>-20</v>
      </c>
      <c r="D55">
        <v>-7300</v>
      </c>
      <c r="E55">
        <v>3</v>
      </c>
      <c r="F55">
        <v>22</v>
      </c>
      <c r="G55" t="s">
        <v>729</v>
      </c>
      <c r="H55" s="6" t="str">
        <f>VLOOKUP(G55,場所マスタ[],6,FALSE)</f>
        <v>珍獣島</v>
      </c>
      <c r="I55" t="s">
        <v>233</v>
      </c>
      <c r="J55" t="s">
        <v>814</v>
      </c>
      <c r="K55" t="s">
        <v>717</v>
      </c>
      <c r="L55" s="6" t="str">
        <f>IFERROR(VLOOKUP(K55,キャラマスタ[],2,FALSE),"")</f>
        <v>ガイモン</v>
      </c>
    </row>
    <row r="56" spans="1:12">
      <c r="A56" t="s">
        <v>799</v>
      </c>
      <c r="B56">
        <f t="shared" si="9"/>
        <v>1539</v>
      </c>
      <c r="C56">
        <v>0</v>
      </c>
      <c r="D56">
        <v>2</v>
      </c>
      <c r="E56">
        <v>3</v>
      </c>
      <c r="F56">
        <v>23</v>
      </c>
      <c r="G56" t="s">
        <v>730</v>
      </c>
      <c r="H56" s="6" t="str">
        <f>VLOOKUP(G56,場所マスタ[],6,FALSE)</f>
        <v>シロップ村</v>
      </c>
      <c r="I56" t="s">
        <v>233</v>
      </c>
      <c r="J56" t="s">
        <v>787</v>
      </c>
      <c r="K56" t="s">
        <v>411</v>
      </c>
      <c r="L56" s="6" t="str">
        <f>IFERROR(VLOOKUP(K56,キャラマスタ[],2,FALSE),"")</f>
        <v>モンキー・D・ルフィ</v>
      </c>
    </row>
    <row r="57" spans="1:12">
      <c r="A57" t="s">
        <v>800</v>
      </c>
      <c r="B57">
        <f t="shared" ref="B57:B64" si="10">1539+C57</f>
        <v>1539</v>
      </c>
      <c r="C57">
        <v>0</v>
      </c>
      <c r="D57">
        <v>2</v>
      </c>
      <c r="E57">
        <v>3</v>
      </c>
      <c r="F57">
        <v>23</v>
      </c>
      <c r="G57" t="s">
        <v>730</v>
      </c>
      <c r="H57" s="6" t="str">
        <f>VLOOKUP(G57,場所マスタ[],6,FALSE)</f>
        <v>シロップ村</v>
      </c>
      <c r="I57" t="s">
        <v>233</v>
      </c>
      <c r="J57" t="s">
        <v>787</v>
      </c>
      <c r="K57" t="s">
        <v>308</v>
      </c>
      <c r="L57" s="6" t="str">
        <f>IFERROR(VLOOKUP(K57,キャラマスタ[],2,FALSE),"")</f>
        <v>ロロノア・ゾロ</v>
      </c>
    </row>
    <row r="58" spans="1:12">
      <c r="A58" t="s">
        <v>801</v>
      </c>
      <c r="B58">
        <f t="shared" si="10"/>
        <v>1539</v>
      </c>
      <c r="C58">
        <v>0</v>
      </c>
      <c r="D58">
        <v>2</v>
      </c>
      <c r="E58">
        <v>3</v>
      </c>
      <c r="F58">
        <v>23</v>
      </c>
      <c r="G58" t="s">
        <v>730</v>
      </c>
      <c r="H58" s="6" t="str">
        <f>VLOOKUP(G58,場所マスタ[],6,FALSE)</f>
        <v>シロップ村</v>
      </c>
      <c r="I58" t="s">
        <v>233</v>
      </c>
      <c r="J58" t="s">
        <v>787</v>
      </c>
      <c r="K58" t="s">
        <v>321</v>
      </c>
      <c r="L58" s="6" t="str">
        <f>IFERROR(VLOOKUP(K58,キャラマスタ[],2,FALSE),"")</f>
        <v>ナミ</v>
      </c>
    </row>
    <row r="59" spans="1:12">
      <c r="A59" t="s">
        <v>802</v>
      </c>
      <c r="B59">
        <f t="shared" si="10"/>
        <v>1539</v>
      </c>
      <c r="C59">
        <v>0</v>
      </c>
      <c r="D59">
        <v>2</v>
      </c>
      <c r="E59">
        <v>3</v>
      </c>
      <c r="F59">
        <v>23</v>
      </c>
      <c r="G59" t="s">
        <v>730</v>
      </c>
      <c r="H59" s="6" t="str">
        <f>VLOOKUP(G59,場所マスタ[],6,FALSE)</f>
        <v>シロップ村</v>
      </c>
      <c r="I59" t="s">
        <v>233</v>
      </c>
      <c r="J59" t="s">
        <v>807</v>
      </c>
      <c r="K59" t="s">
        <v>718</v>
      </c>
      <c r="L59" s="6" t="str">
        <f>IFERROR(VLOOKUP(K59,キャラマスタ[],2,FALSE),"")</f>
        <v>ウソップ</v>
      </c>
    </row>
    <row r="60" spans="1:12">
      <c r="A60" t="s">
        <v>803</v>
      </c>
      <c r="B60">
        <f t="shared" si="10"/>
        <v>1536</v>
      </c>
      <c r="C60">
        <v>-3</v>
      </c>
      <c r="D60">
        <v>-1095</v>
      </c>
      <c r="E60">
        <v>3</v>
      </c>
      <c r="F60">
        <v>25</v>
      </c>
      <c r="G60" t="s">
        <v>730</v>
      </c>
      <c r="H60" s="6" t="str">
        <f>VLOOKUP(G60,場所マスタ[],6,FALSE)</f>
        <v>シロップ村</v>
      </c>
      <c r="I60" t="s">
        <v>233</v>
      </c>
      <c r="J60" t="s">
        <v>808</v>
      </c>
      <c r="K60" t="s">
        <v>723</v>
      </c>
      <c r="L60" s="6" t="str">
        <f>IFERROR(VLOOKUP(K60,キャラマスタ[],2,FALSE),"")</f>
        <v>クロ</v>
      </c>
    </row>
    <row r="61" spans="1:12">
      <c r="A61" t="s">
        <v>804</v>
      </c>
      <c r="B61">
        <f t="shared" si="10"/>
        <v>1539</v>
      </c>
      <c r="C61">
        <v>0</v>
      </c>
      <c r="D61">
        <v>2.5</v>
      </c>
      <c r="E61">
        <v>3</v>
      </c>
      <c r="F61">
        <v>25</v>
      </c>
      <c r="G61" t="s">
        <v>730</v>
      </c>
      <c r="H61" s="6" t="str">
        <f>VLOOKUP(G61,場所マスタ[],6,FALSE)</f>
        <v>シロップ村</v>
      </c>
      <c r="I61" t="s">
        <v>233</v>
      </c>
      <c r="J61" t="s">
        <v>809</v>
      </c>
      <c r="K61" t="s">
        <v>723</v>
      </c>
      <c r="L61" s="6" t="str">
        <f>IFERROR(VLOOKUP(K61,キャラマスタ[],2,FALSE),"")</f>
        <v>クロ</v>
      </c>
    </row>
    <row r="62" spans="1:12">
      <c r="A62" t="s">
        <v>868</v>
      </c>
      <c r="B62">
        <f t="shared" si="10"/>
        <v>1539</v>
      </c>
      <c r="C62">
        <v>0</v>
      </c>
      <c r="D62">
        <v>2.5</v>
      </c>
      <c r="E62">
        <v>3</v>
      </c>
      <c r="F62">
        <v>25</v>
      </c>
      <c r="G62" t="s">
        <v>730</v>
      </c>
      <c r="H62" s="6" t="str">
        <f>VLOOKUP(G62,場所マスタ[],6,FALSE)</f>
        <v>シロップ村</v>
      </c>
      <c r="I62" t="s">
        <v>233</v>
      </c>
      <c r="J62" t="s">
        <v>809</v>
      </c>
      <c r="K62" t="s">
        <v>727</v>
      </c>
      <c r="L62" s="6" t="str">
        <f>IFERROR(VLOOKUP(K62,キャラマスタ[],2,FALSE),"")</f>
        <v>ジャンゴ</v>
      </c>
    </row>
    <row r="63" spans="1:12">
      <c r="A63" t="s">
        <v>869</v>
      </c>
      <c r="B63">
        <f t="shared" si="10"/>
        <v>1539</v>
      </c>
      <c r="C63">
        <v>0</v>
      </c>
      <c r="D63">
        <v>-5</v>
      </c>
      <c r="E63">
        <v>3</v>
      </c>
      <c r="F63">
        <v>26</v>
      </c>
      <c r="G63" t="s">
        <v>782</v>
      </c>
      <c r="H63" s="6" t="str">
        <f>VLOOKUP(G63,場所マスタ[],6,FALSE)</f>
        <v>シロップ村近海</v>
      </c>
      <c r="I63" t="s">
        <v>233</v>
      </c>
      <c r="J63" t="s">
        <v>812</v>
      </c>
      <c r="K63" t="s">
        <v>727</v>
      </c>
      <c r="L63" s="6" t="str">
        <f>IFERROR(VLOOKUP(K63,キャラマスタ[],2,FALSE),"")</f>
        <v>ジャンゴ</v>
      </c>
    </row>
    <row r="64" spans="1:12">
      <c r="A64" t="s">
        <v>870</v>
      </c>
      <c r="B64">
        <f t="shared" si="10"/>
        <v>1538</v>
      </c>
      <c r="C64">
        <v>-1</v>
      </c>
      <c r="D64">
        <v>-365</v>
      </c>
      <c r="E64">
        <v>3</v>
      </c>
      <c r="F64">
        <v>26</v>
      </c>
      <c r="G64" t="s">
        <v>730</v>
      </c>
      <c r="H64" s="6" t="str">
        <f>VLOOKUP(G64,場所マスタ[],6,FALSE)</f>
        <v>シロップ村</v>
      </c>
      <c r="I64" t="s">
        <v>233</v>
      </c>
      <c r="J64" t="s">
        <v>813</v>
      </c>
      <c r="K64" t="s">
        <v>718</v>
      </c>
      <c r="L64" s="6" t="str">
        <f>IFERROR(VLOOKUP(K64,キャラマスタ[],2,FALSE),"")</f>
        <v>ウソップ</v>
      </c>
    </row>
    <row r="65" spans="1:14">
      <c r="A65" t="s">
        <v>873</v>
      </c>
      <c r="B65">
        <f>1539+C65</f>
        <v>1539</v>
      </c>
      <c r="C65">
        <v>0</v>
      </c>
      <c r="D65">
        <v>3</v>
      </c>
      <c r="E65">
        <v>4</v>
      </c>
      <c r="F65">
        <v>28</v>
      </c>
      <c r="G65" t="s">
        <v>730</v>
      </c>
      <c r="H65" s="6" t="str">
        <f>VLOOKUP(G65,場所マスタ[],6,FALSE)</f>
        <v>シロップ村</v>
      </c>
      <c r="I65" t="s">
        <v>233</v>
      </c>
      <c r="J65" t="s">
        <v>872</v>
      </c>
      <c r="K65" t="s">
        <v>411</v>
      </c>
      <c r="L65" s="6" t="str">
        <f>IFERROR(VLOOKUP(K65,キャラマスタ[],2,FALSE),"")</f>
        <v>モンキー・D・ルフィ</v>
      </c>
    </row>
    <row r="66" spans="1:14">
      <c r="A66" t="s">
        <v>874</v>
      </c>
      <c r="B66">
        <f t="shared" ref="B66:B67" si="11">1539+C66</f>
        <v>1539</v>
      </c>
      <c r="C66">
        <v>0</v>
      </c>
      <c r="D66">
        <v>3</v>
      </c>
      <c r="E66">
        <v>4</v>
      </c>
      <c r="F66">
        <v>28</v>
      </c>
      <c r="G66" t="s">
        <v>730</v>
      </c>
      <c r="H66" s="6" t="str">
        <f>VLOOKUP(G66,場所マスタ[],6,FALSE)</f>
        <v>シロップ村</v>
      </c>
      <c r="I66" t="s">
        <v>233</v>
      </c>
      <c r="J66" t="s">
        <v>872</v>
      </c>
      <c r="K66" t="s">
        <v>308</v>
      </c>
      <c r="L66" s="6" t="str">
        <f>IFERROR(VLOOKUP(K66,キャラマスタ[],2,FALSE),"")</f>
        <v>ロロノア・ゾロ</v>
      </c>
    </row>
    <row r="67" spans="1:14">
      <c r="A67" t="s">
        <v>875</v>
      </c>
      <c r="B67">
        <f t="shared" si="11"/>
        <v>1539</v>
      </c>
      <c r="C67">
        <v>0</v>
      </c>
      <c r="D67">
        <v>3</v>
      </c>
      <c r="E67">
        <v>4</v>
      </c>
      <c r="F67">
        <v>28</v>
      </c>
      <c r="G67" t="s">
        <v>730</v>
      </c>
      <c r="H67" s="6" t="str">
        <f>VLOOKUP(G67,場所マスタ[],6,FALSE)</f>
        <v>シロップ村</v>
      </c>
      <c r="I67" t="s">
        <v>233</v>
      </c>
      <c r="J67" t="s">
        <v>872</v>
      </c>
      <c r="K67" t="s">
        <v>321</v>
      </c>
      <c r="L67" s="6" t="str">
        <f>IFERROR(VLOOKUP(K67,キャラマスタ[],2,FALSE),"")</f>
        <v>ナミ</v>
      </c>
    </row>
    <row r="68" spans="1:14">
      <c r="A68" t="s">
        <v>876</v>
      </c>
      <c r="B68">
        <f>1539+C68</f>
        <v>1539</v>
      </c>
      <c r="C68">
        <v>0</v>
      </c>
      <c r="D68">
        <v>3</v>
      </c>
      <c r="E68">
        <v>4</v>
      </c>
      <c r="F68">
        <v>28</v>
      </c>
      <c r="G68" t="s">
        <v>730</v>
      </c>
      <c r="H68" s="6" t="str">
        <f>VLOOKUP(G68,場所マスタ[],6,FALSE)</f>
        <v>シロップ村</v>
      </c>
      <c r="I68" t="s">
        <v>233</v>
      </c>
      <c r="J68" t="s">
        <v>872</v>
      </c>
      <c r="K68" t="s">
        <v>718</v>
      </c>
      <c r="L68" s="6" t="str">
        <f>IFERROR(VLOOKUP(K68,キャラマスタ[],2,FALSE),"")</f>
        <v>ウソップ</v>
      </c>
    </row>
    <row r="69" spans="1:14">
      <c r="A69" t="s">
        <v>877</v>
      </c>
      <c r="B69">
        <f t="shared" ref="B69:B72" si="12">1539+C69</f>
        <v>1539</v>
      </c>
      <c r="C69">
        <v>0</v>
      </c>
      <c r="D69">
        <v>3</v>
      </c>
      <c r="E69">
        <v>4</v>
      </c>
      <c r="F69">
        <v>28</v>
      </c>
      <c r="G69" t="s">
        <v>730</v>
      </c>
      <c r="H69" s="6" t="str">
        <f>VLOOKUP(G69,場所マスタ[],6,FALSE)</f>
        <v>シロップ村</v>
      </c>
      <c r="I69" t="s">
        <v>233</v>
      </c>
      <c r="J69" t="s">
        <v>879</v>
      </c>
      <c r="K69" t="s">
        <v>723</v>
      </c>
      <c r="L69" s="6" t="str">
        <f>IFERROR(VLOOKUP(K69,キャラマスタ[],2,FALSE),"")</f>
        <v>クロ</v>
      </c>
    </row>
    <row r="70" spans="1:14">
      <c r="A70" t="s">
        <v>878</v>
      </c>
      <c r="B70">
        <f t="shared" si="12"/>
        <v>1539</v>
      </c>
      <c r="C70">
        <v>0</v>
      </c>
      <c r="D70">
        <v>3</v>
      </c>
      <c r="E70">
        <v>4</v>
      </c>
      <c r="F70">
        <v>28</v>
      </c>
      <c r="G70" t="s">
        <v>730</v>
      </c>
      <c r="H70" s="6" t="str">
        <f>VLOOKUP(G70,場所マスタ[],6,FALSE)</f>
        <v>シロップ村</v>
      </c>
      <c r="I70" t="s">
        <v>233</v>
      </c>
      <c r="J70" t="s">
        <v>879</v>
      </c>
      <c r="K70" t="s">
        <v>727</v>
      </c>
      <c r="L70" s="6" t="str">
        <f>IFERROR(VLOOKUP(K70,キャラマスタ[],2,FALSE),"")</f>
        <v>ジャンゴ</v>
      </c>
    </row>
    <row r="71" spans="1:14">
      <c r="A71" t="s">
        <v>1041</v>
      </c>
      <c r="B71">
        <f t="shared" si="12"/>
        <v>1539</v>
      </c>
      <c r="C71">
        <v>0</v>
      </c>
      <c r="D71">
        <v>2</v>
      </c>
      <c r="E71">
        <v>4</v>
      </c>
      <c r="F71">
        <v>35</v>
      </c>
      <c r="G71" t="s">
        <v>781</v>
      </c>
      <c r="H71" s="6" t="str">
        <f>VLOOKUP(G71,場所マスタ[],6,FALSE)</f>
        <v>オレンジの町近海</v>
      </c>
      <c r="I71" t="s">
        <v>233</v>
      </c>
      <c r="J71" t="s">
        <v>887</v>
      </c>
      <c r="K71" t="s">
        <v>570</v>
      </c>
      <c r="L71" s="6" t="str">
        <f>IFERROR(VLOOKUP(K71,キャラマスタ[],2,FALSE),"")</f>
        <v>バギー</v>
      </c>
    </row>
    <row r="72" spans="1:14">
      <c r="A72" t="s">
        <v>1042</v>
      </c>
      <c r="B72">
        <f t="shared" si="12"/>
        <v>1539</v>
      </c>
      <c r="C72">
        <v>0</v>
      </c>
      <c r="D72">
        <v>3.2</v>
      </c>
      <c r="E72">
        <v>5</v>
      </c>
      <c r="F72">
        <v>40</v>
      </c>
      <c r="G72" t="s">
        <v>730</v>
      </c>
      <c r="H72" s="6" t="str">
        <f>VLOOKUP(G72,場所マスタ[],6,FALSE)</f>
        <v>シロップ村</v>
      </c>
      <c r="I72" t="s">
        <v>233</v>
      </c>
      <c r="J72" t="s">
        <v>1040</v>
      </c>
      <c r="K72" t="s">
        <v>718</v>
      </c>
      <c r="L72" s="6" t="str">
        <f>IFERROR(VLOOKUP(K72,キャラマスタ[],2,FALSE),"")</f>
        <v>ウソップ</v>
      </c>
    </row>
    <row r="73" spans="1:14">
      <c r="A73" t="s">
        <v>1043</v>
      </c>
      <c r="B73">
        <f t="shared" ref="B73:B80" si="13">1539+C73</f>
        <v>1534</v>
      </c>
      <c r="C73">
        <v>-5</v>
      </c>
      <c r="D73">
        <v>-1825</v>
      </c>
      <c r="E73">
        <v>5</v>
      </c>
      <c r="F73">
        <v>40</v>
      </c>
      <c r="G73" t="s">
        <v>730</v>
      </c>
      <c r="H73" s="6" t="str">
        <f>VLOOKUP(G73,場所マスタ[],6,FALSE)</f>
        <v>シロップ村</v>
      </c>
      <c r="I73" t="s">
        <v>233</v>
      </c>
      <c r="J73" t="s">
        <v>1049</v>
      </c>
      <c r="K73" t="s">
        <v>718</v>
      </c>
      <c r="L73" s="6" t="str">
        <f>IFERROR(VLOOKUP(K73,キャラマスタ[],2,FALSE),"")</f>
        <v>ウソップ</v>
      </c>
    </row>
    <row r="74" spans="1:14">
      <c r="A74" t="s">
        <v>1044</v>
      </c>
      <c r="B74">
        <f t="shared" si="13"/>
        <v>1527</v>
      </c>
      <c r="C74">
        <v>-12</v>
      </c>
      <c r="D74">
        <v>-4380</v>
      </c>
      <c r="E74">
        <v>5</v>
      </c>
      <c r="F74">
        <v>41</v>
      </c>
      <c r="G74" t="s">
        <v>730</v>
      </c>
      <c r="H74" s="6" t="str">
        <f>VLOOKUP(G74,場所マスタ[],6,FALSE)</f>
        <v>シロップ村</v>
      </c>
      <c r="I74" t="s">
        <v>233</v>
      </c>
      <c r="J74" t="s">
        <v>1050</v>
      </c>
      <c r="K74" t="s">
        <v>294</v>
      </c>
      <c r="L74" s="6" t="str">
        <f>IFERROR(VLOOKUP(K74,キャラマスタ[],2,FALSE),"")</f>
        <v>ヤソップ</v>
      </c>
      <c r="N74" t="s">
        <v>1051</v>
      </c>
    </row>
    <row r="75" spans="1:14">
      <c r="A75" t="s">
        <v>1045</v>
      </c>
      <c r="B75">
        <f t="shared" si="13"/>
        <v>1527</v>
      </c>
      <c r="C75">
        <v>-12</v>
      </c>
      <c r="D75">
        <v>-4200</v>
      </c>
      <c r="E75">
        <v>5</v>
      </c>
      <c r="F75">
        <v>41</v>
      </c>
      <c r="G75" t="s">
        <v>730</v>
      </c>
      <c r="H75" s="6" t="str">
        <f>VLOOKUP(G75,場所マスタ[],6,FALSE)</f>
        <v>シロップ村</v>
      </c>
      <c r="I75" t="s">
        <v>233</v>
      </c>
      <c r="J75" t="s">
        <v>1052</v>
      </c>
      <c r="K75" t="s">
        <v>718</v>
      </c>
      <c r="L75" s="6" t="str">
        <f>IFERROR(VLOOKUP(K75,キャラマスタ[],2,FALSE),"")</f>
        <v>ウソップ</v>
      </c>
    </row>
    <row r="76" spans="1:14">
      <c r="A76" t="s">
        <v>1046</v>
      </c>
      <c r="B76">
        <f t="shared" si="13"/>
        <v>1539</v>
      </c>
      <c r="C76">
        <v>0</v>
      </c>
      <c r="D76">
        <v>3.3</v>
      </c>
      <c r="E76">
        <v>5</v>
      </c>
      <c r="F76">
        <v>41</v>
      </c>
      <c r="G76" t="s">
        <v>730</v>
      </c>
      <c r="H76" s="6" t="str">
        <f>VLOOKUP(G76,場所マスタ[],6,FALSE)</f>
        <v>シロップ村</v>
      </c>
      <c r="I76" t="s">
        <v>233</v>
      </c>
      <c r="J76" t="s">
        <v>1053</v>
      </c>
      <c r="K76" t="s">
        <v>411</v>
      </c>
      <c r="L76" s="6" t="str">
        <f>IFERROR(VLOOKUP(K76,キャラマスタ[],2,FALSE),"")</f>
        <v>モンキー・D・ルフィ</v>
      </c>
    </row>
    <row r="77" spans="1:14">
      <c r="A77" t="s">
        <v>1047</v>
      </c>
      <c r="B77">
        <f t="shared" si="13"/>
        <v>1539</v>
      </c>
      <c r="C77">
        <v>0</v>
      </c>
      <c r="D77">
        <v>3.3</v>
      </c>
      <c r="E77">
        <v>5</v>
      </c>
      <c r="F77">
        <v>41</v>
      </c>
      <c r="G77" t="s">
        <v>730</v>
      </c>
      <c r="H77" s="6" t="str">
        <f>VLOOKUP(G77,場所マスタ[],6,FALSE)</f>
        <v>シロップ村</v>
      </c>
      <c r="I77" t="s">
        <v>233</v>
      </c>
      <c r="J77" t="s">
        <v>1053</v>
      </c>
      <c r="K77" t="s">
        <v>308</v>
      </c>
      <c r="L77" s="6" t="str">
        <f>IFERROR(VLOOKUP(K77,キャラマスタ[],2,FALSE),"")</f>
        <v>ロロノア・ゾロ</v>
      </c>
    </row>
    <row r="78" spans="1:14">
      <c r="A78" t="s">
        <v>1048</v>
      </c>
      <c r="B78">
        <f t="shared" si="13"/>
        <v>1539</v>
      </c>
      <c r="C78">
        <v>0</v>
      </c>
      <c r="D78">
        <v>3.3</v>
      </c>
      <c r="E78">
        <v>5</v>
      </c>
      <c r="F78">
        <v>41</v>
      </c>
      <c r="G78" t="s">
        <v>730</v>
      </c>
      <c r="H78" s="6" t="str">
        <f>VLOOKUP(G78,場所マスタ[],6,FALSE)</f>
        <v>シロップ村</v>
      </c>
      <c r="I78" t="s">
        <v>233</v>
      </c>
      <c r="J78" t="s">
        <v>1053</v>
      </c>
      <c r="K78" t="s">
        <v>321</v>
      </c>
      <c r="L78" s="6" t="str">
        <f>IFERROR(VLOOKUP(K78,キャラマスタ[],2,FALSE),"")</f>
        <v>ナミ</v>
      </c>
    </row>
    <row r="79" spans="1:14">
      <c r="A79" t="s">
        <v>1055</v>
      </c>
      <c r="B79">
        <f t="shared" si="13"/>
        <v>1539</v>
      </c>
      <c r="C79">
        <v>0</v>
      </c>
      <c r="D79">
        <v>3.3</v>
      </c>
      <c r="E79">
        <v>5</v>
      </c>
      <c r="F79">
        <v>41</v>
      </c>
      <c r="G79" t="s">
        <v>730</v>
      </c>
      <c r="H79" s="6" t="str">
        <f>VLOOKUP(G79,場所マスタ[],6,FALSE)</f>
        <v>シロップ村</v>
      </c>
      <c r="I79" t="s">
        <v>233</v>
      </c>
      <c r="J79" t="s">
        <v>1053</v>
      </c>
      <c r="K79" t="s">
        <v>718</v>
      </c>
      <c r="L79" s="6" t="str">
        <f>IFERROR(VLOOKUP(K79,キャラマスタ[],2,FALSE),"")</f>
        <v>ウソップ</v>
      </c>
    </row>
    <row r="80" spans="1:14">
      <c r="A80" t="s">
        <v>1056</v>
      </c>
      <c r="B80">
        <f t="shared" si="13"/>
        <v>1539</v>
      </c>
      <c r="C80">
        <v>0</v>
      </c>
      <c r="D80">
        <v>3.5</v>
      </c>
      <c r="E80">
        <v>5</v>
      </c>
      <c r="F80">
        <v>42</v>
      </c>
      <c r="G80" t="s">
        <v>782</v>
      </c>
      <c r="H80" s="6" t="str">
        <f>VLOOKUP(G80,場所マスタ[],6,FALSE)</f>
        <v>シロップ村近海</v>
      </c>
      <c r="I80" t="s">
        <v>233</v>
      </c>
      <c r="J80" t="s">
        <v>1054</v>
      </c>
      <c r="K80" t="s">
        <v>411</v>
      </c>
      <c r="L80" s="6" t="str">
        <f>IFERROR(VLOOKUP(K80,キャラマスタ[],2,FALSE),"")</f>
        <v>モンキー・D・ルフィ</v>
      </c>
    </row>
    <row r="81" spans="1:12">
      <c r="A81" t="s">
        <v>1057</v>
      </c>
      <c r="B81">
        <f t="shared" ref="B81:B87" si="14">1539+C81</f>
        <v>1539</v>
      </c>
      <c r="C81">
        <v>0</v>
      </c>
      <c r="D81">
        <v>3.5</v>
      </c>
      <c r="E81">
        <v>5</v>
      </c>
      <c r="F81">
        <v>42</v>
      </c>
      <c r="G81" t="s">
        <v>782</v>
      </c>
      <c r="H81" s="6" t="str">
        <f>VLOOKUP(G81,場所マスタ[],6,FALSE)</f>
        <v>シロップ村近海</v>
      </c>
      <c r="I81" t="s">
        <v>233</v>
      </c>
      <c r="J81" t="s">
        <v>1054</v>
      </c>
      <c r="K81" t="s">
        <v>308</v>
      </c>
      <c r="L81" s="6" t="str">
        <f>IFERROR(VLOOKUP(K81,キャラマスタ[],2,FALSE),"")</f>
        <v>ロロノア・ゾロ</v>
      </c>
    </row>
    <row r="82" spans="1:12">
      <c r="A82" t="s">
        <v>1058</v>
      </c>
      <c r="B82">
        <f t="shared" si="14"/>
        <v>1539</v>
      </c>
      <c r="C82">
        <v>0</v>
      </c>
      <c r="D82">
        <v>3.5</v>
      </c>
      <c r="E82">
        <v>5</v>
      </c>
      <c r="F82">
        <v>42</v>
      </c>
      <c r="G82" t="s">
        <v>782</v>
      </c>
      <c r="H82" s="6" t="str">
        <f>VLOOKUP(G82,場所マスタ[],6,FALSE)</f>
        <v>シロップ村近海</v>
      </c>
      <c r="I82" t="s">
        <v>233</v>
      </c>
      <c r="J82" t="s">
        <v>1054</v>
      </c>
      <c r="K82" t="s">
        <v>321</v>
      </c>
      <c r="L82" s="6" t="str">
        <f>IFERROR(VLOOKUP(K82,キャラマスタ[],2,FALSE),"")</f>
        <v>ナミ</v>
      </c>
    </row>
    <row r="83" spans="1:12">
      <c r="A83" t="s">
        <v>1059</v>
      </c>
      <c r="B83">
        <f t="shared" si="14"/>
        <v>1539</v>
      </c>
      <c r="C83">
        <v>0</v>
      </c>
      <c r="D83">
        <v>3.5</v>
      </c>
      <c r="E83">
        <v>5</v>
      </c>
      <c r="F83">
        <v>42</v>
      </c>
      <c r="G83" t="s">
        <v>782</v>
      </c>
      <c r="H83" s="6" t="str">
        <f>VLOOKUP(G83,場所マスタ[],6,FALSE)</f>
        <v>シロップ村近海</v>
      </c>
      <c r="I83" t="s">
        <v>233</v>
      </c>
      <c r="J83" t="s">
        <v>1054</v>
      </c>
      <c r="K83" t="s">
        <v>718</v>
      </c>
      <c r="L83" s="6" t="str">
        <f>IFERROR(VLOOKUP(K83,キャラマスタ[],2,FALSE),"")</f>
        <v>ウソップ</v>
      </c>
    </row>
    <row r="84" spans="1:12">
      <c r="A84" t="s">
        <v>1060</v>
      </c>
      <c r="B84">
        <f t="shared" si="14"/>
        <v>1539</v>
      </c>
      <c r="C84">
        <v>0</v>
      </c>
      <c r="D84">
        <v>3.5</v>
      </c>
      <c r="E84">
        <v>5</v>
      </c>
      <c r="F84">
        <v>42</v>
      </c>
      <c r="G84" t="s">
        <v>782</v>
      </c>
      <c r="H84" s="6" t="str">
        <f>VLOOKUP(G84,場所マスタ[],6,FALSE)</f>
        <v>シロップ村近海</v>
      </c>
      <c r="I84" t="s">
        <v>233</v>
      </c>
      <c r="J84" t="s">
        <v>1062</v>
      </c>
      <c r="K84" t="s">
        <v>1088</v>
      </c>
      <c r="L84" s="6" t="str">
        <f>IFERROR(VLOOKUP(K84,キャラマスタ[],2,FALSE),"")</f>
        <v>ヨサク</v>
      </c>
    </row>
    <row r="85" spans="1:12">
      <c r="A85" t="s">
        <v>1061</v>
      </c>
      <c r="B85">
        <f t="shared" si="14"/>
        <v>1539</v>
      </c>
      <c r="C85">
        <v>0</v>
      </c>
      <c r="D85">
        <v>3.5</v>
      </c>
      <c r="E85">
        <v>5</v>
      </c>
      <c r="F85">
        <v>42</v>
      </c>
      <c r="G85" t="s">
        <v>782</v>
      </c>
      <c r="H85" s="6" t="str">
        <f>VLOOKUP(G85,場所マスタ[],6,FALSE)</f>
        <v>シロップ村近海</v>
      </c>
      <c r="I85" t="s">
        <v>233</v>
      </c>
      <c r="J85" t="s">
        <v>1062</v>
      </c>
      <c r="K85" t="s">
        <v>1089</v>
      </c>
      <c r="L85" s="6" t="str">
        <f>IFERROR(VLOOKUP(K85,キャラマスタ[],2,FALSE),"")</f>
        <v>ジョニー</v>
      </c>
    </row>
    <row r="86" spans="1:12">
      <c r="A86" t="s">
        <v>1067</v>
      </c>
      <c r="B86">
        <f t="shared" si="14"/>
        <v>1539</v>
      </c>
      <c r="C86">
        <v>0</v>
      </c>
      <c r="D86">
        <v>3</v>
      </c>
      <c r="E86">
        <v>5</v>
      </c>
      <c r="F86">
        <v>43</v>
      </c>
      <c r="G86" t="s">
        <v>729</v>
      </c>
      <c r="H86" s="6" t="str">
        <f>VLOOKUP(G86,場所マスタ[],6,FALSE)</f>
        <v>珍獣島</v>
      </c>
      <c r="I86" t="s">
        <v>233</v>
      </c>
      <c r="J86" t="s">
        <v>1063</v>
      </c>
      <c r="K86" t="s">
        <v>570</v>
      </c>
      <c r="L86" s="6" t="str">
        <f>IFERROR(VLOOKUP(K86,キャラマスタ[],2,FALSE),"")</f>
        <v>バギー</v>
      </c>
    </row>
    <row r="87" spans="1:12">
      <c r="A87" t="s">
        <v>1068</v>
      </c>
      <c r="B87">
        <f t="shared" si="14"/>
        <v>1539</v>
      </c>
      <c r="C87">
        <v>0</v>
      </c>
      <c r="D87">
        <v>5</v>
      </c>
      <c r="E87">
        <v>5</v>
      </c>
      <c r="F87">
        <v>43</v>
      </c>
      <c r="G87" t="s">
        <v>966</v>
      </c>
      <c r="H87" s="6" t="str">
        <f>VLOOKUP(G87,場所マスタ[],6,FALSE)</f>
        <v>バラティエ</v>
      </c>
      <c r="I87" t="s">
        <v>233</v>
      </c>
      <c r="J87" t="s">
        <v>1066</v>
      </c>
      <c r="K87" t="s">
        <v>411</v>
      </c>
      <c r="L87" s="6" t="str">
        <f>IFERROR(VLOOKUP(K87,キャラマスタ[],2,FALSE),"")</f>
        <v>モンキー・D・ルフィ</v>
      </c>
    </row>
    <row r="88" spans="1:12">
      <c r="A88" t="s">
        <v>1069</v>
      </c>
      <c r="B88">
        <f t="shared" ref="B88:B94" si="15">1539+C88</f>
        <v>1539</v>
      </c>
      <c r="C88">
        <v>0</v>
      </c>
      <c r="D88">
        <v>5</v>
      </c>
      <c r="E88">
        <v>5</v>
      </c>
      <c r="F88">
        <v>43</v>
      </c>
      <c r="G88" t="s">
        <v>966</v>
      </c>
      <c r="H88" s="6" t="str">
        <f>VLOOKUP(G88,場所マスタ[],6,FALSE)</f>
        <v>バラティエ</v>
      </c>
      <c r="I88" t="s">
        <v>233</v>
      </c>
      <c r="J88" t="s">
        <v>1066</v>
      </c>
      <c r="K88" t="s">
        <v>308</v>
      </c>
      <c r="L88" s="6" t="str">
        <f>IFERROR(VLOOKUP(K88,キャラマスタ[],2,FALSE),"")</f>
        <v>ロロノア・ゾロ</v>
      </c>
    </row>
    <row r="89" spans="1:12">
      <c r="A89" t="s">
        <v>1070</v>
      </c>
      <c r="B89">
        <f t="shared" si="15"/>
        <v>1539</v>
      </c>
      <c r="C89">
        <v>0</v>
      </c>
      <c r="D89">
        <v>5</v>
      </c>
      <c r="E89">
        <v>5</v>
      </c>
      <c r="F89">
        <v>43</v>
      </c>
      <c r="G89" t="s">
        <v>966</v>
      </c>
      <c r="H89" s="6" t="str">
        <f>VLOOKUP(G89,場所マスタ[],6,FALSE)</f>
        <v>バラティエ</v>
      </c>
      <c r="I89" t="s">
        <v>233</v>
      </c>
      <c r="J89" t="s">
        <v>1066</v>
      </c>
      <c r="K89" t="s">
        <v>321</v>
      </c>
      <c r="L89" s="6" t="str">
        <f>IFERROR(VLOOKUP(K89,キャラマスタ[],2,FALSE),"")</f>
        <v>ナミ</v>
      </c>
    </row>
    <row r="90" spans="1:12">
      <c r="A90" t="s">
        <v>1071</v>
      </c>
      <c r="B90">
        <f t="shared" si="15"/>
        <v>1539</v>
      </c>
      <c r="C90">
        <v>0</v>
      </c>
      <c r="D90">
        <v>5</v>
      </c>
      <c r="E90">
        <v>5</v>
      </c>
      <c r="F90">
        <v>43</v>
      </c>
      <c r="G90" t="s">
        <v>966</v>
      </c>
      <c r="H90" s="6" t="str">
        <f>VLOOKUP(G90,場所マスタ[],6,FALSE)</f>
        <v>バラティエ</v>
      </c>
      <c r="I90" t="s">
        <v>233</v>
      </c>
      <c r="J90" t="s">
        <v>1066</v>
      </c>
      <c r="K90" t="s">
        <v>718</v>
      </c>
      <c r="L90" s="6" t="str">
        <f>IFERROR(VLOOKUP(K90,キャラマスタ[],2,FALSE),"")</f>
        <v>ウソップ</v>
      </c>
    </row>
    <row r="91" spans="1:12">
      <c r="A91" t="s">
        <v>1072</v>
      </c>
      <c r="B91">
        <f t="shared" si="15"/>
        <v>1539</v>
      </c>
      <c r="C91">
        <v>0</v>
      </c>
      <c r="D91">
        <v>5</v>
      </c>
      <c r="E91">
        <v>5</v>
      </c>
      <c r="F91">
        <v>43</v>
      </c>
      <c r="G91" t="s">
        <v>966</v>
      </c>
      <c r="H91" s="6" t="str">
        <f>VLOOKUP(G91,場所マスタ[],6,FALSE)</f>
        <v>バラティエ</v>
      </c>
      <c r="I91" t="s">
        <v>233</v>
      </c>
      <c r="J91" t="s">
        <v>1066</v>
      </c>
      <c r="K91" t="s">
        <v>1088</v>
      </c>
      <c r="L91" s="6" t="str">
        <f>IFERROR(VLOOKUP(K91,キャラマスタ[],2,FALSE),"")</f>
        <v>ヨサク</v>
      </c>
    </row>
    <row r="92" spans="1:12">
      <c r="A92" t="s">
        <v>1073</v>
      </c>
      <c r="B92">
        <f t="shared" si="15"/>
        <v>1539</v>
      </c>
      <c r="C92">
        <v>0</v>
      </c>
      <c r="D92">
        <v>5</v>
      </c>
      <c r="E92">
        <v>5</v>
      </c>
      <c r="F92">
        <v>43</v>
      </c>
      <c r="G92" t="s">
        <v>966</v>
      </c>
      <c r="H92" s="6" t="str">
        <f>VLOOKUP(G92,場所マスタ[],6,FALSE)</f>
        <v>バラティエ</v>
      </c>
      <c r="I92" t="s">
        <v>233</v>
      </c>
      <c r="J92" t="s">
        <v>1066</v>
      </c>
      <c r="K92" t="s">
        <v>1089</v>
      </c>
      <c r="L92" s="6" t="str">
        <f>IFERROR(VLOOKUP(K92,キャラマスタ[],2,FALSE),"")</f>
        <v>ジョニー</v>
      </c>
    </row>
    <row r="93" spans="1:12">
      <c r="A93" t="s">
        <v>1079</v>
      </c>
      <c r="B93">
        <f t="shared" si="15"/>
        <v>1539</v>
      </c>
      <c r="C93">
        <v>0</v>
      </c>
      <c r="D93">
        <v>2</v>
      </c>
      <c r="E93">
        <v>5</v>
      </c>
      <c r="F93">
        <v>44</v>
      </c>
      <c r="G93" t="s">
        <v>497</v>
      </c>
      <c r="H93" s="6" t="str">
        <f>VLOOKUP(G93,場所マスタ[],6,FALSE)</f>
        <v>不明</v>
      </c>
      <c r="I93" t="s">
        <v>233</v>
      </c>
      <c r="J93" t="s">
        <v>1077</v>
      </c>
      <c r="K93" t="s">
        <v>1091</v>
      </c>
      <c r="L93" s="6" t="str">
        <f>IFERROR(VLOOKUP(K93,キャラマスタ[],2,FALSE),"")</f>
        <v>ギン</v>
      </c>
    </row>
    <row r="94" spans="1:12">
      <c r="A94" t="s">
        <v>1080</v>
      </c>
      <c r="B94">
        <f t="shared" si="15"/>
        <v>1539</v>
      </c>
      <c r="C94">
        <v>0</v>
      </c>
      <c r="D94">
        <v>5</v>
      </c>
      <c r="E94">
        <v>5</v>
      </c>
      <c r="F94">
        <v>44</v>
      </c>
      <c r="G94" t="s">
        <v>966</v>
      </c>
      <c r="H94" s="6" t="str">
        <f>VLOOKUP(G94,場所マスタ[],6,FALSE)</f>
        <v>バラティエ</v>
      </c>
      <c r="I94" t="s">
        <v>233</v>
      </c>
      <c r="J94" t="s">
        <v>1066</v>
      </c>
      <c r="K94" t="s">
        <v>1091</v>
      </c>
      <c r="L94" s="6" t="str">
        <f>IFERROR(VLOOKUP(K94,キャラマスタ[],2,FALSE),"")</f>
        <v>ギン</v>
      </c>
    </row>
    <row r="95" spans="1:12">
      <c r="A95" t="s">
        <v>1178</v>
      </c>
      <c r="B95">
        <f>1539+C95</f>
        <v>1539</v>
      </c>
      <c r="C95">
        <v>0</v>
      </c>
      <c r="D95">
        <v>5</v>
      </c>
      <c r="E95">
        <v>5</v>
      </c>
      <c r="F95">
        <v>44</v>
      </c>
      <c r="G95" t="s">
        <v>966</v>
      </c>
      <c r="H95" s="6" t="str">
        <f>VLOOKUP(G95,場所マスタ[],6,FALSE)</f>
        <v>バラティエ</v>
      </c>
      <c r="I95" t="s">
        <v>233</v>
      </c>
      <c r="J95" t="s">
        <v>1066</v>
      </c>
      <c r="K95" t="s">
        <v>1087</v>
      </c>
      <c r="L95" s="6" t="str">
        <f>IFERROR(VLOOKUP(K95,キャラマスタ[],2,FALSE),"")</f>
        <v>フルボディ</v>
      </c>
    </row>
    <row r="96" spans="1:12">
      <c r="A96" t="s">
        <v>1179</v>
      </c>
      <c r="B96">
        <f>1539+C96</f>
        <v>1539</v>
      </c>
      <c r="C96">
        <v>0</v>
      </c>
      <c r="D96">
        <v>5</v>
      </c>
      <c r="E96">
        <v>5</v>
      </c>
      <c r="F96">
        <v>44</v>
      </c>
      <c r="G96" t="s">
        <v>966</v>
      </c>
      <c r="H96" s="6" t="str">
        <f>VLOOKUP(G96,場所マスタ[],6,FALSE)</f>
        <v>バラティエ</v>
      </c>
      <c r="I96" t="s">
        <v>233</v>
      </c>
      <c r="J96" t="s">
        <v>1081</v>
      </c>
      <c r="K96" t="s">
        <v>1090</v>
      </c>
      <c r="L96" s="6" t="str">
        <f>IFERROR(VLOOKUP(K96,キャラマスタ[],2,FALSE),"")</f>
        <v>サンジ</v>
      </c>
    </row>
    <row r="97" spans="1:12">
      <c r="A97" t="s">
        <v>1180</v>
      </c>
      <c r="B97">
        <f>1539+C97</f>
        <v>1539</v>
      </c>
      <c r="C97">
        <v>0</v>
      </c>
      <c r="D97">
        <v>4</v>
      </c>
      <c r="E97">
        <v>6</v>
      </c>
      <c r="F97">
        <v>48</v>
      </c>
      <c r="G97" t="s">
        <v>1064</v>
      </c>
      <c r="H97" s="17" t="str">
        <f>VLOOKUP(G97,場所マスタ[],6,FALSE)</f>
        <v>珍獣島近海</v>
      </c>
      <c r="I97" t="s">
        <v>233</v>
      </c>
      <c r="J97" t="s">
        <v>1270</v>
      </c>
      <c r="K97" t="s">
        <v>570</v>
      </c>
      <c r="L97" s="6" t="str">
        <f>IFERROR(VLOOKUP(K97,キャラマスタ[],2,FALSE),"")</f>
        <v>バギー</v>
      </c>
    </row>
    <row r="98" spans="1:12">
      <c r="A98" t="s">
        <v>1181</v>
      </c>
      <c r="B98">
        <f>1539+C98</f>
        <v>1539</v>
      </c>
      <c r="C98">
        <v>0</v>
      </c>
      <c r="D98">
        <v>4</v>
      </c>
      <c r="E98">
        <v>6</v>
      </c>
      <c r="F98">
        <v>48</v>
      </c>
      <c r="G98" t="s">
        <v>1064</v>
      </c>
      <c r="H98" s="17" t="str">
        <f>VLOOKUP(G98,場所マスタ[],6,FALSE)</f>
        <v>珍獣島近海</v>
      </c>
      <c r="I98" t="s">
        <v>233</v>
      </c>
      <c r="J98" t="s">
        <v>1271</v>
      </c>
      <c r="K98" t="s">
        <v>304</v>
      </c>
      <c r="L98" s="6" t="str">
        <f>IFERROR(VLOOKUP(K98,キャラマスタ[],2,FALSE),"")</f>
        <v>アルビダ</v>
      </c>
    </row>
    <row r="99" spans="1:12">
      <c r="A99" t="s">
        <v>1182</v>
      </c>
      <c r="B99">
        <f>1539+C99</f>
        <v>1539</v>
      </c>
      <c r="C99">
        <v>0</v>
      </c>
      <c r="D99">
        <v>7</v>
      </c>
      <c r="E99">
        <v>6</v>
      </c>
      <c r="F99">
        <v>47</v>
      </c>
      <c r="G99" t="s">
        <v>966</v>
      </c>
      <c r="H99" s="17" t="str">
        <f>VLOOKUP(G99,場所マスタ[],6,FALSE)</f>
        <v>バラティエ</v>
      </c>
      <c r="I99" t="s">
        <v>233</v>
      </c>
      <c r="J99" t="s">
        <v>1177</v>
      </c>
      <c r="K99" t="s">
        <v>1099</v>
      </c>
      <c r="L99" s="6" t="str">
        <f>IFERROR(VLOOKUP(K99,キャラマスタ[],2,FALSE),"")</f>
        <v>クリーク</v>
      </c>
    </row>
    <row r="100" spans="1:12">
      <c r="A100" t="s">
        <v>1183</v>
      </c>
      <c r="B100">
        <f t="shared" ref="B100:B105" si="16">1539+C100</f>
        <v>1539</v>
      </c>
      <c r="C100">
        <v>0</v>
      </c>
      <c r="D100">
        <v>7</v>
      </c>
      <c r="E100">
        <v>6</v>
      </c>
      <c r="F100">
        <v>47</v>
      </c>
      <c r="G100" t="s">
        <v>966</v>
      </c>
      <c r="H100" s="17" t="str">
        <f>VLOOKUP(G100,場所マスタ[],6,FALSE)</f>
        <v>バラティエ</v>
      </c>
      <c r="I100" t="s">
        <v>233</v>
      </c>
      <c r="J100" t="s">
        <v>1177</v>
      </c>
      <c r="K100" t="s">
        <v>1085</v>
      </c>
      <c r="L100" s="6" t="str">
        <f>IFERROR(VLOOKUP(K100,キャラマスタ[],2,FALSE),"")</f>
        <v>ギン</v>
      </c>
    </row>
    <row r="101" spans="1:12">
      <c r="A101" t="s">
        <v>1184</v>
      </c>
      <c r="B101">
        <f t="shared" si="16"/>
        <v>1539</v>
      </c>
      <c r="C101">
        <v>0</v>
      </c>
      <c r="D101">
        <v>-5</v>
      </c>
      <c r="E101">
        <v>6</v>
      </c>
      <c r="F101">
        <v>48</v>
      </c>
      <c r="G101" t="s">
        <v>497</v>
      </c>
      <c r="H101" s="17" t="str">
        <f>VLOOKUP(G101,場所マスタ[],6,FALSE)</f>
        <v>不明</v>
      </c>
      <c r="I101" t="s">
        <v>233</v>
      </c>
      <c r="J101" t="s">
        <v>1187</v>
      </c>
      <c r="K101" t="s">
        <v>1099</v>
      </c>
      <c r="L101" s="6" t="str">
        <f>IFERROR(VLOOKUP(K101,キャラマスタ[],2,FALSE),"")</f>
        <v>クリーク</v>
      </c>
    </row>
    <row r="102" spans="1:12">
      <c r="A102" t="s">
        <v>1185</v>
      </c>
      <c r="B102">
        <f t="shared" si="16"/>
        <v>1539</v>
      </c>
      <c r="C102">
        <v>0</v>
      </c>
      <c r="D102">
        <v>-5</v>
      </c>
      <c r="E102">
        <v>6</v>
      </c>
      <c r="F102">
        <v>48</v>
      </c>
      <c r="G102" t="s">
        <v>497</v>
      </c>
      <c r="H102" s="17" t="str">
        <f>VLOOKUP(G102,場所マスタ[],6,FALSE)</f>
        <v>不明</v>
      </c>
      <c r="I102" t="s">
        <v>233</v>
      </c>
      <c r="J102" t="s">
        <v>1187</v>
      </c>
      <c r="K102" t="s">
        <v>1085</v>
      </c>
      <c r="L102" s="6" t="str">
        <f>IFERROR(VLOOKUP(K102,キャラマスタ[],2,FALSE),"")</f>
        <v>ギン</v>
      </c>
    </row>
    <row r="103" spans="1:12">
      <c r="A103" t="s">
        <v>1186</v>
      </c>
      <c r="B103">
        <f t="shared" si="16"/>
        <v>1539</v>
      </c>
      <c r="C103">
        <v>0</v>
      </c>
      <c r="D103">
        <v>7</v>
      </c>
      <c r="E103">
        <v>6</v>
      </c>
      <c r="F103">
        <v>50</v>
      </c>
      <c r="G103" t="s">
        <v>1189</v>
      </c>
      <c r="H103" s="17" t="str">
        <f>VLOOKUP(G103,場所マスタ[],6,FALSE)</f>
        <v>バラティエ近海</v>
      </c>
      <c r="I103" t="s">
        <v>233</v>
      </c>
      <c r="J103" t="s">
        <v>1190</v>
      </c>
      <c r="K103" t="s">
        <v>321</v>
      </c>
      <c r="L103" s="6" t="str">
        <f>IFERROR(VLOOKUP(K103,キャラマスタ[],2,FALSE),"")</f>
        <v>ナミ</v>
      </c>
    </row>
    <row r="104" spans="1:12">
      <c r="A104" t="s">
        <v>1202</v>
      </c>
      <c r="B104">
        <f t="shared" si="16"/>
        <v>1539</v>
      </c>
      <c r="C104">
        <v>0</v>
      </c>
      <c r="D104">
        <v>7</v>
      </c>
      <c r="E104">
        <v>6</v>
      </c>
      <c r="F104">
        <v>50</v>
      </c>
      <c r="G104" t="s">
        <v>966</v>
      </c>
      <c r="H104" s="17" t="str">
        <f>VLOOKUP(G104,場所マスタ[],6,FALSE)</f>
        <v>バラティエ</v>
      </c>
      <c r="I104" t="s">
        <v>233</v>
      </c>
      <c r="J104" t="s">
        <v>1199</v>
      </c>
      <c r="K104" t="s">
        <v>1200</v>
      </c>
      <c r="L104" s="6" t="str">
        <f>IFERROR(VLOOKUP(K104,キャラマスタ[],2,FALSE),"")</f>
        <v>ロロノア・ゾロ</v>
      </c>
    </row>
    <row r="105" spans="1:12">
      <c r="A105" t="s">
        <v>1203</v>
      </c>
      <c r="B105">
        <f t="shared" si="16"/>
        <v>1539</v>
      </c>
      <c r="C105">
        <v>0</v>
      </c>
      <c r="D105">
        <v>7</v>
      </c>
      <c r="E105">
        <v>6</v>
      </c>
      <c r="F105">
        <v>50</v>
      </c>
      <c r="G105" t="s">
        <v>966</v>
      </c>
      <c r="H105" s="17" t="str">
        <f>VLOOKUP(G105,場所マスタ[],6,FALSE)</f>
        <v>バラティエ</v>
      </c>
      <c r="I105" t="s">
        <v>233</v>
      </c>
      <c r="J105" t="s">
        <v>1201</v>
      </c>
      <c r="K105" t="s">
        <v>1169</v>
      </c>
      <c r="L105" s="6" t="str">
        <f>IFERROR(VLOOKUP(K105,キャラマスタ[],2,FALSE),"")</f>
        <v>ジュラキュール・ミホーク</v>
      </c>
    </row>
    <row r="106" spans="1:12">
      <c r="A106" t="s">
        <v>1204</v>
      </c>
      <c r="B106">
        <f>1539+C106</f>
        <v>1539</v>
      </c>
      <c r="C106">
        <v>0</v>
      </c>
      <c r="D106">
        <v>7.2</v>
      </c>
      <c r="E106">
        <v>6</v>
      </c>
      <c r="F106">
        <v>52</v>
      </c>
      <c r="G106" t="s">
        <v>497</v>
      </c>
      <c r="H106" s="17" t="str">
        <f>VLOOKUP(G106,場所マスタ[],6,FALSE)</f>
        <v>不明</v>
      </c>
      <c r="I106" t="s">
        <v>233</v>
      </c>
      <c r="J106" t="s">
        <v>1444</v>
      </c>
      <c r="K106" t="s">
        <v>1169</v>
      </c>
      <c r="L106" s="6" t="str">
        <f>IFERROR(VLOOKUP(K106,キャラマスタ[],2,FALSE),"")</f>
        <v>ジュラキュール・ミホーク</v>
      </c>
    </row>
    <row r="107" spans="1:12">
      <c r="A107" t="s">
        <v>1205</v>
      </c>
      <c r="B107">
        <f t="shared" ref="B107:B114" si="17">1539+C107</f>
        <v>1539</v>
      </c>
      <c r="C107">
        <v>0</v>
      </c>
      <c r="D107">
        <v>7.2</v>
      </c>
      <c r="E107">
        <v>6</v>
      </c>
      <c r="F107">
        <v>52</v>
      </c>
      <c r="G107" t="s">
        <v>1189</v>
      </c>
      <c r="H107" s="17" t="str">
        <f>VLOOKUP(G107,場所マスタ[],6,FALSE)</f>
        <v>バラティエ近海</v>
      </c>
      <c r="I107" t="s">
        <v>233</v>
      </c>
      <c r="J107" t="s">
        <v>1210</v>
      </c>
      <c r="K107" t="s">
        <v>1200</v>
      </c>
      <c r="L107" s="6" t="str">
        <f>IFERROR(VLOOKUP(K107,キャラマスタ[],2,FALSE),"")</f>
        <v>ロロノア・ゾロ</v>
      </c>
    </row>
    <row r="108" spans="1:12">
      <c r="A108" t="s">
        <v>1206</v>
      </c>
      <c r="B108">
        <f t="shared" si="17"/>
        <v>1539</v>
      </c>
      <c r="C108">
        <v>0</v>
      </c>
      <c r="D108">
        <v>7.2</v>
      </c>
      <c r="E108">
        <v>6</v>
      </c>
      <c r="F108">
        <v>52</v>
      </c>
      <c r="G108" t="s">
        <v>1189</v>
      </c>
      <c r="H108" s="17" t="str">
        <f>VLOOKUP(G108,場所マスタ[],6,FALSE)</f>
        <v>バラティエ近海</v>
      </c>
      <c r="I108" t="s">
        <v>233</v>
      </c>
      <c r="J108" t="s">
        <v>1210</v>
      </c>
      <c r="K108" t="s">
        <v>718</v>
      </c>
      <c r="L108" s="6" t="str">
        <f>IFERROR(VLOOKUP(K108,キャラマスタ[],2,FALSE),"")</f>
        <v>ウソップ</v>
      </c>
    </row>
    <row r="109" spans="1:12">
      <c r="A109" t="s">
        <v>1207</v>
      </c>
      <c r="B109">
        <f t="shared" si="17"/>
        <v>1539</v>
      </c>
      <c r="C109">
        <v>0</v>
      </c>
      <c r="D109">
        <v>7.2</v>
      </c>
      <c r="E109">
        <v>6</v>
      </c>
      <c r="F109">
        <v>52</v>
      </c>
      <c r="G109" t="s">
        <v>1189</v>
      </c>
      <c r="H109" s="17" t="str">
        <f>VLOOKUP(G109,場所マスタ[],6,FALSE)</f>
        <v>バラティエ近海</v>
      </c>
      <c r="I109" t="s">
        <v>233</v>
      </c>
      <c r="J109" t="s">
        <v>1210</v>
      </c>
      <c r="K109" t="s">
        <v>1088</v>
      </c>
      <c r="L109" s="6" t="str">
        <f>IFERROR(VLOOKUP(K109,キャラマスタ[],2,FALSE),"")</f>
        <v>ヨサク</v>
      </c>
    </row>
    <row r="110" spans="1:12">
      <c r="A110" t="s">
        <v>1208</v>
      </c>
      <c r="B110">
        <f t="shared" si="17"/>
        <v>1539</v>
      </c>
      <c r="C110">
        <v>0</v>
      </c>
      <c r="D110">
        <v>7.2</v>
      </c>
      <c r="E110">
        <v>6</v>
      </c>
      <c r="F110">
        <v>52</v>
      </c>
      <c r="G110" t="s">
        <v>1189</v>
      </c>
      <c r="H110" s="17" t="str">
        <f>VLOOKUP(G110,場所マスタ[],6,FALSE)</f>
        <v>バラティエ近海</v>
      </c>
      <c r="I110" t="s">
        <v>233</v>
      </c>
      <c r="J110" t="s">
        <v>1210</v>
      </c>
      <c r="K110" t="s">
        <v>1089</v>
      </c>
      <c r="L110" s="6" t="str">
        <f>IFERROR(VLOOKUP(K110,キャラマスタ[],2,FALSE),"")</f>
        <v>ジョニー</v>
      </c>
    </row>
    <row r="111" spans="1:12">
      <c r="A111" t="s">
        <v>1209</v>
      </c>
      <c r="B111">
        <f t="shared" si="17"/>
        <v>1539</v>
      </c>
      <c r="C111">
        <v>0</v>
      </c>
      <c r="D111">
        <v>2</v>
      </c>
      <c r="E111">
        <v>6</v>
      </c>
      <c r="F111">
        <v>48</v>
      </c>
      <c r="G111" t="s">
        <v>497</v>
      </c>
      <c r="H111" s="17" t="str">
        <f>VLOOKUP(G111,場所マスタ[],6,FALSE)</f>
        <v>不明</v>
      </c>
      <c r="I111" t="s">
        <v>233</v>
      </c>
      <c r="J111" t="s">
        <v>1211</v>
      </c>
      <c r="K111" t="s">
        <v>1099</v>
      </c>
      <c r="L111" s="6" t="str">
        <f>IFERROR(VLOOKUP(K111,キャラマスタ[],2,FALSE),"")</f>
        <v>クリーク</v>
      </c>
    </row>
    <row r="112" spans="1:12">
      <c r="A112" t="s">
        <v>1278</v>
      </c>
      <c r="B112">
        <f t="shared" si="17"/>
        <v>1539</v>
      </c>
      <c r="C112">
        <v>0</v>
      </c>
      <c r="D112">
        <v>2</v>
      </c>
      <c r="E112">
        <v>6</v>
      </c>
      <c r="F112">
        <v>48</v>
      </c>
      <c r="G112" t="s">
        <v>497</v>
      </c>
      <c r="H112" s="17" t="str">
        <f>VLOOKUP(G112,場所マスタ[],6,FALSE)</f>
        <v>不明</v>
      </c>
      <c r="I112" t="s">
        <v>233</v>
      </c>
      <c r="J112" t="s">
        <v>1211</v>
      </c>
      <c r="K112" t="s">
        <v>1085</v>
      </c>
      <c r="L112" s="6" t="str">
        <f>IFERROR(VLOOKUP(K112,キャラマスタ[],2,FALSE),"")</f>
        <v>ギン</v>
      </c>
    </row>
    <row r="113" spans="1:12">
      <c r="A113" t="s">
        <v>1279</v>
      </c>
      <c r="B113">
        <f t="shared" si="17"/>
        <v>1539</v>
      </c>
      <c r="C113">
        <v>0</v>
      </c>
      <c r="D113">
        <v>2</v>
      </c>
      <c r="E113">
        <v>6</v>
      </c>
      <c r="F113">
        <v>48</v>
      </c>
      <c r="G113" t="s">
        <v>497</v>
      </c>
      <c r="H113" s="17" t="str">
        <f>VLOOKUP(G113,場所マスタ[],6,FALSE)</f>
        <v>不明</v>
      </c>
      <c r="I113" t="s">
        <v>233</v>
      </c>
      <c r="J113" t="s">
        <v>1212</v>
      </c>
      <c r="K113" t="s">
        <v>1169</v>
      </c>
      <c r="L113" s="6" t="str">
        <f>IFERROR(VLOOKUP(K113,キャラマスタ[],2,FALSE),"")</f>
        <v>ジュラキュール・ミホーク</v>
      </c>
    </row>
    <row r="114" spans="1:12">
      <c r="A114" t="s">
        <v>1280</v>
      </c>
      <c r="B114">
        <f t="shared" si="17"/>
        <v>1539</v>
      </c>
      <c r="C114">
        <v>0</v>
      </c>
      <c r="D114">
        <v>3</v>
      </c>
      <c r="E114">
        <v>7</v>
      </c>
      <c r="F114">
        <v>55</v>
      </c>
      <c r="G114" t="s">
        <v>1272</v>
      </c>
      <c r="H114" s="17" t="str">
        <f>VLOOKUP(G114,場所マスタ[],6,FALSE)</f>
        <v>先住民のいる島</v>
      </c>
      <c r="I114" t="s">
        <v>233</v>
      </c>
      <c r="J114" t="s">
        <v>1289</v>
      </c>
      <c r="K114" t="s">
        <v>661</v>
      </c>
      <c r="L114" s="6" t="str">
        <f>IFERROR(VLOOKUP(K114,キャラマスタ[],2,FALSE),"")</f>
        <v>モージ</v>
      </c>
    </row>
    <row r="115" spans="1:12">
      <c r="A115" t="s">
        <v>1281</v>
      </c>
      <c r="B115">
        <f t="shared" ref="B115:B125" si="18">1539+C115</f>
        <v>1539</v>
      </c>
      <c r="C115">
        <v>0</v>
      </c>
      <c r="D115">
        <v>3</v>
      </c>
      <c r="E115">
        <v>7</v>
      </c>
      <c r="F115">
        <v>55</v>
      </c>
      <c r="G115" t="s">
        <v>1272</v>
      </c>
      <c r="H115" s="17" t="str">
        <f>VLOOKUP(G115,場所マスタ[],6,FALSE)</f>
        <v>先住民のいる島</v>
      </c>
      <c r="I115" t="s">
        <v>233</v>
      </c>
      <c r="J115" t="s">
        <v>1289</v>
      </c>
      <c r="K115" t="s">
        <v>662</v>
      </c>
      <c r="L115" s="6" t="str">
        <f>IFERROR(VLOOKUP(K115,キャラマスタ[],2,FALSE),"")</f>
        <v>カバジ</v>
      </c>
    </row>
    <row r="116" spans="1:12">
      <c r="A116" t="s">
        <v>1282</v>
      </c>
      <c r="B116">
        <f t="shared" si="18"/>
        <v>1530</v>
      </c>
      <c r="C116">
        <v>-9</v>
      </c>
      <c r="D116">
        <v>-3285</v>
      </c>
      <c r="E116">
        <v>7</v>
      </c>
      <c r="F116">
        <v>57</v>
      </c>
      <c r="G116" t="s">
        <v>497</v>
      </c>
      <c r="H116" s="17" t="str">
        <f>VLOOKUP(G116,場所マスタ[],6,FALSE)</f>
        <v>不明</v>
      </c>
      <c r="I116" t="s">
        <v>233</v>
      </c>
      <c r="J116" t="s">
        <v>1299</v>
      </c>
      <c r="K116" t="s">
        <v>943</v>
      </c>
      <c r="L116" s="6" t="str">
        <f>IFERROR(VLOOKUP(K116,キャラマスタ[],2,FALSE),"")</f>
        <v>ゼフ</v>
      </c>
    </row>
    <row r="117" spans="1:12">
      <c r="A117" t="s">
        <v>1283</v>
      </c>
      <c r="B117">
        <f t="shared" si="18"/>
        <v>1530</v>
      </c>
      <c r="C117">
        <v>-9</v>
      </c>
      <c r="D117">
        <v>-3285</v>
      </c>
      <c r="E117">
        <v>7</v>
      </c>
      <c r="F117">
        <v>57</v>
      </c>
      <c r="G117" t="s">
        <v>497</v>
      </c>
      <c r="H117" s="17" t="str">
        <f>VLOOKUP(G117,場所マスタ[],6,FALSE)</f>
        <v>不明</v>
      </c>
      <c r="I117" t="s">
        <v>233</v>
      </c>
      <c r="J117" t="s">
        <v>1300</v>
      </c>
      <c r="K117" t="s">
        <v>1090</v>
      </c>
      <c r="L117" s="6" t="str">
        <f>IFERROR(VLOOKUP(K117,キャラマスタ[],2,FALSE),"")</f>
        <v>サンジ</v>
      </c>
    </row>
    <row r="118" spans="1:12">
      <c r="A118" t="s">
        <v>1284</v>
      </c>
      <c r="B118">
        <f t="shared" si="18"/>
        <v>1530</v>
      </c>
      <c r="C118">
        <v>-9</v>
      </c>
      <c r="D118">
        <v>-3200</v>
      </c>
      <c r="E118">
        <v>7</v>
      </c>
      <c r="F118">
        <v>57</v>
      </c>
      <c r="G118" t="s">
        <v>497</v>
      </c>
      <c r="H118" s="17" t="str">
        <f>VLOOKUP(G118,場所マスタ[],6,FALSE)</f>
        <v>不明</v>
      </c>
      <c r="I118" t="s">
        <v>233</v>
      </c>
      <c r="J118" t="s">
        <v>1301</v>
      </c>
      <c r="K118" t="s">
        <v>943</v>
      </c>
      <c r="L118" s="6" t="str">
        <f>IFERROR(VLOOKUP(K118,キャラマスタ[],2,FALSE),"")</f>
        <v>ゼフ</v>
      </c>
    </row>
    <row r="119" spans="1:12">
      <c r="A119" t="s">
        <v>1285</v>
      </c>
      <c r="B119">
        <f t="shared" si="18"/>
        <v>1530</v>
      </c>
      <c r="C119">
        <v>-9</v>
      </c>
      <c r="D119">
        <v>-3200</v>
      </c>
      <c r="E119">
        <v>7</v>
      </c>
      <c r="F119">
        <v>57</v>
      </c>
      <c r="G119" t="s">
        <v>497</v>
      </c>
      <c r="H119" s="17" t="str">
        <f>VLOOKUP(G119,場所マスタ[],6,FALSE)</f>
        <v>不明</v>
      </c>
      <c r="I119" t="s">
        <v>233</v>
      </c>
      <c r="J119" t="s">
        <v>1301</v>
      </c>
      <c r="K119" t="s">
        <v>1090</v>
      </c>
      <c r="L119" s="6" t="str">
        <f>IFERROR(VLOOKUP(K119,キャラマスタ[],2,FALSE),"")</f>
        <v>サンジ</v>
      </c>
    </row>
    <row r="120" spans="1:12">
      <c r="A120" t="s">
        <v>1286</v>
      </c>
      <c r="B120">
        <f t="shared" si="18"/>
        <v>1539</v>
      </c>
      <c r="C120">
        <v>0</v>
      </c>
      <c r="D120">
        <v>4</v>
      </c>
      <c r="E120">
        <v>7</v>
      </c>
      <c r="F120">
        <v>55</v>
      </c>
      <c r="G120" t="s">
        <v>1272</v>
      </c>
      <c r="H120" s="17" t="str">
        <f>VLOOKUP(G120,場所マスタ[],6,FALSE)</f>
        <v>先住民のいる島</v>
      </c>
      <c r="I120" t="s">
        <v>233</v>
      </c>
      <c r="J120" t="s">
        <v>1303</v>
      </c>
      <c r="K120" t="s">
        <v>661</v>
      </c>
      <c r="L120" s="6" t="str">
        <f>IFERROR(VLOOKUP(K120,キャラマスタ[],2,FALSE),"")</f>
        <v>モージ</v>
      </c>
    </row>
    <row r="121" spans="1:12">
      <c r="A121" t="s">
        <v>1287</v>
      </c>
      <c r="B121">
        <f t="shared" si="18"/>
        <v>1539</v>
      </c>
      <c r="C121">
        <v>0</v>
      </c>
      <c r="D121">
        <v>4</v>
      </c>
      <c r="E121">
        <v>7</v>
      </c>
      <c r="F121">
        <v>55</v>
      </c>
      <c r="G121" t="s">
        <v>1272</v>
      </c>
      <c r="H121" s="17" t="str">
        <f>VLOOKUP(G121,場所マスタ[],6,FALSE)</f>
        <v>先住民のいる島</v>
      </c>
      <c r="I121" t="s">
        <v>233</v>
      </c>
      <c r="J121" t="s">
        <v>1304</v>
      </c>
      <c r="K121" t="s">
        <v>662</v>
      </c>
      <c r="L121" s="6" t="str">
        <f>IFERROR(VLOOKUP(K121,キャラマスタ[],2,FALSE),"")</f>
        <v>カバジ</v>
      </c>
    </row>
    <row r="122" spans="1:12">
      <c r="A122" t="s">
        <v>1288</v>
      </c>
      <c r="B122">
        <f t="shared" si="18"/>
        <v>1539</v>
      </c>
      <c r="C122">
        <v>0</v>
      </c>
      <c r="D122">
        <v>7.5</v>
      </c>
      <c r="E122">
        <v>8</v>
      </c>
      <c r="F122">
        <v>66</v>
      </c>
      <c r="G122" t="s">
        <v>966</v>
      </c>
      <c r="H122" s="17" t="str">
        <f>VLOOKUP(G122,場所マスタ[],6,FALSE)</f>
        <v>バラティエ</v>
      </c>
      <c r="I122" t="s">
        <v>233</v>
      </c>
      <c r="J122" t="s">
        <v>1402</v>
      </c>
      <c r="K122" t="s">
        <v>411</v>
      </c>
      <c r="L122" s="6" t="str">
        <f>IFERROR(VLOOKUP(K122,キャラマスタ[],2,FALSE),"")</f>
        <v>モンキー・D・ルフィ</v>
      </c>
    </row>
    <row r="123" spans="1:12">
      <c r="A123" t="s">
        <v>1404</v>
      </c>
      <c r="B123">
        <f t="shared" si="18"/>
        <v>1539</v>
      </c>
      <c r="C123">
        <v>0</v>
      </c>
      <c r="D123">
        <v>7.5</v>
      </c>
      <c r="E123">
        <v>8</v>
      </c>
      <c r="F123">
        <v>66</v>
      </c>
      <c r="G123" t="s">
        <v>966</v>
      </c>
      <c r="H123" s="17" t="str">
        <f>VLOOKUP(G123,場所マスタ[],6,FALSE)</f>
        <v>バラティエ</v>
      </c>
      <c r="I123" t="s">
        <v>233</v>
      </c>
      <c r="J123" t="s">
        <v>1402</v>
      </c>
      <c r="K123" t="s">
        <v>1090</v>
      </c>
      <c r="L123" s="6" t="str">
        <f>IFERROR(VLOOKUP(K123,キャラマスタ[],2,FALSE),"")</f>
        <v>サンジ</v>
      </c>
    </row>
    <row r="124" spans="1:12">
      <c r="A124" t="s">
        <v>1405</v>
      </c>
      <c r="B124">
        <f t="shared" si="18"/>
        <v>1539</v>
      </c>
      <c r="C124">
        <v>0</v>
      </c>
      <c r="D124">
        <v>7.5</v>
      </c>
      <c r="E124">
        <v>8</v>
      </c>
      <c r="F124">
        <v>66</v>
      </c>
      <c r="G124" t="s">
        <v>966</v>
      </c>
      <c r="H124" s="17" t="str">
        <f>VLOOKUP(G124,場所マスタ[],6,FALSE)</f>
        <v>バラティエ</v>
      </c>
      <c r="I124" t="s">
        <v>233</v>
      </c>
      <c r="J124" t="s">
        <v>1403</v>
      </c>
      <c r="K124" t="s">
        <v>1099</v>
      </c>
      <c r="L124" s="6" t="str">
        <f>IFERROR(VLOOKUP(K124,キャラマスタ[],2,FALSE),"")</f>
        <v>クリーク</v>
      </c>
    </row>
    <row r="125" spans="1:12">
      <c r="A125" t="s">
        <v>1406</v>
      </c>
      <c r="B125">
        <f t="shared" si="18"/>
        <v>1539</v>
      </c>
      <c r="C125">
        <v>0</v>
      </c>
      <c r="D125">
        <v>7.5</v>
      </c>
      <c r="E125">
        <v>8</v>
      </c>
      <c r="F125">
        <v>66</v>
      </c>
      <c r="G125" t="s">
        <v>966</v>
      </c>
      <c r="H125" s="17" t="str">
        <f>VLOOKUP(G125,場所マスタ[],6,FALSE)</f>
        <v>バラティエ</v>
      </c>
      <c r="I125" t="s">
        <v>233</v>
      </c>
      <c r="J125" t="s">
        <v>1403</v>
      </c>
      <c r="K125" t="s">
        <v>1085</v>
      </c>
      <c r="L125" s="6" t="str">
        <f>IFERROR(VLOOKUP(K125,キャラマスタ[],2,FALSE),"")</f>
        <v>ギン</v>
      </c>
    </row>
    <row r="126" spans="1:12">
      <c r="A126" t="s">
        <v>1407</v>
      </c>
      <c r="B126">
        <f t="shared" ref="B126:B134" si="19">1539+C126</f>
        <v>1539</v>
      </c>
      <c r="C126">
        <v>0</v>
      </c>
      <c r="D126">
        <v>4.5</v>
      </c>
      <c r="E126">
        <v>8</v>
      </c>
      <c r="F126">
        <v>66</v>
      </c>
      <c r="G126" t="s">
        <v>1272</v>
      </c>
      <c r="H126" s="17" t="str">
        <f>VLOOKUP(G126,場所マスタ[],6,FALSE)</f>
        <v>先住民のいる島</v>
      </c>
      <c r="I126" t="s">
        <v>233</v>
      </c>
      <c r="J126" t="s">
        <v>1413</v>
      </c>
      <c r="K126" t="s">
        <v>570</v>
      </c>
      <c r="L126" s="6" t="str">
        <f>IFERROR(VLOOKUP(K126,キャラマスタ[],2,FALSE),"")</f>
        <v>バギー</v>
      </c>
    </row>
    <row r="127" spans="1:12">
      <c r="A127" t="s">
        <v>1408</v>
      </c>
      <c r="B127">
        <f t="shared" si="19"/>
        <v>1539</v>
      </c>
      <c r="C127">
        <v>0</v>
      </c>
      <c r="D127">
        <v>4.5</v>
      </c>
      <c r="E127">
        <v>8</v>
      </c>
      <c r="F127">
        <v>66</v>
      </c>
      <c r="G127" t="s">
        <v>1272</v>
      </c>
      <c r="H127" s="17" t="str">
        <f>VLOOKUP(G127,場所マスタ[],6,FALSE)</f>
        <v>先住民のいる島</v>
      </c>
      <c r="I127" t="s">
        <v>233</v>
      </c>
      <c r="J127" t="s">
        <v>1413</v>
      </c>
      <c r="K127" t="s">
        <v>304</v>
      </c>
      <c r="L127" s="6" t="str">
        <f>IFERROR(VLOOKUP(K127,キャラマスタ[],2,FALSE),"")</f>
        <v>アルビダ</v>
      </c>
    </row>
    <row r="128" spans="1:12">
      <c r="A128" t="s">
        <v>1409</v>
      </c>
      <c r="B128">
        <f t="shared" si="19"/>
        <v>1539</v>
      </c>
      <c r="C128">
        <v>0</v>
      </c>
      <c r="D128">
        <v>8</v>
      </c>
      <c r="E128">
        <v>8</v>
      </c>
      <c r="F128">
        <v>68</v>
      </c>
      <c r="G128" t="s">
        <v>966</v>
      </c>
      <c r="H128" s="17" t="str">
        <f>VLOOKUP(G128,場所マスタ[],6,FALSE)</f>
        <v>バラティエ</v>
      </c>
      <c r="I128" t="s">
        <v>233</v>
      </c>
      <c r="J128" t="s">
        <v>1415</v>
      </c>
      <c r="K128" t="s">
        <v>844</v>
      </c>
      <c r="L128" s="6" t="str">
        <f>IFERROR(VLOOKUP(K128,キャラマスタ[],2,FALSE),"")</f>
        <v>ヨサク</v>
      </c>
    </row>
    <row r="129" spans="1:12">
      <c r="A129" t="s">
        <v>1410</v>
      </c>
      <c r="B129">
        <f t="shared" si="19"/>
        <v>1539</v>
      </c>
      <c r="C129">
        <v>0</v>
      </c>
      <c r="D129">
        <v>8.1</v>
      </c>
      <c r="E129">
        <v>8</v>
      </c>
      <c r="F129">
        <v>68</v>
      </c>
      <c r="G129" t="s">
        <v>966</v>
      </c>
      <c r="H129" s="17" t="str">
        <f>VLOOKUP(G129,場所マスタ[],6,FALSE)</f>
        <v>バラティエ</v>
      </c>
      <c r="I129" t="s">
        <v>233</v>
      </c>
      <c r="J129" t="s">
        <v>1416</v>
      </c>
      <c r="K129" t="s">
        <v>411</v>
      </c>
      <c r="L129" s="6" t="str">
        <f>IFERROR(VLOOKUP(K129,キャラマスタ[],2,FALSE),"")</f>
        <v>モンキー・D・ルフィ</v>
      </c>
    </row>
    <row r="130" spans="1:12">
      <c r="A130" t="s">
        <v>1411</v>
      </c>
      <c r="B130">
        <f t="shared" si="19"/>
        <v>1539</v>
      </c>
      <c r="C130">
        <v>0</v>
      </c>
      <c r="D130">
        <v>8.1</v>
      </c>
      <c r="E130">
        <v>8</v>
      </c>
      <c r="F130">
        <v>68</v>
      </c>
      <c r="G130" t="s">
        <v>966</v>
      </c>
      <c r="H130" s="17" t="str">
        <f>VLOOKUP(G130,場所マスタ[],6,FALSE)</f>
        <v>バラティエ</v>
      </c>
      <c r="I130" t="s">
        <v>233</v>
      </c>
      <c r="J130" t="s">
        <v>1416</v>
      </c>
      <c r="K130" t="s">
        <v>1090</v>
      </c>
      <c r="L130" s="6" t="str">
        <f>IFERROR(VLOOKUP(K130,キャラマスタ[],2,FALSE),"")</f>
        <v>サンジ</v>
      </c>
    </row>
    <row r="131" spans="1:12">
      <c r="A131" t="s">
        <v>1412</v>
      </c>
      <c r="B131">
        <f t="shared" si="19"/>
        <v>1539</v>
      </c>
      <c r="C131">
        <v>0</v>
      </c>
      <c r="D131">
        <v>8.1</v>
      </c>
      <c r="E131">
        <v>8</v>
      </c>
      <c r="F131">
        <v>68</v>
      </c>
      <c r="G131" t="s">
        <v>966</v>
      </c>
      <c r="H131" s="17" t="str">
        <f>VLOOKUP(G131,場所マスタ[],6,FALSE)</f>
        <v>バラティエ</v>
      </c>
      <c r="I131" t="s">
        <v>233</v>
      </c>
      <c r="J131" t="s">
        <v>1416</v>
      </c>
      <c r="K131" t="s">
        <v>844</v>
      </c>
      <c r="L131" s="6" t="str">
        <f>IFERROR(VLOOKUP(K131,キャラマスタ[],2,FALSE),"")</f>
        <v>ヨサク</v>
      </c>
    </row>
    <row r="132" spans="1:12">
      <c r="A132" t="s">
        <v>1429</v>
      </c>
      <c r="B132">
        <f t="shared" si="19"/>
        <v>1539</v>
      </c>
      <c r="C132">
        <v>0</v>
      </c>
      <c r="D132">
        <v>8.1</v>
      </c>
      <c r="E132">
        <v>8</v>
      </c>
      <c r="F132">
        <v>69</v>
      </c>
      <c r="G132" t="s">
        <v>1274</v>
      </c>
      <c r="H132" s="17" t="str">
        <f>VLOOKUP(G132,場所マスタ[],6,FALSE)</f>
        <v>アーロンパーク</v>
      </c>
      <c r="I132" t="s">
        <v>233</v>
      </c>
      <c r="J132" t="s">
        <v>1426</v>
      </c>
      <c r="K132" t="s">
        <v>1310</v>
      </c>
      <c r="L132" s="6" t="str">
        <f>IFERROR(VLOOKUP(K132,キャラマスタ[],2,FALSE),"")</f>
        <v>アーロン</v>
      </c>
    </row>
    <row r="133" spans="1:12">
      <c r="A133" t="s">
        <v>1430</v>
      </c>
      <c r="B133">
        <f t="shared" si="19"/>
        <v>1539</v>
      </c>
      <c r="C133">
        <v>0</v>
      </c>
      <c r="D133">
        <v>8.1</v>
      </c>
      <c r="E133">
        <v>8</v>
      </c>
      <c r="F133">
        <v>69</v>
      </c>
      <c r="G133" t="s">
        <v>1274</v>
      </c>
      <c r="H133" s="17" t="str">
        <f>VLOOKUP(G133,場所マスタ[],6,FALSE)</f>
        <v>アーロンパーク</v>
      </c>
      <c r="I133" t="s">
        <v>233</v>
      </c>
      <c r="J133" t="s">
        <v>1427</v>
      </c>
      <c r="K133" t="s">
        <v>1424</v>
      </c>
      <c r="L133" s="6" t="str">
        <f>IFERROR(VLOOKUP(K133,キャラマスタ[],2,FALSE),"")</f>
        <v>はっちゃん</v>
      </c>
    </row>
    <row r="134" spans="1:12">
      <c r="A134" t="s">
        <v>1431</v>
      </c>
      <c r="B134">
        <f t="shared" si="19"/>
        <v>1539</v>
      </c>
      <c r="C134">
        <v>0</v>
      </c>
      <c r="D134">
        <v>8.1</v>
      </c>
      <c r="E134">
        <v>8</v>
      </c>
      <c r="F134">
        <v>69</v>
      </c>
      <c r="G134" t="s">
        <v>1274</v>
      </c>
      <c r="H134" s="17" t="str">
        <f>VLOOKUP(G134,場所マスタ[],6,FALSE)</f>
        <v>アーロンパーク</v>
      </c>
      <c r="I134" t="s">
        <v>233</v>
      </c>
      <c r="J134" t="s">
        <v>1428</v>
      </c>
      <c r="K134" t="s">
        <v>321</v>
      </c>
      <c r="L134" s="6" t="str">
        <f>IFERROR(VLOOKUP(K134,キャラマスタ[],2,FALSE),"")</f>
        <v>ナミ</v>
      </c>
    </row>
    <row r="135" spans="1:12">
      <c r="A135" t="s">
        <v>1432</v>
      </c>
      <c r="B135">
        <f>1539+C135</f>
        <v>1539</v>
      </c>
      <c r="C135">
        <v>0</v>
      </c>
      <c r="D135">
        <v>8.1</v>
      </c>
      <c r="E135">
        <v>8</v>
      </c>
      <c r="F135">
        <v>69</v>
      </c>
      <c r="G135" t="s">
        <v>1274</v>
      </c>
      <c r="H135" s="17" t="str">
        <f>VLOOKUP(G135,場所マスタ[],6,FALSE)</f>
        <v>アーロンパーク</v>
      </c>
      <c r="I135" t="s">
        <v>233</v>
      </c>
      <c r="J135" t="s">
        <v>1440</v>
      </c>
      <c r="K135" t="s">
        <v>308</v>
      </c>
      <c r="L135" s="6" t="str">
        <f>IFERROR(VLOOKUP(K135,キャラマスタ[],2,FALSE),"")</f>
        <v>ロロノア・ゾロ</v>
      </c>
    </row>
    <row r="136" spans="1:12">
      <c r="A136" t="s">
        <v>1433</v>
      </c>
      <c r="B136">
        <f t="shared" ref="B136:B147" si="20">1539+C136</f>
        <v>1539</v>
      </c>
      <c r="C136">
        <v>0</v>
      </c>
      <c r="D136">
        <v>8.1</v>
      </c>
      <c r="E136">
        <v>8</v>
      </c>
      <c r="F136">
        <v>70</v>
      </c>
      <c r="G136" t="s">
        <v>1275</v>
      </c>
      <c r="H136" s="17" t="str">
        <f>VLOOKUP(G136,場所マスタ[],6,FALSE)</f>
        <v>ゴサの町</v>
      </c>
      <c r="I136" t="s">
        <v>233</v>
      </c>
      <c r="J136" t="s">
        <v>1441</v>
      </c>
      <c r="K136" t="s">
        <v>718</v>
      </c>
      <c r="L136" s="6" t="str">
        <f>IFERROR(VLOOKUP(K136,キャラマスタ[],2,FALSE),"")</f>
        <v>ウソップ</v>
      </c>
    </row>
    <row r="137" spans="1:12">
      <c r="A137" t="s">
        <v>1434</v>
      </c>
      <c r="B137">
        <f t="shared" si="20"/>
        <v>1539</v>
      </c>
      <c r="C137">
        <v>0</v>
      </c>
      <c r="D137">
        <v>8.1</v>
      </c>
      <c r="E137">
        <v>8</v>
      </c>
      <c r="F137">
        <v>70</v>
      </c>
      <c r="G137" t="s">
        <v>1275</v>
      </c>
      <c r="H137" s="17" t="str">
        <f>VLOOKUP(G137,場所マスタ[],6,FALSE)</f>
        <v>ゴサの町</v>
      </c>
      <c r="I137" t="s">
        <v>233</v>
      </c>
      <c r="J137" t="s">
        <v>1441</v>
      </c>
      <c r="K137" t="s">
        <v>845</v>
      </c>
      <c r="L137" s="6" t="str">
        <f>IFERROR(VLOOKUP(K137,キャラマスタ[],2,FALSE),"")</f>
        <v>ジョニー</v>
      </c>
    </row>
    <row r="138" spans="1:12">
      <c r="A138" t="s">
        <v>1435</v>
      </c>
      <c r="B138">
        <f t="shared" si="20"/>
        <v>1539</v>
      </c>
      <c r="C138">
        <v>0</v>
      </c>
      <c r="D138">
        <v>4.7</v>
      </c>
      <c r="E138">
        <v>8</v>
      </c>
      <c r="F138">
        <v>71</v>
      </c>
      <c r="G138" t="s">
        <v>1272</v>
      </c>
      <c r="H138" s="17" t="str">
        <f>VLOOKUP(G138,場所マスタ[],6,FALSE)</f>
        <v>先住民のいる島</v>
      </c>
      <c r="I138" t="s">
        <v>233</v>
      </c>
      <c r="J138" t="s">
        <v>1442</v>
      </c>
      <c r="K138" t="s">
        <v>570</v>
      </c>
      <c r="L138" s="6" t="str">
        <f>IFERROR(VLOOKUP(K138,キャラマスタ[],2,FALSE),"")</f>
        <v>バギー</v>
      </c>
    </row>
    <row r="139" spans="1:12">
      <c r="A139" t="s">
        <v>1436</v>
      </c>
      <c r="B139">
        <f t="shared" si="20"/>
        <v>1539</v>
      </c>
      <c r="C139">
        <v>0</v>
      </c>
      <c r="D139">
        <v>4.7</v>
      </c>
      <c r="E139">
        <v>8</v>
      </c>
      <c r="F139">
        <v>71</v>
      </c>
      <c r="G139" t="s">
        <v>1272</v>
      </c>
      <c r="H139" s="17" t="str">
        <f>VLOOKUP(G139,場所マスタ[],6,FALSE)</f>
        <v>先住民のいる島</v>
      </c>
      <c r="I139" t="s">
        <v>233</v>
      </c>
      <c r="J139" t="s">
        <v>1442</v>
      </c>
      <c r="K139" t="s">
        <v>661</v>
      </c>
      <c r="L139" s="6" t="str">
        <f>IFERROR(VLOOKUP(K139,キャラマスタ[],2,FALSE),"")</f>
        <v>モージ</v>
      </c>
    </row>
    <row r="140" spans="1:12">
      <c r="A140" t="s">
        <v>1437</v>
      </c>
      <c r="B140">
        <f t="shared" si="20"/>
        <v>1539</v>
      </c>
      <c r="C140">
        <v>0</v>
      </c>
      <c r="D140">
        <v>4.7</v>
      </c>
      <c r="E140">
        <v>8</v>
      </c>
      <c r="F140">
        <v>71</v>
      </c>
      <c r="G140" t="s">
        <v>1272</v>
      </c>
      <c r="H140" s="17" t="str">
        <f>VLOOKUP(G140,場所マスタ[],6,FALSE)</f>
        <v>先住民のいる島</v>
      </c>
      <c r="I140" t="s">
        <v>233</v>
      </c>
      <c r="J140" t="s">
        <v>1442</v>
      </c>
      <c r="K140" t="s">
        <v>662</v>
      </c>
      <c r="L140" s="6" t="str">
        <f>IFERROR(VLOOKUP(K140,キャラマスタ[],2,FALSE),"")</f>
        <v>カバジ</v>
      </c>
    </row>
    <row r="141" spans="1:12">
      <c r="A141" t="s">
        <v>1438</v>
      </c>
      <c r="B141">
        <f t="shared" si="20"/>
        <v>1539</v>
      </c>
      <c r="C141">
        <v>0</v>
      </c>
      <c r="D141">
        <v>4.7</v>
      </c>
      <c r="E141">
        <v>8</v>
      </c>
      <c r="F141">
        <v>71</v>
      </c>
      <c r="G141" t="s">
        <v>1272</v>
      </c>
      <c r="H141" s="17" t="str">
        <f>VLOOKUP(G141,場所マスタ[],6,FALSE)</f>
        <v>先住民のいる島</v>
      </c>
      <c r="I141" t="s">
        <v>233</v>
      </c>
      <c r="J141" t="s">
        <v>1442</v>
      </c>
      <c r="K141" t="s">
        <v>304</v>
      </c>
      <c r="L141" s="6" t="str">
        <f>IFERROR(VLOOKUP(K141,キャラマスタ[],2,FALSE),"")</f>
        <v>アルビダ</v>
      </c>
    </row>
    <row r="142" spans="1:12">
      <c r="A142" t="s">
        <v>1439</v>
      </c>
      <c r="B142">
        <f t="shared" si="20"/>
        <v>1539</v>
      </c>
      <c r="C142">
        <v>0</v>
      </c>
      <c r="D142">
        <v>8.1999999999999993</v>
      </c>
      <c r="E142">
        <v>8</v>
      </c>
      <c r="F142">
        <v>70</v>
      </c>
      <c r="G142" t="s">
        <v>1273</v>
      </c>
      <c r="H142" s="17" t="str">
        <f>VLOOKUP(G142,場所マスタ[],6,FALSE)</f>
        <v>ココヤシ村</v>
      </c>
      <c r="I142" t="s">
        <v>233</v>
      </c>
      <c r="J142" t="s">
        <v>1443</v>
      </c>
      <c r="K142" t="s">
        <v>1310</v>
      </c>
      <c r="L142" s="6" t="str">
        <f>IFERROR(VLOOKUP(K142,キャラマスタ[],2,FALSE),"")</f>
        <v>アーロン</v>
      </c>
    </row>
    <row r="143" spans="1:12">
      <c r="A143" t="s">
        <v>1445</v>
      </c>
      <c r="B143">
        <f>1539+C143</f>
        <v>1539</v>
      </c>
      <c r="C143">
        <v>0</v>
      </c>
      <c r="D143">
        <v>8.1999999999999993</v>
      </c>
      <c r="E143">
        <v>8</v>
      </c>
      <c r="F143">
        <v>70</v>
      </c>
      <c r="G143" t="s">
        <v>1273</v>
      </c>
      <c r="H143" s="17" t="str">
        <f>VLOOKUP(G143,場所マスタ[],6,FALSE)</f>
        <v>ココヤシ村</v>
      </c>
      <c r="I143" t="s">
        <v>233</v>
      </c>
      <c r="J143" t="s">
        <v>1443</v>
      </c>
      <c r="K143" t="s">
        <v>321</v>
      </c>
      <c r="L143" s="6" t="str">
        <f>IFERROR(VLOOKUP(K143,キャラマスタ[],2,FALSE),"")</f>
        <v>ナミ</v>
      </c>
    </row>
    <row r="144" spans="1:12">
      <c r="A144" t="s">
        <v>1507</v>
      </c>
      <c r="B144">
        <f>1539+C144</f>
        <v>1539</v>
      </c>
      <c r="C144">
        <v>0</v>
      </c>
      <c r="D144">
        <v>8.1999999999999993</v>
      </c>
      <c r="E144">
        <v>8</v>
      </c>
      <c r="F144">
        <v>70</v>
      </c>
      <c r="G144" t="s">
        <v>1273</v>
      </c>
      <c r="H144" s="17" t="str">
        <f>VLOOKUP(G144,場所マスタ[],6,FALSE)</f>
        <v>ココヤシ村</v>
      </c>
      <c r="I144" t="s">
        <v>233</v>
      </c>
      <c r="J144" t="s">
        <v>1521</v>
      </c>
      <c r="K144" t="s">
        <v>718</v>
      </c>
      <c r="L144" s="6" t="str">
        <f>IFERROR(VLOOKUP(K144,キャラマスタ[],2,FALSE),"")</f>
        <v>ウソップ</v>
      </c>
    </row>
    <row r="145" spans="1:12">
      <c r="A145" t="s">
        <v>1508</v>
      </c>
      <c r="B145">
        <f t="shared" si="20"/>
        <v>1539</v>
      </c>
      <c r="C145">
        <v>0</v>
      </c>
      <c r="D145">
        <v>8.3000000000000007</v>
      </c>
      <c r="E145">
        <v>9</v>
      </c>
      <c r="F145">
        <v>73</v>
      </c>
      <c r="G145" t="s">
        <v>1273</v>
      </c>
      <c r="H145" s="17" t="str">
        <f>VLOOKUP(G145,場所マスタ[],6,FALSE)</f>
        <v>ココヤシ村</v>
      </c>
      <c r="I145" t="s">
        <v>233</v>
      </c>
      <c r="J145" t="s">
        <v>1443</v>
      </c>
      <c r="K145" t="s">
        <v>308</v>
      </c>
      <c r="L145" s="6" t="str">
        <f>IFERROR(VLOOKUP(K145,キャラマスタ[],2,FALSE),"")</f>
        <v>ロロノア・ゾロ</v>
      </c>
    </row>
    <row r="146" spans="1:12">
      <c r="A146" t="s">
        <v>1509</v>
      </c>
      <c r="B146">
        <f t="shared" si="20"/>
        <v>1539</v>
      </c>
      <c r="C146">
        <v>0</v>
      </c>
      <c r="D146">
        <v>8.3000000000000007</v>
      </c>
      <c r="E146">
        <v>9</v>
      </c>
      <c r="F146">
        <v>73</v>
      </c>
      <c r="G146" t="s">
        <v>1273</v>
      </c>
      <c r="H146" s="17" t="str">
        <f>VLOOKUP(G146,場所マスタ[],6,FALSE)</f>
        <v>ココヤシ村</v>
      </c>
      <c r="I146" t="s">
        <v>233</v>
      </c>
      <c r="J146" t="s">
        <v>1515</v>
      </c>
      <c r="K146" t="s">
        <v>1424</v>
      </c>
      <c r="L146" s="6" t="str">
        <f>IFERROR(VLOOKUP(K146,キャラマスタ[],2,FALSE),"")</f>
        <v>はっちゃん</v>
      </c>
    </row>
    <row r="147" spans="1:12">
      <c r="A147" t="s">
        <v>1510</v>
      </c>
      <c r="B147">
        <f t="shared" si="20"/>
        <v>1539</v>
      </c>
      <c r="C147">
        <v>0</v>
      </c>
      <c r="D147">
        <v>8.3000000000000007</v>
      </c>
      <c r="E147">
        <v>9</v>
      </c>
      <c r="F147">
        <v>73</v>
      </c>
      <c r="G147" t="s">
        <v>1276</v>
      </c>
      <c r="H147" s="17" t="str">
        <f>VLOOKUP(G147,場所マスタ[],6,FALSE)</f>
        <v>アーロンパーク近海</v>
      </c>
      <c r="I147" t="s">
        <v>233</v>
      </c>
      <c r="J147" t="s">
        <v>1518</v>
      </c>
      <c r="K147" t="s">
        <v>411</v>
      </c>
      <c r="L147" s="6" t="str">
        <f>IFERROR(VLOOKUP(K147,キャラマスタ[],2,FALSE),"")</f>
        <v>モンキー・D・ルフィ</v>
      </c>
    </row>
    <row r="148" spans="1:12">
      <c r="A148" t="s">
        <v>1511</v>
      </c>
      <c r="B148">
        <f t="shared" ref="B148:B155" si="21">1539+C148</f>
        <v>1539</v>
      </c>
      <c r="C148">
        <v>0</v>
      </c>
      <c r="D148">
        <v>8.3000000000000007</v>
      </c>
      <c r="E148">
        <v>9</v>
      </c>
      <c r="F148">
        <v>73</v>
      </c>
      <c r="G148" t="s">
        <v>1276</v>
      </c>
      <c r="H148" s="17" t="str">
        <f>VLOOKUP(G148,場所マスタ[],6,FALSE)</f>
        <v>アーロンパーク近海</v>
      </c>
      <c r="I148" t="s">
        <v>233</v>
      </c>
      <c r="J148" t="s">
        <v>1518</v>
      </c>
      <c r="K148" t="s">
        <v>1090</v>
      </c>
      <c r="L148" s="6" t="str">
        <f>IFERROR(VLOOKUP(K148,キャラマスタ[],2,FALSE),"")</f>
        <v>サンジ</v>
      </c>
    </row>
    <row r="149" spans="1:12">
      <c r="A149" t="s">
        <v>1512</v>
      </c>
      <c r="B149">
        <f t="shared" si="21"/>
        <v>1539</v>
      </c>
      <c r="C149">
        <v>0</v>
      </c>
      <c r="D149">
        <v>8.3000000000000007</v>
      </c>
      <c r="E149">
        <v>9</v>
      </c>
      <c r="F149">
        <v>73</v>
      </c>
      <c r="G149" t="s">
        <v>1276</v>
      </c>
      <c r="H149" s="17" t="str">
        <f>VLOOKUP(G149,場所マスタ[],6,FALSE)</f>
        <v>アーロンパーク近海</v>
      </c>
      <c r="I149" t="s">
        <v>233</v>
      </c>
      <c r="J149" t="s">
        <v>1518</v>
      </c>
      <c r="K149" t="s">
        <v>844</v>
      </c>
      <c r="L149" s="6" t="str">
        <f>IFERROR(VLOOKUP(K149,キャラマスタ[],2,FALSE),"")</f>
        <v>ヨサク</v>
      </c>
    </row>
    <row r="150" spans="1:12">
      <c r="A150" t="s">
        <v>1513</v>
      </c>
      <c r="B150">
        <f t="shared" si="21"/>
        <v>1539</v>
      </c>
      <c r="C150">
        <v>0</v>
      </c>
      <c r="D150">
        <v>8.3000000000000007</v>
      </c>
      <c r="E150">
        <v>9</v>
      </c>
      <c r="F150">
        <v>73</v>
      </c>
      <c r="G150" t="s">
        <v>1274</v>
      </c>
      <c r="H150" s="17" t="str">
        <f>VLOOKUP(G150,場所マスタ[],6,FALSE)</f>
        <v>アーロンパーク</v>
      </c>
      <c r="I150" t="s">
        <v>233</v>
      </c>
      <c r="J150" t="s">
        <v>1428</v>
      </c>
      <c r="K150" t="s">
        <v>1310</v>
      </c>
      <c r="L150" s="6" t="str">
        <f>IFERROR(VLOOKUP(K150,キャラマスタ[],2,FALSE),"")</f>
        <v>アーロン</v>
      </c>
    </row>
    <row r="151" spans="1:12">
      <c r="A151" t="s">
        <v>1514</v>
      </c>
      <c r="B151">
        <f t="shared" si="21"/>
        <v>1539</v>
      </c>
      <c r="C151">
        <v>0</v>
      </c>
      <c r="D151">
        <v>8.3000000000000007</v>
      </c>
      <c r="E151">
        <v>9</v>
      </c>
      <c r="F151">
        <v>73</v>
      </c>
      <c r="G151" t="s">
        <v>1274</v>
      </c>
      <c r="H151" s="17" t="str">
        <f>VLOOKUP(G151,場所マスタ[],6,FALSE)</f>
        <v>アーロンパーク</v>
      </c>
      <c r="I151" t="s">
        <v>233</v>
      </c>
      <c r="J151" t="s">
        <v>1428</v>
      </c>
      <c r="K151" t="s">
        <v>321</v>
      </c>
      <c r="L151" s="6" t="str">
        <f>IFERROR(VLOOKUP(K151,キャラマスタ[],2,FALSE),"")</f>
        <v>ナミ</v>
      </c>
    </row>
    <row r="152" spans="1:12">
      <c r="A152" t="s">
        <v>1534</v>
      </c>
      <c r="B152">
        <f t="shared" si="21"/>
        <v>1539</v>
      </c>
      <c r="C152">
        <v>0</v>
      </c>
      <c r="D152">
        <v>8.3000000000000007</v>
      </c>
      <c r="E152">
        <v>9</v>
      </c>
      <c r="F152">
        <v>73</v>
      </c>
      <c r="G152" t="s">
        <v>1274</v>
      </c>
      <c r="H152" s="17" t="str">
        <f>VLOOKUP(G152,場所マスタ[],6,FALSE)</f>
        <v>アーロンパーク</v>
      </c>
      <c r="I152" t="s">
        <v>233</v>
      </c>
      <c r="J152" t="s">
        <v>1520</v>
      </c>
      <c r="K152" t="s">
        <v>718</v>
      </c>
      <c r="L152" s="6" t="str">
        <f>IFERROR(VLOOKUP(K152,キャラマスタ[],2,FALSE),"")</f>
        <v>ウソップ</v>
      </c>
    </row>
    <row r="153" spans="1:12">
      <c r="A153" t="s">
        <v>1535</v>
      </c>
      <c r="B153">
        <f t="shared" si="21"/>
        <v>1539</v>
      </c>
      <c r="C153">
        <v>0</v>
      </c>
      <c r="D153">
        <v>8.4</v>
      </c>
      <c r="E153">
        <v>9</v>
      </c>
      <c r="F153">
        <v>74</v>
      </c>
      <c r="G153" t="s">
        <v>1274</v>
      </c>
      <c r="H153" s="17" t="str">
        <f>VLOOKUP(G153,場所マスタ[],6,FALSE)</f>
        <v>アーロンパーク</v>
      </c>
      <c r="I153" t="s">
        <v>233</v>
      </c>
      <c r="J153" t="s">
        <v>1428</v>
      </c>
      <c r="K153" t="s">
        <v>1424</v>
      </c>
      <c r="L153" s="6" t="str">
        <f>IFERROR(VLOOKUP(K153,キャラマスタ[],2,FALSE),"")</f>
        <v>はっちゃん</v>
      </c>
    </row>
    <row r="154" spans="1:12">
      <c r="A154" t="s">
        <v>1536</v>
      </c>
      <c r="B154">
        <f t="shared" si="21"/>
        <v>1539</v>
      </c>
      <c r="C154">
        <v>0</v>
      </c>
      <c r="D154">
        <v>8.4</v>
      </c>
      <c r="E154">
        <v>9</v>
      </c>
      <c r="F154">
        <v>74</v>
      </c>
      <c r="G154" t="s">
        <v>1273</v>
      </c>
      <c r="H154" s="17" t="str">
        <f>VLOOKUP(G154,場所マスタ[],6,FALSE)</f>
        <v>ココヤシ村</v>
      </c>
      <c r="I154" t="s">
        <v>233</v>
      </c>
      <c r="J154" t="s">
        <v>1544</v>
      </c>
      <c r="K154" t="s">
        <v>411</v>
      </c>
      <c r="L154" s="6" t="str">
        <f>IFERROR(VLOOKUP(K154,キャラマスタ[],2,FALSE),"")</f>
        <v>モンキー・D・ルフィ</v>
      </c>
    </row>
    <row r="155" spans="1:12">
      <c r="A155" t="s">
        <v>1537</v>
      </c>
      <c r="B155">
        <f t="shared" si="21"/>
        <v>1539</v>
      </c>
      <c r="C155">
        <v>0</v>
      </c>
      <c r="D155">
        <v>8.4</v>
      </c>
      <c r="E155">
        <v>9</v>
      </c>
      <c r="F155">
        <v>74</v>
      </c>
      <c r="G155" t="s">
        <v>1273</v>
      </c>
      <c r="H155" s="17" t="str">
        <f>VLOOKUP(G155,場所マスタ[],6,FALSE)</f>
        <v>ココヤシ村</v>
      </c>
      <c r="I155" t="s">
        <v>233</v>
      </c>
      <c r="J155" t="s">
        <v>1544</v>
      </c>
      <c r="K155" t="s">
        <v>1090</v>
      </c>
      <c r="L155" s="6" t="str">
        <f>IFERROR(VLOOKUP(K155,キャラマスタ[],2,FALSE),"")</f>
        <v>サンジ</v>
      </c>
    </row>
    <row r="156" spans="1:12">
      <c r="A156" t="s">
        <v>1538</v>
      </c>
      <c r="B156">
        <f t="shared" ref="B156:B166" si="22">1539+C156</f>
        <v>1539</v>
      </c>
      <c r="C156">
        <v>0</v>
      </c>
      <c r="D156">
        <v>8.4</v>
      </c>
      <c r="E156">
        <v>9</v>
      </c>
      <c r="F156">
        <v>74</v>
      </c>
      <c r="G156" t="s">
        <v>1273</v>
      </c>
      <c r="H156" s="17" t="str">
        <f>VLOOKUP(G156,場所マスタ[],6,FALSE)</f>
        <v>ココヤシ村</v>
      </c>
      <c r="I156" t="s">
        <v>233</v>
      </c>
      <c r="J156" t="s">
        <v>1544</v>
      </c>
      <c r="K156" t="s">
        <v>844</v>
      </c>
      <c r="L156" s="6" t="str">
        <f>IFERROR(VLOOKUP(K156,キャラマスタ[],2,FALSE),"")</f>
        <v>ヨサク</v>
      </c>
    </row>
    <row r="157" spans="1:12">
      <c r="A157" t="s">
        <v>1539</v>
      </c>
      <c r="B157">
        <f t="shared" si="22"/>
        <v>1539</v>
      </c>
      <c r="C157">
        <v>0</v>
      </c>
      <c r="D157">
        <v>8.4</v>
      </c>
      <c r="E157">
        <v>9</v>
      </c>
      <c r="F157">
        <v>74</v>
      </c>
      <c r="G157" t="s">
        <v>1273</v>
      </c>
      <c r="H157" s="17" t="str">
        <f>VLOOKUP(G157,場所マスタ[],6,FALSE)</f>
        <v>ココヤシ村</v>
      </c>
      <c r="I157" t="s">
        <v>233</v>
      </c>
      <c r="J157" t="s">
        <v>1546</v>
      </c>
      <c r="K157" t="s">
        <v>1545</v>
      </c>
      <c r="L157" s="6" t="str">
        <f>IFERROR(VLOOKUP(K157,キャラマスタ[],2,FALSE),"")</f>
        <v>ジョニー</v>
      </c>
    </row>
    <row r="158" spans="1:12">
      <c r="A158" t="s">
        <v>1540</v>
      </c>
      <c r="B158">
        <f>1539+C158</f>
        <v>1539</v>
      </c>
      <c r="C158">
        <v>0</v>
      </c>
      <c r="D158">
        <v>8.5</v>
      </c>
      <c r="E158">
        <v>9</v>
      </c>
      <c r="F158">
        <v>74</v>
      </c>
      <c r="G158" t="s">
        <v>1273</v>
      </c>
      <c r="H158" s="17" t="str">
        <f>VLOOKUP(G158,場所マスタ[],6,FALSE)</f>
        <v>ココヤシ村</v>
      </c>
      <c r="I158" t="s">
        <v>233</v>
      </c>
      <c r="J158" t="s">
        <v>1549</v>
      </c>
      <c r="K158" t="s">
        <v>718</v>
      </c>
      <c r="L158" s="6" t="str">
        <f>IFERROR(VLOOKUP(K158,キャラマスタ[],2,FALSE),"")</f>
        <v>ウソップ</v>
      </c>
    </row>
    <row r="159" spans="1:12">
      <c r="A159" t="s">
        <v>1541</v>
      </c>
      <c r="B159">
        <f t="shared" si="22"/>
        <v>1539</v>
      </c>
      <c r="C159">
        <v>0</v>
      </c>
      <c r="D159">
        <v>8.5</v>
      </c>
      <c r="E159">
        <v>9</v>
      </c>
      <c r="F159">
        <v>75</v>
      </c>
      <c r="G159" t="s">
        <v>1547</v>
      </c>
      <c r="H159" s="17" t="str">
        <f>VLOOKUP(G159,場所マスタ[],6,FALSE)</f>
        <v>アーロンパーク近海</v>
      </c>
      <c r="I159" t="s">
        <v>233</v>
      </c>
      <c r="J159" t="s">
        <v>1548</v>
      </c>
      <c r="K159" t="s">
        <v>1424</v>
      </c>
      <c r="L159" s="6" t="str">
        <f>IFERROR(VLOOKUP(K159,キャラマスタ[],2,FALSE),"")</f>
        <v>はっちゃん</v>
      </c>
    </row>
    <row r="160" spans="1:12">
      <c r="A160" t="s">
        <v>1542</v>
      </c>
      <c r="B160">
        <f t="shared" si="22"/>
        <v>1531</v>
      </c>
      <c r="C160">
        <v>-8</v>
      </c>
      <c r="D160">
        <v>-2920</v>
      </c>
      <c r="E160">
        <v>9</v>
      </c>
      <c r="F160">
        <v>77</v>
      </c>
      <c r="G160" t="s">
        <v>1273</v>
      </c>
      <c r="H160" s="17" t="str">
        <f>VLOOKUP(G160,場所マスタ[],6,FALSE)</f>
        <v>ココヤシ村</v>
      </c>
      <c r="I160" t="s">
        <v>233</v>
      </c>
      <c r="J160" t="s">
        <v>1550</v>
      </c>
      <c r="K160" t="s">
        <v>1310</v>
      </c>
      <c r="L160" s="6" t="str">
        <f>IFERROR(VLOOKUP(K160,キャラマスタ[],2,FALSE),"")</f>
        <v>アーロン</v>
      </c>
    </row>
    <row r="161" spans="1:12">
      <c r="A161" t="s">
        <v>1543</v>
      </c>
      <c r="B161">
        <f t="shared" si="22"/>
        <v>1531</v>
      </c>
      <c r="C161">
        <v>-8</v>
      </c>
      <c r="D161">
        <v>-2920</v>
      </c>
      <c r="E161">
        <v>9</v>
      </c>
      <c r="F161">
        <v>77</v>
      </c>
      <c r="G161" t="s">
        <v>1273</v>
      </c>
      <c r="H161" s="17" t="str">
        <f>VLOOKUP(G161,場所マスタ[],6,FALSE)</f>
        <v>ココヤシ村</v>
      </c>
      <c r="I161" t="s">
        <v>233</v>
      </c>
      <c r="J161" t="s">
        <v>1550</v>
      </c>
      <c r="K161" t="s">
        <v>1424</v>
      </c>
      <c r="L161" s="6" t="str">
        <f>IFERROR(VLOOKUP(K161,キャラマスタ[],2,FALSE),"")</f>
        <v>はっちゃん</v>
      </c>
    </row>
    <row r="162" spans="1:12">
      <c r="A162" t="s">
        <v>1734</v>
      </c>
      <c r="B162">
        <f t="shared" si="22"/>
        <v>1531</v>
      </c>
      <c r="C162">
        <v>-8</v>
      </c>
      <c r="D162">
        <v>-2920</v>
      </c>
      <c r="E162">
        <v>9</v>
      </c>
      <c r="F162">
        <v>77</v>
      </c>
      <c r="G162" t="s">
        <v>1273</v>
      </c>
      <c r="H162" s="17" t="str">
        <f>VLOOKUP(G162,場所マスタ[],6,FALSE)</f>
        <v>ココヤシ村</v>
      </c>
      <c r="I162" t="s">
        <v>233</v>
      </c>
      <c r="J162" t="s">
        <v>1551</v>
      </c>
      <c r="K162" t="s">
        <v>321</v>
      </c>
      <c r="L162" s="6" t="str">
        <f>IFERROR(VLOOKUP(K162,キャラマスタ[],2,FALSE),"")</f>
        <v>ナミ</v>
      </c>
    </row>
    <row r="163" spans="1:12">
      <c r="A163" t="s">
        <v>1735</v>
      </c>
      <c r="B163">
        <f t="shared" si="22"/>
        <v>1539</v>
      </c>
      <c r="C163">
        <v>0</v>
      </c>
      <c r="D163">
        <v>8.6999999999999993</v>
      </c>
      <c r="E163">
        <v>10</v>
      </c>
      <c r="F163">
        <v>82</v>
      </c>
      <c r="G163" t="s">
        <v>1274</v>
      </c>
      <c r="H163" s="17" t="str">
        <f>VLOOKUP(G163,場所マスタ[],6,FALSE)</f>
        <v>アーロンパーク</v>
      </c>
      <c r="I163" t="s">
        <v>233</v>
      </c>
      <c r="J163" t="s">
        <v>1738</v>
      </c>
      <c r="K163" t="s">
        <v>411</v>
      </c>
      <c r="L163" s="6" t="str">
        <f>IFERROR(VLOOKUP(K163,キャラマスタ[],2,FALSE),"")</f>
        <v>モンキー・D・ルフィ</v>
      </c>
    </row>
    <row r="164" spans="1:12">
      <c r="A164" t="s">
        <v>1872</v>
      </c>
      <c r="B164">
        <f t="shared" si="22"/>
        <v>1539</v>
      </c>
      <c r="C164">
        <v>0</v>
      </c>
      <c r="D164">
        <v>8.6999999999999993</v>
      </c>
      <c r="E164">
        <v>10</v>
      </c>
      <c r="F164">
        <v>82</v>
      </c>
      <c r="G164" t="s">
        <v>1274</v>
      </c>
      <c r="H164" s="17" t="str">
        <f>VLOOKUP(G164,場所マスタ[],6,FALSE)</f>
        <v>アーロンパーク</v>
      </c>
      <c r="I164" t="s">
        <v>233</v>
      </c>
      <c r="J164" t="s">
        <v>1738</v>
      </c>
      <c r="K164" t="s">
        <v>1090</v>
      </c>
      <c r="L164" s="6" t="str">
        <f>IFERROR(VLOOKUP(K164,キャラマスタ[],2,FALSE),"")</f>
        <v>サンジ</v>
      </c>
    </row>
    <row r="165" spans="1:12">
      <c r="A165" t="s">
        <v>1736</v>
      </c>
      <c r="B165">
        <f t="shared" si="22"/>
        <v>1539</v>
      </c>
      <c r="C165">
        <v>0</v>
      </c>
      <c r="D165">
        <v>8.6999999999999993</v>
      </c>
      <c r="E165">
        <v>10</v>
      </c>
      <c r="F165">
        <v>82</v>
      </c>
      <c r="G165" t="s">
        <v>1274</v>
      </c>
      <c r="H165" s="17" t="str">
        <f>VLOOKUP(G165,場所マスタ[],6,FALSE)</f>
        <v>アーロンパーク</v>
      </c>
      <c r="I165" t="s">
        <v>233</v>
      </c>
      <c r="J165" t="s">
        <v>1738</v>
      </c>
      <c r="K165" t="s">
        <v>718</v>
      </c>
      <c r="L165" s="6" t="str">
        <f>IFERROR(VLOOKUP(K165,キャラマスタ[],2,FALSE),"")</f>
        <v>ウソップ</v>
      </c>
    </row>
    <row r="166" spans="1:12">
      <c r="A166" t="s">
        <v>1737</v>
      </c>
      <c r="B166">
        <f t="shared" si="22"/>
        <v>1539</v>
      </c>
      <c r="C166">
        <v>0</v>
      </c>
      <c r="D166">
        <v>8.6999999999999993</v>
      </c>
      <c r="E166">
        <v>10</v>
      </c>
      <c r="F166">
        <v>82</v>
      </c>
      <c r="G166" t="s">
        <v>1274</v>
      </c>
      <c r="H166" s="17" t="str">
        <f>VLOOKUP(G166,場所マスタ[],6,FALSE)</f>
        <v>アーロンパーク</v>
      </c>
      <c r="I166" t="s">
        <v>233</v>
      </c>
      <c r="J166" t="s">
        <v>1738</v>
      </c>
      <c r="K166" t="s">
        <v>308</v>
      </c>
      <c r="L166" s="6" t="str">
        <f>IFERROR(VLOOKUP(K166,キャラマスタ[],2,FALSE),"")</f>
        <v>ロロノア・ゾロ</v>
      </c>
    </row>
    <row r="167" spans="1:12">
      <c r="A167" t="s">
        <v>1837</v>
      </c>
      <c r="B167">
        <f t="shared" ref="B167:B171" si="23">1539+C167</f>
        <v>1539</v>
      </c>
      <c r="C167">
        <v>0</v>
      </c>
      <c r="D167">
        <v>8.6999999999999993</v>
      </c>
      <c r="E167">
        <v>10</v>
      </c>
      <c r="F167">
        <v>82</v>
      </c>
      <c r="G167" t="s">
        <v>1274</v>
      </c>
      <c r="H167" s="17" t="str">
        <f>VLOOKUP(G167,場所マスタ[],6,FALSE)</f>
        <v>アーロンパーク</v>
      </c>
      <c r="I167" t="s">
        <v>233</v>
      </c>
      <c r="J167" t="s">
        <v>1739</v>
      </c>
      <c r="K167" t="s">
        <v>1310</v>
      </c>
      <c r="L167" s="6" t="str">
        <f>IFERROR(VLOOKUP(K167,キャラマスタ[],2,FALSE),"")</f>
        <v>アーロン</v>
      </c>
    </row>
    <row r="168" spans="1:12">
      <c r="A168" t="s">
        <v>1838</v>
      </c>
      <c r="B168">
        <f t="shared" si="23"/>
        <v>1539</v>
      </c>
      <c r="C168">
        <v>0</v>
      </c>
      <c r="D168">
        <v>8.6999999999999993</v>
      </c>
      <c r="E168">
        <v>10</v>
      </c>
      <c r="F168">
        <v>82</v>
      </c>
      <c r="G168" t="s">
        <v>1274</v>
      </c>
      <c r="H168" s="17" t="str">
        <f>VLOOKUP(G168,場所マスタ[],6,FALSE)</f>
        <v>アーロンパーク</v>
      </c>
      <c r="I168" t="s">
        <v>233</v>
      </c>
      <c r="J168" t="s">
        <v>1739</v>
      </c>
      <c r="K168" t="s">
        <v>1424</v>
      </c>
      <c r="L168" s="6" t="str">
        <f>IFERROR(VLOOKUP(K168,キャラマスタ[],2,FALSE),"")</f>
        <v>はっちゃん</v>
      </c>
    </row>
    <row r="169" spans="1:12">
      <c r="A169" t="s">
        <v>1839</v>
      </c>
      <c r="B169">
        <f t="shared" si="23"/>
        <v>1539</v>
      </c>
      <c r="C169">
        <v>0</v>
      </c>
      <c r="D169">
        <v>2</v>
      </c>
      <c r="E169">
        <v>10</v>
      </c>
      <c r="F169">
        <v>83</v>
      </c>
      <c r="G169" t="s">
        <v>388</v>
      </c>
      <c r="H169" s="17" t="str">
        <f>VLOOKUP(G169,場所マスタ[],6,FALSE)</f>
        <v>シェルズタウン</v>
      </c>
      <c r="I169" t="s">
        <v>233</v>
      </c>
      <c r="J169" t="s">
        <v>1740</v>
      </c>
      <c r="K169" t="s">
        <v>303</v>
      </c>
      <c r="L169" s="6" t="str">
        <f>IFERROR(VLOOKUP(K169,キャラマスタ[],2,FALSE),"")</f>
        <v>コビー</v>
      </c>
    </row>
    <row r="170" spans="1:12">
      <c r="A170" t="s">
        <v>1840</v>
      </c>
      <c r="B170">
        <f t="shared" si="23"/>
        <v>1539</v>
      </c>
      <c r="C170">
        <v>0</v>
      </c>
      <c r="D170">
        <v>2</v>
      </c>
      <c r="E170">
        <v>10</v>
      </c>
      <c r="F170">
        <v>83</v>
      </c>
      <c r="G170" t="s">
        <v>388</v>
      </c>
      <c r="H170" s="17" t="str">
        <f>VLOOKUP(G170,場所マスタ[],6,FALSE)</f>
        <v>シェルズタウン</v>
      </c>
      <c r="I170" t="s">
        <v>233</v>
      </c>
      <c r="J170" t="s">
        <v>1740</v>
      </c>
      <c r="K170" t="s">
        <v>310</v>
      </c>
      <c r="L170" s="6" t="str">
        <f>IFERROR(VLOOKUP(K170,キャラマスタ[],2,FALSE),"")</f>
        <v>ヘルメッポ</v>
      </c>
    </row>
    <row r="171" spans="1:12">
      <c r="A171" t="s">
        <v>1841</v>
      </c>
      <c r="B171">
        <f t="shared" si="23"/>
        <v>1539</v>
      </c>
      <c r="C171">
        <v>0</v>
      </c>
      <c r="D171">
        <v>3</v>
      </c>
      <c r="E171">
        <v>10</v>
      </c>
      <c r="F171">
        <v>88</v>
      </c>
      <c r="G171" t="s">
        <v>512</v>
      </c>
      <c r="H171" s="17" t="str">
        <f>VLOOKUP(G171,場所マスタ[],6,FALSE)</f>
        <v>シェルズタウン近海</v>
      </c>
      <c r="I171" t="s">
        <v>233</v>
      </c>
      <c r="J171" t="s">
        <v>1903</v>
      </c>
      <c r="K171" t="s">
        <v>1741</v>
      </c>
      <c r="L171" s="6" t="str">
        <f>IFERROR(VLOOKUP(K171,キャラマスタ[],2,FALSE),"")</f>
        <v>モーガン</v>
      </c>
    </row>
    <row r="172" spans="1:12">
      <c r="A172" t="s">
        <v>1842</v>
      </c>
      <c r="B172">
        <f t="shared" ref="B172:B175" si="24">1539+C172</f>
        <v>1539</v>
      </c>
      <c r="C172">
        <v>0</v>
      </c>
      <c r="D172">
        <v>11</v>
      </c>
      <c r="E172">
        <v>11</v>
      </c>
      <c r="F172">
        <v>95</v>
      </c>
      <c r="G172" t="s">
        <v>1809</v>
      </c>
      <c r="H172" s="17" t="str">
        <f>VLOOKUP(G172,場所マスタ[],6,FALSE)</f>
        <v>ローグタウン</v>
      </c>
      <c r="I172" t="s">
        <v>233</v>
      </c>
      <c r="J172" t="s">
        <v>1836</v>
      </c>
      <c r="K172" t="s">
        <v>411</v>
      </c>
      <c r="L172" s="6" t="str">
        <f>IFERROR(VLOOKUP(K172,キャラマスタ[],2,FALSE),"")</f>
        <v>モンキー・D・ルフィ</v>
      </c>
    </row>
    <row r="173" spans="1:12">
      <c r="A173" t="s">
        <v>1843</v>
      </c>
      <c r="B173">
        <f t="shared" si="24"/>
        <v>1539</v>
      </c>
      <c r="C173">
        <v>0</v>
      </c>
      <c r="D173">
        <v>11</v>
      </c>
      <c r="E173">
        <v>11</v>
      </c>
      <c r="F173">
        <v>95</v>
      </c>
      <c r="G173" t="s">
        <v>1809</v>
      </c>
      <c r="H173" s="17" t="str">
        <f>VLOOKUP(G173,場所マスタ[],6,FALSE)</f>
        <v>ローグタウン</v>
      </c>
      <c r="I173" t="s">
        <v>233</v>
      </c>
      <c r="J173" t="s">
        <v>1836</v>
      </c>
      <c r="K173" t="s">
        <v>308</v>
      </c>
      <c r="L173" s="6" t="str">
        <f>IFERROR(VLOOKUP(K173,キャラマスタ[],2,FALSE),"")</f>
        <v>ロロノア・ゾロ</v>
      </c>
    </row>
    <row r="174" spans="1:12">
      <c r="A174" t="s">
        <v>1844</v>
      </c>
      <c r="B174">
        <f t="shared" si="24"/>
        <v>1539</v>
      </c>
      <c r="C174">
        <v>0</v>
      </c>
      <c r="D174">
        <v>11</v>
      </c>
      <c r="E174">
        <v>11</v>
      </c>
      <c r="F174">
        <v>95</v>
      </c>
      <c r="G174" t="s">
        <v>1809</v>
      </c>
      <c r="H174" s="17" t="str">
        <f>VLOOKUP(G174,場所マスタ[],6,FALSE)</f>
        <v>ローグタウン</v>
      </c>
      <c r="I174" t="s">
        <v>233</v>
      </c>
      <c r="J174" t="s">
        <v>1836</v>
      </c>
      <c r="K174" t="s">
        <v>321</v>
      </c>
      <c r="L174" s="6" t="str">
        <f>IFERROR(VLOOKUP(K174,キャラマスタ[],2,FALSE),"")</f>
        <v>ナミ</v>
      </c>
    </row>
    <row r="175" spans="1:12">
      <c r="A175" t="s">
        <v>1845</v>
      </c>
      <c r="B175">
        <f t="shared" si="24"/>
        <v>1539</v>
      </c>
      <c r="C175">
        <v>0</v>
      </c>
      <c r="D175">
        <v>11</v>
      </c>
      <c r="E175">
        <v>11</v>
      </c>
      <c r="F175">
        <v>95</v>
      </c>
      <c r="G175" t="s">
        <v>1809</v>
      </c>
      <c r="H175" s="17" t="str">
        <f>VLOOKUP(G175,場所マスタ[],6,FALSE)</f>
        <v>ローグタウン</v>
      </c>
      <c r="I175" t="s">
        <v>233</v>
      </c>
      <c r="J175" t="s">
        <v>1836</v>
      </c>
      <c r="K175" t="s">
        <v>718</v>
      </c>
      <c r="L175" s="6" t="str">
        <f>IFERROR(VLOOKUP(K175,キャラマスタ[],2,FALSE),"")</f>
        <v>ウソップ</v>
      </c>
    </row>
    <row r="176" spans="1:12">
      <c r="A176" t="s">
        <v>1873</v>
      </c>
      <c r="B176">
        <f t="shared" ref="B176:B186" si="25">1539+C176</f>
        <v>1539</v>
      </c>
      <c r="C176">
        <v>0</v>
      </c>
      <c r="D176">
        <v>11</v>
      </c>
      <c r="E176">
        <v>11</v>
      </c>
      <c r="F176">
        <v>95</v>
      </c>
      <c r="G176" t="s">
        <v>1809</v>
      </c>
      <c r="H176" s="17" t="str">
        <f>VLOOKUP(G176,場所マスタ[],6,FALSE)</f>
        <v>ローグタウン</v>
      </c>
      <c r="I176" t="s">
        <v>233</v>
      </c>
      <c r="J176" t="s">
        <v>1836</v>
      </c>
      <c r="K176" t="s">
        <v>1090</v>
      </c>
      <c r="L176" s="6" t="str">
        <f>IFERROR(VLOOKUP(K176,キャラマスタ[],2,FALSE),"")</f>
        <v>サンジ</v>
      </c>
    </row>
    <row r="177" spans="1:12">
      <c r="A177" t="s">
        <v>1874</v>
      </c>
      <c r="B177">
        <f t="shared" si="25"/>
        <v>1539</v>
      </c>
      <c r="C177">
        <v>0</v>
      </c>
      <c r="D177">
        <v>11</v>
      </c>
      <c r="E177">
        <v>11</v>
      </c>
      <c r="F177">
        <v>95</v>
      </c>
      <c r="G177" t="s">
        <v>1847</v>
      </c>
      <c r="H177" s="17" t="str">
        <f>VLOOKUP(G177,場所マスタ[],6,FALSE)</f>
        <v>とある島</v>
      </c>
      <c r="I177" t="s">
        <v>233</v>
      </c>
      <c r="J177" t="s">
        <v>1848</v>
      </c>
      <c r="K177" t="s">
        <v>1169</v>
      </c>
      <c r="L177" s="6" t="str">
        <f>IFERROR(VLOOKUP(K177,キャラマスタ[],2,FALSE),"")</f>
        <v>ジュラキュール・ミホーク</v>
      </c>
    </row>
    <row r="178" spans="1:12">
      <c r="A178" t="s">
        <v>1875</v>
      </c>
      <c r="B178">
        <f t="shared" si="25"/>
        <v>1539</v>
      </c>
      <c r="C178">
        <v>0</v>
      </c>
      <c r="D178">
        <v>11</v>
      </c>
      <c r="E178">
        <v>11</v>
      </c>
      <c r="F178">
        <v>95</v>
      </c>
      <c r="G178" t="s">
        <v>1847</v>
      </c>
      <c r="H178" s="17" t="str">
        <f>VLOOKUP(G178,場所マスタ[],6,FALSE)</f>
        <v>とある島</v>
      </c>
      <c r="I178" t="s">
        <v>233</v>
      </c>
      <c r="J178" t="s">
        <v>1849</v>
      </c>
      <c r="K178" t="s">
        <v>292</v>
      </c>
      <c r="L178" s="6" t="str">
        <f>IFERROR(VLOOKUP(K178,キャラマスタ[],2,FALSE),"")</f>
        <v>シャンクス</v>
      </c>
    </row>
    <row r="179" spans="1:12">
      <c r="A179" t="s">
        <v>1876</v>
      </c>
      <c r="B179">
        <f t="shared" si="25"/>
        <v>1539</v>
      </c>
      <c r="C179">
        <v>0</v>
      </c>
      <c r="D179">
        <v>11</v>
      </c>
      <c r="E179">
        <v>11</v>
      </c>
      <c r="F179">
        <v>95</v>
      </c>
      <c r="G179" t="s">
        <v>1847</v>
      </c>
      <c r="H179" s="17" t="str">
        <f>VLOOKUP(G179,場所マスタ[],6,FALSE)</f>
        <v>とある島</v>
      </c>
      <c r="I179" t="s">
        <v>233</v>
      </c>
      <c r="J179" t="s">
        <v>1849</v>
      </c>
      <c r="K179" t="s">
        <v>293</v>
      </c>
      <c r="L179" s="6" t="str">
        <f>IFERROR(VLOOKUP(K179,キャラマスタ[],2,FALSE),"")</f>
        <v>ラッキー・ルウ</v>
      </c>
    </row>
    <row r="180" spans="1:12">
      <c r="A180" t="s">
        <v>1876</v>
      </c>
      <c r="B180">
        <f t="shared" si="25"/>
        <v>1539</v>
      </c>
      <c r="C180">
        <v>0</v>
      </c>
      <c r="D180">
        <v>11</v>
      </c>
      <c r="E180">
        <v>11</v>
      </c>
      <c r="F180">
        <v>95</v>
      </c>
      <c r="G180" t="s">
        <v>1847</v>
      </c>
      <c r="H180" s="17" t="str">
        <f>VLOOKUP(G180,場所マスタ[],6,FALSE)</f>
        <v>とある島</v>
      </c>
      <c r="I180" t="s">
        <v>233</v>
      </c>
      <c r="J180" t="s">
        <v>1849</v>
      </c>
      <c r="K180" t="s">
        <v>294</v>
      </c>
      <c r="L180" s="6" t="str">
        <f>IFERROR(VLOOKUP(K180,キャラマスタ[],2,FALSE),"")</f>
        <v>ヤソップ</v>
      </c>
    </row>
    <row r="181" spans="1:12">
      <c r="A181" t="s">
        <v>1876</v>
      </c>
      <c r="B181">
        <f t="shared" si="25"/>
        <v>1539</v>
      </c>
      <c r="C181">
        <v>0</v>
      </c>
      <c r="D181">
        <v>11</v>
      </c>
      <c r="E181">
        <v>11</v>
      </c>
      <c r="F181">
        <v>95</v>
      </c>
      <c r="G181" t="s">
        <v>1847</v>
      </c>
      <c r="H181" s="17" t="str">
        <f>VLOOKUP(G181,場所マスタ[],6,FALSE)</f>
        <v>とある島</v>
      </c>
      <c r="I181" t="s">
        <v>233</v>
      </c>
      <c r="J181" t="s">
        <v>1849</v>
      </c>
      <c r="K181" t="s">
        <v>295</v>
      </c>
      <c r="L181" s="6" t="str">
        <f>IFERROR(VLOOKUP(K181,キャラマスタ[],2,FALSE),"")</f>
        <v>ベン・ベックマン</v>
      </c>
    </row>
    <row r="182" spans="1:12">
      <c r="A182" t="s">
        <v>1877</v>
      </c>
      <c r="B182">
        <f t="shared" si="25"/>
        <v>1539</v>
      </c>
      <c r="C182">
        <v>0</v>
      </c>
      <c r="D182">
        <v>11.2</v>
      </c>
      <c r="E182">
        <v>11</v>
      </c>
      <c r="F182">
        <v>95</v>
      </c>
      <c r="G182" t="s">
        <v>1809</v>
      </c>
      <c r="H182" s="17" t="str">
        <f>VLOOKUP(G182,場所マスタ[],6,FALSE)</f>
        <v>ローグタウン</v>
      </c>
      <c r="I182" t="s">
        <v>233</v>
      </c>
      <c r="J182" t="s">
        <v>1868</v>
      </c>
      <c r="K182" t="s">
        <v>570</v>
      </c>
      <c r="L182" s="6" t="str">
        <f>IFERROR(VLOOKUP(K182,キャラマスタ[],2,FALSE),"")</f>
        <v>バギー</v>
      </c>
    </row>
    <row r="183" spans="1:12">
      <c r="A183" t="s">
        <v>1878</v>
      </c>
      <c r="B183">
        <f t="shared" si="25"/>
        <v>1539</v>
      </c>
      <c r="C183">
        <v>0</v>
      </c>
      <c r="D183">
        <v>11.2</v>
      </c>
      <c r="E183">
        <v>11</v>
      </c>
      <c r="F183">
        <v>95</v>
      </c>
      <c r="G183" t="s">
        <v>1809</v>
      </c>
      <c r="H183" s="17" t="str">
        <f>VLOOKUP(G183,場所マスタ[],6,FALSE)</f>
        <v>ローグタウン</v>
      </c>
      <c r="I183" t="s">
        <v>233</v>
      </c>
      <c r="J183" t="s">
        <v>1868</v>
      </c>
      <c r="K183" t="s">
        <v>661</v>
      </c>
      <c r="L183" s="6" t="str">
        <f>IFERROR(VLOOKUP(K183,キャラマスタ[],2,FALSE),"")</f>
        <v>モージ</v>
      </c>
    </row>
    <row r="184" spans="1:12">
      <c r="A184" t="s">
        <v>1879</v>
      </c>
      <c r="B184">
        <f t="shared" si="25"/>
        <v>1539</v>
      </c>
      <c r="C184">
        <v>0</v>
      </c>
      <c r="D184">
        <v>11.2</v>
      </c>
      <c r="E184">
        <v>11</v>
      </c>
      <c r="F184">
        <v>95</v>
      </c>
      <c r="G184" t="s">
        <v>1809</v>
      </c>
      <c r="H184" s="17" t="str">
        <f>VLOOKUP(G184,場所マスタ[],6,FALSE)</f>
        <v>ローグタウン</v>
      </c>
      <c r="I184" t="s">
        <v>233</v>
      </c>
      <c r="J184" t="s">
        <v>1868</v>
      </c>
      <c r="K184" t="s">
        <v>662</v>
      </c>
      <c r="L184" s="6" t="str">
        <f>IFERROR(VLOOKUP(K184,キャラマスタ[],2,FALSE),"")</f>
        <v>カバジ</v>
      </c>
    </row>
    <row r="185" spans="1:12">
      <c r="A185" t="s">
        <v>1880</v>
      </c>
      <c r="B185">
        <f t="shared" si="25"/>
        <v>1539</v>
      </c>
      <c r="C185">
        <v>0</v>
      </c>
      <c r="D185">
        <v>11.2</v>
      </c>
      <c r="E185">
        <v>11</v>
      </c>
      <c r="F185">
        <v>95</v>
      </c>
      <c r="G185" t="s">
        <v>1809</v>
      </c>
      <c r="H185" s="17" t="str">
        <f>VLOOKUP(G185,場所マスタ[],6,FALSE)</f>
        <v>ローグタウン</v>
      </c>
      <c r="I185" t="s">
        <v>233</v>
      </c>
      <c r="J185" t="s">
        <v>1868</v>
      </c>
      <c r="K185" t="s">
        <v>304</v>
      </c>
      <c r="L185" s="6" t="str">
        <f>IFERROR(VLOOKUP(K185,キャラマスタ[],2,FALSE),"")</f>
        <v>アルビダ</v>
      </c>
    </row>
    <row r="186" spans="1:12">
      <c r="A186" t="s">
        <v>1881</v>
      </c>
      <c r="B186">
        <f t="shared" si="25"/>
        <v>1539</v>
      </c>
      <c r="C186">
        <v>0</v>
      </c>
      <c r="D186">
        <v>11.2</v>
      </c>
      <c r="E186">
        <v>11</v>
      </c>
      <c r="F186">
        <v>95</v>
      </c>
      <c r="G186" t="s">
        <v>1809</v>
      </c>
      <c r="H186" s="17" t="str">
        <f>VLOOKUP(G186,場所マスタ[],6,FALSE)</f>
        <v>ローグタウン</v>
      </c>
      <c r="I186" t="s">
        <v>233</v>
      </c>
      <c r="J186" t="s">
        <v>1889</v>
      </c>
      <c r="K186" t="s">
        <v>411</v>
      </c>
      <c r="L186" s="6" t="str">
        <f>IFERROR(VLOOKUP(K186,キャラマスタ[],2,FALSE),"")</f>
        <v>モンキー・D・ルフィ</v>
      </c>
    </row>
    <row r="187" spans="1:12">
      <c r="A187" t="s">
        <v>1882</v>
      </c>
      <c r="B187">
        <f t="shared" ref="B187:B194" si="26">1539+C187</f>
        <v>1539</v>
      </c>
      <c r="C187">
        <v>0</v>
      </c>
      <c r="D187">
        <v>11.2</v>
      </c>
      <c r="E187">
        <v>11</v>
      </c>
      <c r="F187">
        <v>95</v>
      </c>
      <c r="G187" t="s">
        <v>1809</v>
      </c>
      <c r="H187" s="17" t="str">
        <f>VLOOKUP(G187,場所マスタ[],6,FALSE)</f>
        <v>ローグタウン</v>
      </c>
      <c r="I187" t="s">
        <v>233</v>
      </c>
      <c r="J187" t="s">
        <v>1890</v>
      </c>
      <c r="K187" t="s">
        <v>1806</v>
      </c>
      <c r="L187" s="6" t="str">
        <f>IFERROR(VLOOKUP(K187,キャラマスタ[],2,FALSE),"")</f>
        <v>スモーカー</v>
      </c>
    </row>
    <row r="188" spans="1:12">
      <c r="A188" t="s">
        <v>1883</v>
      </c>
      <c r="B188">
        <f t="shared" si="26"/>
        <v>1539</v>
      </c>
      <c r="C188">
        <v>0</v>
      </c>
      <c r="D188">
        <v>11.2</v>
      </c>
      <c r="E188">
        <v>11</v>
      </c>
      <c r="F188">
        <v>95</v>
      </c>
      <c r="G188" t="s">
        <v>1809</v>
      </c>
      <c r="H188" s="17" t="str">
        <f>VLOOKUP(G188,場所マスタ[],6,FALSE)</f>
        <v>ローグタウン</v>
      </c>
      <c r="I188" t="s">
        <v>233</v>
      </c>
      <c r="J188" t="s">
        <v>1890</v>
      </c>
      <c r="K188" t="s">
        <v>1869</v>
      </c>
      <c r="L188" s="6" t="str">
        <f>IFERROR(VLOOKUP(K188,キャラマスタ[],2,FALSE),"")</f>
        <v>たしぎ</v>
      </c>
    </row>
    <row r="189" spans="1:12" s="26" customFormat="1">
      <c r="A189" s="26" t="s">
        <v>1883</v>
      </c>
      <c r="B189" s="26">
        <f>1539+C189</f>
        <v>1539</v>
      </c>
      <c r="C189" s="26">
        <v>0</v>
      </c>
      <c r="D189" s="26">
        <v>11.2</v>
      </c>
      <c r="E189" s="26">
        <v>11</v>
      </c>
      <c r="F189" s="26">
        <v>95</v>
      </c>
      <c r="G189" s="26" t="s">
        <v>1809</v>
      </c>
      <c r="H189" s="17" t="str">
        <f>VLOOKUP(G189,場所マスタ[],6,FALSE)</f>
        <v>ローグタウン</v>
      </c>
      <c r="I189" s="26" t="s">
        <v>233</v>
      </c>
      <c r="J189" s="26" t="s">
        <v>2018</v>
      </c>
      <c r="K189" s="26" t="s">
        <v>1907</v>
      </c>
      <c r="L189" s="6" t="str">
        <f>IFERROR(VLOOKUP(K189,キャラマスタ[],2,FALSE),"")</f>
        <v>モンキー・D・ドラゴン</v>
      </c>
    </row>
    <row r="190" spans="1:12">
      <c r="A190" t="s">
        <v>1884</v>
      </c>
      <c r="B190">
        <f t="shared" si="26"/>
        <v>1539</v>
      </c>
      <c r="C190">
        <v>0</v>
      </c>
      <c r="D190">
        <v>3</v>
      </c>
      <c r="E190">
        <v>11</v>
      </c>
      <c r="F190">
        <v>92</v>
      </c>
      <c r="G190" t="s">
        <v>512</v>
      </c>
      <c r="H190" s="17" t="str">
        <f>VLOOKUP(G190,場所マスタ[],6,FALSE)</f>
        <v>シェルズタウン近海</v>
      </c>
      <c r="I190" t="s">
        <v>233</v>
      </c>
      <c r="J190" t="s">
        <v>1904</v>
      </c>
      <c r="K190" t="s">
        <v>303</v>
      </c>
      <c r="L190" s="6" t="str">
        <f>IFERROR(VLOOKUP(K190,キャラマスタ[],2,FALSE),"")</f>
        <v>コビー</v>
      </c>
    </row>
    <row r="191" spans="1:12">
      <c r="A191" t="s">
        <v>1885</v>
      </c>
      <c r="B191">
        <f t="shared" si="26"/>
        <v>1539</v>
      </c>
      <c r="C191">
        <v>0</v>
      </c>
      <c r="D191">
        <v>3</v>
      </c>
      <c r="E191">
        <v>11</v>
      </c>
      <c r="F191">
        <v>92</v>
      </c>
      <c r="G191" t="s">
        <v>512</v>
      </c>
      <c r="H191" s="17" t="str">
        <f>VLOOKUP(G191,場所マスタ[],6,FALSE)</f>
        <v>シェルズタウン近海</v>
      </c>
      <c r="I191" t="s">
        <v>233</v>
      </c>
      <c r="J191" t="s">
        <v>1904</v>
      </c>
      <c r="K191" t="s">
        <v>310</v>
      </c>
      <c r="L191" s="6" t="str">
        <f>IFERROR(VLOOKUP(K191,キャラマスタ[],2,FALSE),"")</f>
        <v>ヘルメッポ</v>
      </c>
    </row>
    <row r="192" spans="1:12">
      <c r="A192" t="s">
        <v>1886</v>
      </c>
      <c r="B192">
        <f t="shared" si="26"/>
        <v>1539</v>
      </c>
      <c r="C192">
        <v>0</v>
      </c>
      <c r="D192">
        <v>3</v>
      </c>
      <c r="E192">
        <v>11</v>
      </c>
      <c r="F192">
        <v>92</v>
      </c>
      <c r="G192" t="s">
        <v>512</v>
      </c>
      <c r="H192" s="17" t="str">
        <f>VLOOKUP(G192,場所マスタ[],6,FALSE)</f>
        <v>シェルズタウン近海</v>
      </c>
      <c r="I192" t="s">
        <v>233</v>
      </c>
      <c r="J192" t="s">
        <v>1904</v>
      </c>
      <c r="K192" t="s">
        <v>1891</v>
      </c>
      <c r="L192" s="6" t="str">
        <f>IFERROR(VLOOKUP(K192,キャラマスタ[],2,FALSE),"")</f>
        <v>モンキー・D・ガープ</v>
      </c>
    </row>
    <row r="193" spans="1:12">
      <c r="A193" t="s">
        <v>1887</v>
      </c>
      <c r="B193">
        <f t="shared" si="26"/>
        <v>1539</v>
      </c>
      <c r="C193">
        <v>0</v>
      </c>
      <c r="D193">
        <v>11.3</v>
      </c>
      <c r="E193">
        <v>12</v>
      </c>
      <c r="F193">
        <v>101</v>
      </c>
      <c r="G193" s="24" t="s">
        <v>1811</v>
      </c>
      <c r="H193" s="17" t="str">
        <f>VLOOKUP(G193,場所マスタ[],6,FALSE)</f>
        <v>東の海付近凪の帯</v>
      </c>
      <c r="I193" s="24" t="s">
        <v>233</v>
      </c>
      <c r="J193" t="s">
        <v>2010</v>
      </c>
      <c r="K193" s="24" t="s">
        <v>411</v>
      </c>
      <c r="L193" s="6" t="str">
        <f>IFERROR(VLOOKUP(K193,キャラマスタ[],2,FALSE),"")</f>
        <v>モンキー・D・ルフィ</v>
      </c>
    </row>
    <row r="194" spans="1:12">
      <c r="A194" t="s">
        <v>1888</v>
      </c>
      <c r="B194">
        <f t="shared" si="26"/>
        <v>1539</v>
      </c>
      <c r="C194" s="24">
        <v>0</v>
      </c>
      <c r="D194" s="26">
        <v>11.3</v>
      </c>
      <c r="E194" s="24">
        <v>12</v>
      </c>
      <c r="F194" s="24">
        <v>101</v>
      </c>
      <c r="G194" s="24" t="s">
        <v>1811</v>
      </c>
      <c r="H194" s="17" t="str">
        <f>VLOOKUP(G194,場所マスタ[],6,FALSE)</f>
        <v>東の海付近凪の帯</v>
      </c>
      <c r="I194" s="24" t="s">
        <v>233</v>
      </c>
      <c r="J194" s="24" t="s">
        <v>2010</v>
      </c>
      <c r="K194" s="24" t="s">
        <v>308</v>
      </c>
      <c r="L194" s="6" t="str">
        <f>IFERROR(VLOOKUP(K194,キャラマスタ[],2,FALSE),"")</f>
        <v>ロロノア・ゾロ</v>
      </c>
    </row>
    <row r="195" spans="1:12">
      <c r="A195" t="s">
        <v>1998</v>
      </c>
      <c r="B195">
        <f t="shared" ref="B195:B204" si="27">1539+C195</f>
        <v>1539</v>
      </c>
      <c r="C195" s="24">
        <v>0</v>
      </c>
      <c r="D195" s="26">
        <v>11.3</v>
      </c>
      <c r="E195" s="24">
        <v>12</v>
      </c>
      <c r="F195" s="24">
        <v>101</v>
      </c>
      <c r="G195" s="24" t="s">
        <v>1811</v>
      </c>
      <c r="H195" s="17" t="str">
        <f>VLOOKUP(G195,場所マスタ[],6,FALSE)</f>
        <v>東の海付近凪の帯</v>
      </c>
      <c r="I195" s="24" t="s">
        <v>233</v>
      </c>
      <c r="J195" s="24" t="s">
        <v>2010</v>
      </c>
      <c r="K195" s="24" t="s">
        <v>321</v>
      </c>
      <c r="L195" s="6" t="str">
        <f>IFERROR(VLOOKUP(K195,キャラマスタ[],2,FALSE),"")</f>
        <v>ナミ</v>
      </c>
    </row>
    <row r="196" spans="1:12">
      <c r="A196" t="s">
        <v>1999</v>
      </c>
      <c r="B196">
        <f t="shared" si="27"/>
        <v>1539</v>
      </c>
      <c r="C196" s="24">
        <v>0</v>
      </c>
      <c r="D196" s="26">
        <v>11.3</v>
      </c>
      <c r="E196" s="24">
        <v>12</v>
      </c>
      <c r="F196" s="24">
        <v>101</v>
      </c>
      <c r="G196" s="24" t="s">
        <v>1811</v>
      </c>
      <c r="H196" s="17" t="str">
        <f>VLOOKUP(G196,場所マスタ[],6,FALSE)</f>
        <v>東の海付近凪の帯</v>
      </c>
      <c r="I196" s="24" t="s">
        <v>233</v>
      </c>
      <c r="J196" s="24" t="s">
        <v>2010</v>
      </c>
      <c r="K196" s="24" t="s">
        <v>718</v>
      </c>
      <c r="L196" s="6" t="str">
        <f>IFERROR(VLOOKUP(K196,キャラマスタ[],2,FALSE),"")</f>
        <v>ウソップ</v>
      </c>
    </row>
    <row r="197" spans="1:12">
      <c r="A197" t="s">
        <v>2000</v>
      </c>
      <c r="B197">
        <f t="shared" si="27"/>
        <v>1539</v>
      </c>
      <c r="C197" s="24">
        <v>0</v>
      </c>
      <c r="D197" s="26">
        <v>11.3</v>
      </c>
      <c r="E197" s="24">
        <v>12</v>
      </c>
      <c r="F197" s="24">
        <v>101</v>
      </c>
      <c r="G197" s="24" t="s">
        <v>1811</v>
      </c>
      <c r="H197" s="17" t="str">
        <f>VLOOKUP(G197,場所マスタ[],6,FALSE)</f>
        <v>東の海付近凪の帯</v>
      </c>
      <c r="I197" s="24" t="s">
        <v>233</v>
      </c>
      <c r="J197" s="24" t="s">
        <v>2010</v>
      </c>
      <c r="K197" s="24" t="s">
        <v>1090</v>
      </c>
      <c r="L197" s="6" t="str">
        <f>IFERROR(VLOOKUP(K197,キャラマスタ[],2,FALSE),"")</f>
        <v>サンジ</v>
      </c>
    </row>
    <row r="198" spans="1:12">
      <c r="A198" t="s">
        <v>2001</v>
      </c>
      <c r="B198">
        <f t="shared" si="27"/>
        <v>1539</v>
      </c>
      <c r="C198">
        <v>0</v>
      </c>
      <c r="D198">
        <v>11.4</v>
      </c>
      <c r="E198">
        <v>12</v>
      </c>
      <c r="F198">
        <v>101</v>
      </c>
      <c r="G198" s="26" t="s">
        <v>2013</v>
      </c>
      <c r="H198" s="17" t="str">
        <f>VLOOKUP(G198,場所マスタ[],6,FALSE)</f>
        <v>リヴァース・マウンテン</v>
      </c>
      <c r="I198" s="26" t="s">
        <v>233</v>
      </c>
      <c r="J198" t="s">
        <v>1187</v>
      </c>
      <c r="K198" s="26" t="s">
        <v>411</v>
      </c>
      <c r="L198" s="6" t="str">
        <f>IFERROR(VLOOKUP(K198,キャラマスタ[],2,FALSE),"")</f>
        <v>モンキー・D・ルフィ</v>
      </c>
    </row>
    <row r="199" spans="1:12">
      <c r="A199" t="s">
        <v>2002</v>
      </c>
      <c r="B199">
        <f t="shared" si="27"/>
        <v>1539</v>
      </c>
      <c r="C199" s="26">
        <v>0</v>
      </c>
      <c r="D199" s="26">
        <v>11.4</v>
      </c>
      <c r="E199" s="26">
        <v>12</v>
      </c>
      <c r="F199" s="26">
        <v>101</v>
      </c>
      <c r="G199" s="26" t="s">
        <v>2013</v>
      </c>
      <c r="H199" s="17" t="str">
        <f>VLOOKUP(G199,場所マスタ[],6,FALSE)</f>
        <v>リヴァース・マウンテン</v>
      </c>
      <c r="I199" s="26" t="s">
        <v>233</v>
      </c>
      <c r="J199" s="26" t="s">
        <v>1187</v>
      </c>
      <c r="K199" s="26" t="s">
        <v>308</v>
      </c>
      <c r="L199" s="6" t="str">
        <f>IFERROR(VLOOKUP(K199,キャラマスタ[],2,FALSE),"")</f>
        <v>ロロノア・ゾロ</v>
      </c>
    </row>
    <row r="200" spans="1:12">
      <c r="A200" t="s">
        <v>2003</v>
      </c>
      <c r="B200">
        <f t="shared" si="27"/>
        <v>1539</v>
      </c>
      <c r="C200" s="26">
        <v>0</v>
      </c>
      <c r="D200" s="26">
        <v>11.4</v>
      </c>
      <c r="E200" s="26">
        <v>12</v>
      </c>
      <c r="F200" s="26">
        <v>101</v>
      </c>
      <c r="G200" s="26" t="s">
        <v>2013</v>
      </c>
      <c r="H200" s="17" t="str">
        <f>VLOOKUP(G200,場所マスタ[],6,FALSE)</f>
        <v>リヴァース・マウンテン</v>
      </c>
      <c r="I200" s="26" t="s">
        <v>233</v>
      </c>
      <c r="J200" s="26" t="s">
        <v>1187</v>
      </c>
      <c r="K200" s="26" t="s">
        <v>321</v>
      </c>
      <c r="L200" s="6" t="str">
        <f>IFERROR(VLOOKUP(K200,キャラマスタ[],2,FALSE),"")</f>
        <v>ナミ</v>
      </c>
    </row>
    <row r="201" spans="1:12">
      <c r="A201" t="s">
        <v>2004</v>
      </c>
      <c r="B201">
        <f t="shared" si="27"/>
        <v>1539</v>
      </c>
      <c r="C201" s="26">
        <v>0</v>
      </c>
      <c r="D201" s="26">
        <v>11.4</v>
      </c>
      <c r="E201" s="26">
        <v>12</v>
      </c>
      <c r="F201" s="26">
        <v>101</v>
      </c>
      <c r="G201" s="26" t="s">
        <v>2013</v>
      </c>
      <c r="H201" s="17" t="str">
        <f>VLOOKUP(G201,場所マスタ[],6,FALSE)</f>
        <v>リヴァース・マウンテン</v>
      </c>
      <c r="I201" s="26" t="s">
        <v>233</v>
      </c>
      <c r="J201" s="26" t="s">
        <v>1187</v>
      </c>
      <c r="K201" s="26" t="s">
        <v>718</v>
      </c>
      <c r="L201" s="6" t="str">
        <f>IFERROR(VLOOKUP(K201,キャラマスタ[],2,FALSE),"")</f>
        <v>ウソップ</v>
      </c>
    </row>
    <row r="202" spans="1:12">
      <c r="A202" t="s">
        <v>2005</v>
      </c>
      <c r="B202">
        <f t="shared" si="27"/>
        <v>1539</v>
      </c>
      <c r="C202" s="26">
        <v>0</v>
      </c>
      <c r="D202" s="26">
        <v>11.4</v>
      </c>
      <c r="E202" s="26">
        <v>12</v>
      </c>
      <c r="F202" s="26">
        <v>101</v>
      </c>
      <c r="G202" s="26" t="s">
        <v>2013</v>
      </c>
      <c r="H202" s="17" t="str">
        <f>VLOOKUP(G202,場所マスタ[],6,FALSE)</f>
        <v>リヴァース・マウンテン</v>
      </c>
      <c r="I202" s="26" t="s">
        <v>233</v>
      </c>
      <c r="J202" s="26" t="s">
        <v>1187</v>
      </c>
      <c r="K202" s="26" t="s">
        <v>1090</v>
      </c>
      <c r="L202" s="6" t="str">
        <f>IFERROR(VLOOKUP(K202,キャラマスタ[],2,FALSE),"")</f>
        <v>サンジ</v>
      </c>
    </row>
    <row r="203" spans="1:12">
      <c r="A203" t="s">
        <v>2006</v>
      </c>
      <c r="B203">
        <f t="shared" si="27"/>
        <v>1539</v>
      </c>
      <c r="C203">
        <v>0</v>
      </c>
      <c r="D203">
        <v>11.5</v>
      </c>
      <c r="E203">
        <v>12</v>
      </c>
      <c r="F203">
        <v>103</v>
      </c>
      <c r="G203" s="29" t="s">
        <v>2035</v>
      </c>
      <c r="H203" s="17" t="str">
        <f>VLOOKUP(G203,場所マスタ[],6,FALSE)</f>
        <v>双子岬</v>
      </c>
      <c r="I203" s="29" t="s">
        <v>527</v>
      </c>
      <c r="J203" t="s">
        <v>2039</v>
      </c>
      <c r="K203" s="29" t="s">
        <v>411</v>
      </c>
      <c r="L203" s="6" t="str">
        <f>IFERROR(VLOOKUP(K203,キャラマスタ[],2,FALSE),"")</f>
        <v>モンキー・D・ルフィ</v>
      </c>
    </row>
    <row r="204" spans="1:12">
      <c r="A204" t="s">
        <v>2007</v>
      </c>
      <c r="B204">
        <f t="shared" si="27"/>
        <v>1539</v>
      </c>
      <c r="C204" s="29">
        <v>0</v>
      </c>
      <c r="D204" s="29">
        <v>11.5</v>
      </c>
      <c r="E204" s="29">
        <v>12</v>
      </c>
      <c r="F204" s="29">
        <v>103</v>
      </c>
      <c r="G204" s="29" t="s">
        <v>2035</v>
      </c>
      <c r="H204" s="17" t="str">
        <f>VLOOKUP(G204,場所マスタ[],6,FALSE)</f>
        <v>双子岬</v>
      </c>
      <c r="I204" s="29" t="s">
        <v>527</v>
      </c>
      <c r="J204" s="29" t="s">
        <v>2039</v>
      </c>
      <c r="K204" s="29" t="s">
        <v>308</v>
      </c>
      <c r="L204" s="6" t="str">
        <f>IFERROR(VLOOKUP(K204,キャラマスタ[],2,FALSE),"")</f>
        <v>ロロノア・ゾロ</v>
      </c>
    </row>
    <row r="205" spans="1:12">
      <c r="A205" s="26" t="s">
        <v>2019</v>
      </c>
      <c r="B205">
        <f t="shared" ref="B205:B214" si="28">1539+C205</f>
        <v>1539</v>
      </c>
      <c r="C205" s="29">
        <v>0</v>
      </c>
      <c r="D205" s="29">
        <v>11.5</v>
      </c>
      <c r="E205" s="29">
        <v>12</v>
      </c>
      <c r="F205" s="29">
        <v>103</v>
      </c>
      <c r="G205" s="29" t="s">
        <v>2035</v>
      </c>
      <c r="H205" s="17" t="str">
        <f>VLOOKUP(G205,場所マスタ[],6,FALSE)</f>
        <v>双子岬</v>
      </c>
      <c r="I205" s="29" t="s">
        <v>527</v>
      </c>
      <c r="J205" s="29" t="s">
        <v>2039</v>
      </c>
      <c r="K205" s="29" t="s">
        <v>321</v>
      </c>
      <c r="L205" s="6" t="str">
        <f>IFERROR(VLOOKUP(K205,キャラマスタ[],2,FALSE),"")</f>
        <v>ナミ</v>
      </c>
    </row>
    <row r="206" spans="1:12">
      <c r="A206" s="26" t="s">
        <v>2020</v>
      </c>
      <c r="B206">
        <f t="shared" si="28"/>
        <v>1539</v>
      </c>
      <c r="C206" s="29">
        <v>0</v>
      </c>
      <c r="D206" s="29">
        <v>11.5</v>
      </c>
      <c r="E206" s="29">
        <v>12</v>
      </c>
      <c r="F206" s="29">
        <v>103</v>
      </c>
      <c r="G206" s="29" t="s">
        <v>2035</v>
      </c>
      <c r="H206" s="17" t="str">
        <f>VLOOKUP(G206,場所マスタ[],6,FALSE)</f>
        <v>双子岬</v>
      </c>
      <c r="I206" s="29" t="s">
        <v>527</v>
      </c>
      <c r="J206" s="29" t="s">
        <v>2039</v>
      </c>
      <c r="K206" s="29" t="s">
        <v>718</v>
      </c>
      <c r="L206" s="6" t="str">
        <f>IFERROR(VLOOKUP(K206,キャラマスタ[],2,FALSE),"")</f>
        <v>ウソップ</v>
      </c>
    </row>
    <row r="207" spans="1:12">
      <c r="A207" s="26" t="s">
        <v>2021</v>
      </c>
      <c r="B207">
        <f t="shared" si="28"/>
        <v>1539</v>
      </c>
      <c r="C207" s="29">
        <v>0</v>
      </c>
      <c r="D207" s="29">
        <v>11.5</v>
      </c>
      <c r="E207" s="29">
        <v>12</v>
      </c>
      <c r="F207" s="29">
        <v>103</v>
      </c>
      <c r="G207" s="29" t="s">
        <v>2035</v>
      </c>
      <c r="H207" s="17" t="str">
        <f>VLOOKUP(G207,場所マスタ[],6,FALSE)</f>
        <v>双子岬</v>
      </c>
      <c r="I207" s="29" t="s">
        <v>527</v>
      </c>
      <c r="J207" s="29" t="s">
        <v>2039</v>
      </c>
      <c r="K207" s="29" t="s">
        <v>1090</v>
      </c>
      <c r="L207" s="6" t="str">
        <f>IFERROR(VLOOKUP(K207,キャラマスタ[],2,FALSE),"")</f>
        <v>サンジ</v>
      </c>
    </row>
    <row r="208" spans="1:12">
      <c r="A208" s="26" t="s">
        <v>2022</v>
      </c>
      <c r="B208">
        <f t="shared" si="28"/>
        <v>1539</v>
      </c>
      <c r="C208" s="29">
        <v>0</v>
      </c>
      <c r="D208" s="29">
        <v>11.5</v>
      </c>
      <c r="E208" s="29">
        <v>12</v>
      </c>
      <c r="F208" s="29">
        <v>103</v>
      </c>
      <c r="G208" s="29" t="s">
        <v>2035</v>
      </c>
      <c r="H208" s="17" t="str">
        <f>VLOOKUP(G208,場所マスタ[],6,FALSE)</f>
        <v>双子岬</v>
      </c>
      <c r="I208" s="29" t="s">
        <v>527</v>
      </c>
      <c r="J208" s="29" t="s">
        <v>2040</v>
      </c>
      <c r="K208" s="29" t="s">
        <v>1910</v>
      </c>
      <c r="L208" s="6" t="str">
        <f>IFERROR(VLOOKUP(K208,キャラマスタ[],2,FALSE),"")</f>
        <v>ミス・ウェンズデー</v>
      </c>
    </row>
    <row r="209" spans="1:12">
      <c r="A209" s="26" t="s">
        <v>2023</v>
      </c>
      <c r="B209">
        <f t="shared" si="28"/>
        <v>1539</v>
      </c>
      <c r="C209" s="29">
        <v>0</v>
      </c>
      <c r="D209" s="29">
        <v>11.5</v>
      </c>
      <c r="E209" s="29">
        <v>12</v>
      </c>
      <c r="F209" s="29">
        <v>103</v>
      </c>
      <c r="G209" s="29" t="s">
        <v>2035</v>
      </c>
      <c r="H209" s="17" t="str">
        <f>VLOOKUP(G209,場所マスタ[],6,FALSE)</f>
        <v>双子岬</v>
      </c>
      <c r="I209" s="29" t="s">
        <v>527</v>
      </c>
      <c r="J209" t="s">
        <v>2047</v>
      </c>
      <c r="K209" s="29" t="s">
        <v>2048</v>
      </c>
      <c r="L209" s="6" t="str">
        <f>IFERROR(VLOOKUP(K209,キャラマスタ[],2,FALSE),"")</f>
        <v>クロッカス</v>
      </c>
    </row>
    <row r="210" spans="1:12">
      <c r="A210" s="26" t="s">
        <v>2024</v>
      </c>
      <c r="B210">
        <f t="shared" si="28"/>
        <v>1489</v>
      </c>
      <c r="C210">
        <v>-50</v>
      </c>
      <c r="D210">
        <v>-18250</v>
      </c>
      <c r="E210">
        <v>12</v>
      </c>
      <c r="F210">
        <v>104</v>
      </c>
      <c r="G210" s="29" t="s">
        <v>2035</v>
      </c>
      <c r="H210" s="17" t="str">
        <f>VLOOKUP(G210,場所マスタ[],6,FALSE)</f>
        <v>双子岬</v>
      </c>
      <c r="I210" s="29" t="s">
        <v>527</v>
      </c>
      <c r="J210" t="s">
        <v>2049</v>
      </c>
      <c r="K210" s="29" t="s">
        <v>2048</v>
      </c>
      <c r="L210" s="6" t="str">
        <f>IFERROR(VLOOKUP(K210,キャラマスタ[],2,FALSE),"")</f>
        <v>クロッカス</v>
      </c>
    </row>
    <row r="211" spans="1:12">
      <c r="A211" s="26" t="s">
        <v>2025</v>
      </c>
      <c r="B211">
        <f t="shared" si="28"/>
        <v>1539</v>
      </c>
      <c r="C211">
        <v>0</v>
      </c>
      <c r="D211">
        <v>11.7</v>
      </c>
      <c r="E211">
        <v>12</v>
      </c>
      <c r="F211">
        <v>106</v>
      </c>
      <c r="G211" s="29" t="s">
        <v>2053</v>
      </c>
      <c r="H211" s="17" t="str">
        <f>VLOOKUP(G211,場所マスタ[],6,FALSE)</f>
        <v>ウイスキーピーク</v>
      </c>
      <c r="I211" s="29" t="s">
        <v>527</v>
      </c>
      <c r="J211" t="s">
        <v>2054</v>
      </c>
      <c r="K211" s="29" t="s">
        <v>411</v>
      </c>
      <c r="L211" s="6" t="str">
        <f>IFERROR(VLOOKUP(K211,キャラマスタ[],2,FALSE),"")</f>
        <v>モンキー・D・ルフィ</v>
      </c>
    </row>
    <row r="212" spans="1:12">
      <c r="A212" s="26" t="s">
        <v>2026</v>
      </c>
      <c r="B212">
        <f t="shared" si="28"/>
        <v>1539</v>
      </c>
      <c r="C212" s="29">
        <v>0</v>
      </c>
      <c r="D212" s="29">
        <v>11.7</v>
      </c>
      <c r="E212" s="29">
        <v>12</v>
      </c>
      <c r="F212" s="29">
        <v>106</v>
      </c>
      <c r="G212" s="29" t="s">
        <v>2053</v>
      </c>
      <c r="H212" s="17" t="str">
        <f>VLOOKUP(G212,場所マスタ[],6,FALSE)</f>
        <v>ウイスキーピーク</v>
      </c>
      <c r="I212" s="29" t="s">
        <v>527</v>
      </c>
      <c r="J212" s="29" t="s">
        <v>2054</v>
      </c>
      <c r="K212" s="29" t="s">
        <v>308</v>
      </c>
      <c r="L212" s="6" t="str">
        <f>IFERROR(VLOOKUP(K212,キャラマスタ[],2,FALSE),"")</f>
        <v>ロロノア・ゾロ</v>
      </c>
    </row>
    <row r="213" spans="1:12">
      <c r="A213" s="26" t="s">
        <v>2027</v>
      </c>
      <c r="B213">
        <f t="shared" si="28"/>
        <v>1539</v>
      </c>
      <c r="C213" s="29">
        <v>0</v>
      </c>
      <c r="D213" s="29">
        <v>11.7</v>
      </c>
      <c r="E213" s="29">
        <v>12</v>
      </c>
      <c r="F213" s="29">
        <v>106</v>
      </c>
      <c r="G213" s="29" t="s">
        <v>2053</v>
      </c>
      <c r="H213" s="17" t="str">
        <f>VLOOKUP(G213,場所マスタ[],6,FALSE)</f>
        <v>ウイスキーピーク</v>
      </c>
      <c r="I213" s="29" t="s">
        <v>527</v>
      </c>
      <c r="J213" s="29" t="s">
        <v>2054</v>
      </c>
      <c r="K213" s="29" t="s">
        <v>321</v>
      </c>
      <c r="L213" s="6" t="str">
        <f>IFERROR(VLOOKUP(K213,キャラマスタ[],2,FALSE),"")</f>
        <v>ナミ</v>
      </c>
    </row>
    <row r="214" spans="1:12">
      <c r="A214" s="26" t="s">
        <v>2028</v>
      </c>
      <c r="B214">
        <f t="shared" si="28"/>
        <v>1539</v>
      </c>
      <c r="C214" s="29">
        <v>0</v>
      </c>
      <c r="D214" s="29">
        <v>11.7</v>
      </c>
      <c r="E214" s="29">
        <v>12</v>
      </c>
      <c r="F214" s="29">
        <v>106</v>
      </c>
      <c r="G214" s="29" t="s">
        <v>2053</v>
      </c>
      <c r="H214" s="17" t="str">
        <f>VLOOKUP(G214,場所マスタ[],6,FALSE)</f>
        <v>ウイスキーピーク</v>
      </c>
      <c r="I214" s="29" t="s">
        <v>527</v>
      </c>
      <c r="J214" s="29" t="s">
        <v>2054</v>
      </c>
      <c r="K214" s="29" t="s">
        <v>718</v>
      </c>
      <c r="L214" s="6" t="str">
        <f>IFERROR(VLOOKUP(K214,キャラマスタ[],2,FALSE),"")</f>
        <v>ウソップ</v>
      </c>
    </row>
    <row r="215" spans="1:12">
      <c r="A215" s="29" t="s">
        <v>2055</v>
      </c>
      <c r="B215">
        <f t="shared" ref="B215:B216" si="29">1539+C215</f>
        <v>1539</v>
      </c>
      <c r="C215" s="29">
        <v>0</v>
      </c>
      <c r="D215" s="29">
        <v>11.7</v>
      </c>
      <c r="E215" s="29">
        <v>12</v>
      </c>
      <c r="F215" s="29">
        <v>106</v>
      </c>
      <c r="G215" s="29" t="s">
        <v>2053</v>
      </c>
      <c r="H215" s="17" t="str">
        <f>VLOOKUP(G215,場所マスタ[],6,FALSE)</f>
        <v>ウイスキーピーク</v>
      </c>
      <c r="I215" s="29" t="s">
        <v>527</v>
      </c>
      <c r="J215" s="29" t="s">
        <v>2054</v>
      </c>
      <c r="K215" s="29" t="s">
        <v>1090</v>
      </c>
      <c r="L215" s="6" t="str">
        <f>IFERROR(VLOOKUP(K215,キャラマスタ[],2,FALSE),"")</f>
        <v>サンジ</v>
      </c>
    </row>
    <row r="216" spans="1:12">
      <c r="A216" s="29" t="s">
        <v>2056</v>
      </c>
      <c r="B216">
        <f t="shared" si="29"/>
        <v>1539</v>
      </c>
      <c r="C216" s="29">
        <v>0</v>
      </c>
      <c r="D216" s="29">
        <v>11.7</v>
      </c>
      <c r="E216" s="29">
        <v>12</v>
      </c>
      <c r="F216" s="29">
        <v>106</v>
      </c>
      <c r="G216" s="29" t="s">
        <v>2053</v>
      </c>
      <c r="H216" s="17" t="str">
        <f>VLOOKUP(G216,場所マスタ[],6,FALSE)</f>
        <v>ウイスキーピーク</v>
      </c>
      <c r="I216" s="29" t="s">
        <v>527</v>
      </c>
      <c r="J216" s="29" t="s">
        <v>2054</v>
      </c>
      <c r="K216" s="29" t="s">
        <v>1910</v>
      </c>
      <c r="L216" s="6" t="str">
        <f>IFERROR(VLOOKUP(K216,キャラマスタ[],2,FALSE),"")</f>
        <v>ミス・ウェンズデー</v>
      </c>
    </row>
    <row r="217" spans="1:12">
      <c r="A217" s="29" t="s">
        <v>2057</v>
      </c>
      <c r="B217">
        <f t="shared" ref="B217:B224" si="30">1539+C217</f>
        <v>1539</v>
      </c>
      <c r="C217">
        <v>0</v>
      </c>
      <c r="D217">
        <v>11.8</v>
      </c>
      <c r="E217">
        <v>12</v>
      </c>
      <c r="F217">
        <v>108</v>
      </c>
      <c r="G217" s="29" t="s">
        <v>2053</v>
      </c>
      <c r="H217" s="17" t="str">
        <f>VLOOKUP(G217,場所マスタ[],6,FALSE)</f>
        <v>ウイスキーピーク</v>
      </c>
      <c r="I217" s="29" t="s">
        <v>527</v>
      </c>
      <c r="J217" t="s">
        <v>2065</v>
      </c>
      <c r="K217" s="29" t="s">
        <v>308</v>
      </c>
      <c r="L217" s="6" t="str">
        <f>IFERROR(VLOOKUP(K217,キャラマスタ[],2,FALSE),"")</f>
        <v>ロロノア・ゾロ</v>
      </c>
    </row>
    <row r="218" spans="1:12">
      <c r="A218" s="29" t="s">
        <v>2058</v>
      </c>
      <c r="B218">
        <f t="shared" si="30"/>
        <v>1539</v>
      </c>
      <c r="C218" s="29">
        <v>0</v>
      </c>
      <c r="D218">
        <v>3.5</v>
      </c>
      <c r="E218">
        <v>12</v>
      </c>
      <c r="F218">
        <v>105</v>
      </c>
      <c r="G218" s="29" t="s">
        <v>512</v>
      </c>
      <c r="H218" s="17" t="str">
        <f>VLOOKUP(G218,場所マスタ[],6,FALSE)</f>
        <v>シェルズタウン近海</v>
      </c>
      <c r="I218" s="29" t="s">
        <v>233</v>
      </c>
      <c r="J218" t="s">
        <v>2066</v>
      </c>
      <c r="K218" s="29" t="s">
        <v>408</v>
      </c>
      <c r="L218" s="6" t="str">
        <f>IFERROR(VLOOKUP(K218,キャラマスタ[],2,FALSE),"")</f>
        <v>モーガン</v>
      </c>
    </row>
    <row r="219" spans="1:12">
      <c r="A219" s="29" t="s">
        <v>2059</v>
      </c>
      <c r="B219">
        <f t="shared" si="30"/>
        <v>1539</v>
      </c>
      <c r="C219">
        <v>0</v>
      </c>
      <c r="D219">
        <v>12</v>
      </c>
      <c r="E219">
        <v>13</v>
      </c>
      <c r="F219">
        <v>115</v>
      </c>
      <c r="G219" s="29" t="s">
        <v>2031</v>
      </c>
      <c r="H219" s="17" t="str">
        <f>VLOOKUP(G219,場所マスタ[],6,FALSE)</f>
        <v>リトルガーデン</v>
      </c>
      <c r="I219" s="29" t="s">
        <v>527</v>
      </c>
      <c r="J219" t="s">
        <v>2190</v>
      </c>
      <c r="K219" s="29" t="s">
        <v>411</v>
      </c>
      <c r="L219" s="6" t="str">
        <f>IFERROR(VLOOKUP(K219,キャラマスタ[],2,FALSE),"")</f>
        <v>モンキー・D・ルフィ</v>
      </c>
    </row>
    <row r="220" spans="1:12">
      <c r="A220" s="29" t="s">
        <v>2060</v>
      </c>
      <c r="B220">
        <f t="shared" si="30"/>
        <v>1539</v>
      </c>
      <c r="C220" s="29">
        <v>0</v>
      </c>
      <c r="D220" s="29">
        <v>12</v>
      </c>
      <c r="E220" s="29">
        <v>13</v>
      </c>
      <c r="F220" s="29">
        <v>115</v>
      </c>
      <c r="G220" s="29" t="s">
        <v>2031</v>
      </c>
      <c r="H220" s="17" t="str">
        <f>VLOOKUP(G220,場所マスタ[],6,FALSE)</f>
        <v>リトルガーデン</v>
      </c>
      <c r="I220" s="29" t="s">
        <v>527</v>
      </c>
      <c r="J220" s="29" t="s">
        <v>2190</v>
      </c>
      <c r="K220" s="29" t="s">
        <v>308</v>
      </c>
      <c r="L220" s="6" t="str">
        <f>IFERROR(VLOOKUP(K220,キャラマスタ[],2,FALSE),"")</f>
        <v>ロロノア・ゾロ</v>
      </c>
    </row>
    <row r="221" spans="1:12">
      <c r="A221" s="29" t="s">
        <v>2061</v>
      </c>
      <c r="B221">
        <f t="shared" si="30"/>
        <v>1539</v>
      </c>
      <c r="C221" s="29">
        <v>0</v>
      </c>
      <c r="D221" s="29">
        <v>12</v>
      </c>
      <c r="E221" s="29">
        <v>13</v>
      </c>
      <c r="F221" s="29">
        <v>115</v>
      </c>
      <c r="G221" s="29" t="s">
        <v>2031</v>
      </c>
      <c r="H221" s="17" t="str">
        <f>VLOOKUP(G221,場所マスタ[],6,FALSE)</f>
        <v>リトルガーデン</v>
      </c>
      <c r="I221" s="29" t="s">
        <v>527</v>
      </c>
      <c r="J221" s="29" t="s">
        <v>2190</v>
      </c>
      <c r="K221" s="29" t="s">
        <v>321</v>
      </c>
      <c r="L221" s="6" t="str">
        <f>IFERROR(VLOOKUP(K221,キャラマスタ[],2,FALSE),"")</f>
        <v>ナミ</v>
      </c>
    </row>
    <row r="222" spans="1:12">
      <c r="A222" s="29" t="s">
        <v>2062</v>
      </c>
      <c r="B222">
        <f t="shared" si="30"/>
        <v>1539</v>
      </c>
      <c r="C222" s="29">
        <v>0</v>
      </c>
      <c r="D222" s="29">
        <v>12</v>
      </c>
      <c r="E222" s="29">
        <v>13</v>
      </c>
      <c r="F222" s="29">
        <v>115</v>
      </c>
      <c r="G222" s="29" t="s">
        <v>2031</v>
      </c>
      <c r="H222" s="17" t="str">
        <f>VLOOKUP(G222,場所マスタ[],6,FALSE)</f>
        <v>リトルガーデン</v>
      </c>
      <c r="I222" s="29" t="s">
        <v>527</v>
      </c>
      <c r="J222" s="29" t="s">
        <v>2190</v>
      </c>
      <c r="K222" s="29" t="s">
        <v>718</v>
      </c>
      <c r="L222" s="6" t="str">
        <f>IFERROR(VLOOKUP(K222,キャラマスタ[],2,FALSE),"")</f>
        <v>ウソップ</v>
      </c>
    </row>
    <row r="223" spans="1:12">
      <c r="A223" s="29" t="s">
        <v>2063</v>
      </c>
      <c r="B223">
        <f t="shared" si="30"/>
        <v>1539</v>
      </c>
      <c r="C223" s="29">
        <v>0</v>
      </c>
      <c r="D223" s="29">
        <v>12</v>
      </c>
      <c r="E223" s="29">
        <v>13</v>
      </c>
      <c r="F223" s="29">
        <v>115</v>
      </c>
      <c r="G223" s="29" t="s">
        <v>2031</v>
      </c>
      <c r="H223" s="17" t="str">
        <f>VLOOKUP(G223,場所マスタ[],6,FALSE)</f>
        <v>リトルガーデン</v>
      </c>
      <c r="I223" s="29" t="s">
        <v>527</v>
      </c>
      <c r="J223" s="29" t="s">
        <v>2190</v>
      </c>
      <c r="K223" s="29" t="s">
        <v>1090</v>
      </c>
      <c r="L223" s="6" t="str">
        <f>IFERROR(VLOOKUP(K223,キャラマスタ[],2,FALSE),"")</f>
        <v>サンジ</v>
      </c>
    </row>
    <row r="224" spans="1:12">
      <c r="A224" s="29" t="s">
        <v>2064</v>
      </c>
      <c r="B224">
        <f t="shared" si="30"/>
        <v>1539</v>
      </c>
      <c r="C224" s="29">
        <v>0</v>
      </c>
      <c r="D224" s="29">
        <v>12</v>
      </c>
      <c r="E224" s="29">
        <v>13</v>
      </c>
      <c r="F224" s="29">
        <v>115</v>
      </c>
      <c r="G224" s="29" t="s">
        <v>2031</v>
      </c>
      <c r="H224" s="17" t="str">
        <f>VLOOKUP(G224,場所マスタ[],6,FALSE)</f>
        <v>リトルガーデン</v>
      </c>
      <c r="I224" s="29" t="s">
        <v>527</v>
      </c>
      <c r="J224" s="29" t="s">
        <v>2190</v>
      </c>
      <c r="K224" s="29" t="s">
        <v>1910</v>
      </c>
      <c r="L224" s="6" t="str">
        <f>IFERROR(VLOOKUP(K224,キャラマスタ[],2,FALSE),"")</f>
        <v>ミス・ウェンズデー</v>
      </c>
    </row>
    <row r="225" spans="1:12">
      <c r="A225" s="29" t="s">
        <v>2191</v>
      </c>
      <c r="B225">
        <f t="shared" ref="B225:B234" si="31">1539+C225</f>
        <v>1539</v>
      </c>
      <c r="C225" s="29">
        <v>0</v>
      </c>
      <c r="D225" s="29">
        <v>12</v>
      </c>
      <c r="E225" s="29">
        <v>13</v>
      </c>
      <c r="F225">
        <v>116</v>
      </c>
      <c r="G225" s="29" t="s">
        <v>2031</v>
      </c>
      <c r="H225" s="17" t="str">
        <f>VLOOKUP(G225,場所マスタ[],6,FALSE)</f>
        <v>リトルガーデン</v>
      </c>
      <c r="I225" s="29" t="s">
        <v>527</v>
      </c>
      <c r="J225" t="s">
        <v>2201</v>
      </c>
      <c r="K225" s="29" t="s">
        <v>2078</v>
      </c>
      <c r="L225" s="6" t="str">
        <f>IFERROR(VLOOKUP(K225,キャラマスタ[],2,FALSE),"")</f>
        <v>ブロギー</v>
      </c>
    </row>
    <row r="226" spans="1:12">
      <c r="A226" s="29" t="s">
        <v>2192</v>
      </c>
      <c r="B226">
        <f t="shared" si="31"/>
        <v>1539</v>
      </c>
      <c r="C226" s="29">
        <v>0</v>
      </c>
      <c r="D226" s="29">
        <v>12</v>
      </c>
      <c r="E226" s="29">
        <v>13</v>
      </c>
      <c r="F226">
        <v>116</v>
      </c>
      <c r="G226" s="29" t="s">
        <v>2031</v>
      </c>
      <c r="H226" s="17" t="str">
        <f>VLOOKUP(G226,場所マスタ[],6,FALSE)</f>
        <v>リトルガーデン</v>
      </c>
      <c r="I226" s="29" t="s">
        <v>527</v>
      </c>
      <c r="J226" s="29" t="s">
        <v>2201</v>
      </c>
      <c r="K226" s="29" t="s">
        <v>2079</v>
      </c>
      <c r="L226" s="6" t="str">
        <f>IFERROR(VLOOKUP(K226,キャラマスタ[],2,FALSE),"")</f>
        <v>ドリー</v>
      </c>
    </row>
    <row r="227" spans="1:12">
      <c r="A227" s="29" t="s">
        <v>2193</v>
      </c>
      <c r="B227">
        <f t="shared" si="31"/>
        <v>1539</v>
      </c>
      <c r="C227">
        <v>0</v>
      </c>
      <c r="D227">
        <v>12</v>
      </c>
      <c r="E227">
        <v>13</v>
      </c>
      <c r="F227">
        <v>117</v>
      </c>
      <c r="G227" s="29" t="s">
        <v>2204</v>
      </c>
      <c r="H227" s="17" t="str">
        <f>VLOOKUP(G227,場所マスタ[],6,FALSE)</f>
        <v>キューカ島</v>
      </c>
      <c r="I227" s="29" t="s">
        <v>527</v>
      </c>
      <c r="J227" t="s">
        <v>2203</v>
      </c>
      <c r="K227" s="29" t="s">
        <v>2081</v>
      </c>
      <c r="L227" s="6" t="str">
        <f>IFERROR(VLOOKUP(K227,キャラマスタ[],2,FALSE),"")</f>
        <v>Mr.3</v>
      </c>
    </row>
    <row r="228" spans="1:12">
      <c r="A228" s="29" t="s">
        <v>2194</v>
      </c>
      <c r="B228">
        <f t="shared" si="31"/>
        <v>1539</v>
      </c>
      <c r="C228">
        <v>0</v>
      </c>
      <c r="D228">
        <v>11</v>
      </c>
      <c r="E228">
        <v>13</v>
      </c>
      <c r="F228">
        <v>114</v>
      </c>
      <c r="G228" s="29" t="s">
        <v>2033</v>
      </c>
      <c r="H228" s="17" t="str">
        <f>VLOOKUP(G228,場所マスタ[],6,FALSE)</f>
        <v>海軍本部</v>
      </c>
      <c r="I228" t="s">
        <v>527</v>
      </c>
      <c r="J228" t="s">
        <v>2207</v>
      </c>
      <c r="K228" s="29" t="s">
        <v>303</v>
      </c>
      <c r="L228" s="6" t="str">
        <f>IFERROR(VLOOKUP(K228,キャラマスタ[],2,FALSE),"")</f>
        <v>コビー</v>
      </c>
    </row>
    <row r="229" spans="1:12">
      <c r="A229" s="29" t="s">
        <v>2195</v>
      </c>
      <c r="B229">
        <f t="shared" si="31"/>
        <v>1539</v>
      </c>
      <c r="C229" s="29">
        <v>0</v>
      </c>
      <c r="D229" s="29">
        <v>11</v>
      </c>
      <c r="E229" s="29">
        <v>13</v>
      </c>
      <c r="F229" s="29">
        <v>114</v>
      </c>
      <c r="G229" s="29" t="s">
        <v>2033</v>
      </c>
      <c r="H229" s="17" t="str">
        <f>VLOOKUP(G229,場所マスタ[],6,FALSE)</f>
        <v>海軍本部</v>
      </c>
      <c r="I229" s="29" t="s">
        <v>527</v>
      </c>
      <c r="J229" s="29" t="s">
        <v>2207</v>
      </c>
      <c r="K229" s="29" t="s">
        <v>310</v>
      </c>
      <c r="L229" s="6" t="str">
        <f>IFERROR(VLOOKUP(K229,キャラマスタ[],2,FALSE),"")</f>
        <v>ヘルメッポ</v>
      </c>
    </row>
    <row r="230" spans="1:12">
      <c r="A230" s="29" t="s">
        <v>2196</v>
      </c>
      <c r="B230">
        <f t="shared" si="31"/>
        <v>1539</v>
      </c>
      <c r="C230" s="29">
        <v>0</v>
      </c>
      <c r="D230" s="29">
        <v>11</v>
      </c>
      <c r="E230" s="29">
        <v>13</v>
      </c>
      <c r="F230" s="29">
        <v>114</v>
      </c>
      <c r="G230" s="29" t="s">
        <v>2033</v>
      </c>
      <c r="H230" s="17" t="str">
        <f>VLOOKUP(G230,場所マスタ[],6,FALSE)</f>
        <v>海軍本部</v>
      </c>
      <c r="I230" s="29" t="s">
        <v>527</v>
      </c>
      <c r="J230" s="29" t="s">
        <v>2208</v>
      </c>
      <c r="K230" s="29" t="s">
        <v>1891</v>
      </c>
      <c r="L230" s="6" t="str">
        <f>IFERROR(VLOOKUP(K230,キャラマスタ[],2,FALSE),"")</f>
        <v>モンキー・D・ガープ</v>
      </c>
    </row>
    <row r="231" spans="1:12">
      <c r="A231" s="29" t="s">
        <v>2197</v>
      </c>
      <c r="B231">
        <f t="shared" si="31"/>
        <v>1539</v>
      </c>
      <c r="H231" s="17" t="e">
        <f>VLOOKUP(G231,場所マスタ[],6,FALSE)</f>
        <v>#N/A</v>
      </c>
      <c r="L231" s="6" t="str">
        <f>IFERROR(VLOOKUP(K231,キャラマスタ[],2,FALSE),"")</f>
        <v/>
      </c>
    </row>
    <row r="232" spans="1:12">
      <c r="A232" s="29" t="s">
        <v>2198</v>
      </c>
      <c r="B232">
        <f t="shared" si="31"/>
        <v>1539</v>
      </c>
      <c r="H232" s="17" t="e">
        <f>VLOOKUP(G232,場所マスタ[],6,FALSE)</f>
        <v>#N/A</v>
      </c>
      <c r="L232" s="6" t="str">
        <f>IFERROR(VLOOKUP(K232,キャラマスタ[],2,FALSE),"")</f>
        <v/>
      </c>
    </row>
    <row r="233" spans="1:12">
      <c r="A233" s="29" t="s">
        <v>2199</v>
      </c>
      <c r="B233">
        <f t="shared" si="31"/>
        <v>1539</v>
      </c>
      <c r="H233" s="17" t="e">
        <f>VLOOKUP(G233,場所マスタ[],6,FALSE)</f>
        <v>#N/A</v>
      </c>
      <c r="L233" s="6" t="str">
        <f>IFERROR(VLOOKUP(K233,キャラマスタ[],2,FALSE),"")</f>
        <v/>
      </c>
    </row>
    <row r="234" spans="1:12">
      <c r="A234" s="29" t="s">
        <v>2200</v>
      </c>
      <c r="B234">
        <f t="shared" si="31"/>
        <v>1539</v>
      </c>
      <c r="H234" s="17" t="e">
        <f>VLOOKUP(G234,場所マスタ[],6,FALSE)</f>
        <v>#N/A</v>
      </c>
      <c r="L234" s="6" t="str">
        <f>IFERROR(VLOOKUP(K234,キャラマスタ[],2,FALSE),"")</f>
        <v/>
      </c>
    </row>
  </sheetData>
  <phoneticPr fontId="1"/>
  <pageMargins left="0.7" right="0.7" top="0.75" bottom="0.75" header="0.3" footer="0.3"/>
  <pageSetup paperSize="9" orientation="portrait" verticalDpi="0"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CDBEE861-D08D-47A3-86AB-671A1D0170CD}">
          <x14:formula1>
            <xm:f>場所マスタ!$A$2:$A$124</xm:f>
          </x14:formula1>
          <xm:sqref>G2:G234</xm:sqref>
        </x14:dataValidation>
        <x14:dataValidation type="list" allowBlank="1" showInputMessage="1" showErrorMessage="1" xr:uid="{B8023FD7-E659-5B49-AB5C-0BB29092FAF0}">
          <x14:formula1>
            <xm:f>キャラクターマスタ!$A:$A</xm:f>
          </x14:formula1>
          <xm:sqref>K75:K95 K97:K98 K103:K104 K107:K110 K114:K115 K120:K122 K126:K127 K129 K136:K141 K147 K152 K144 K154 K158 K163 K165 K169:K172 K175 K182:K185 K2:K73 K190:K191 K193 K196 K198 K201 K203 K206 K211 K214 K218:K219 K222 K228:K229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4691-ABFD-4559-962A-664D8ED3E1F0}">
  <sheetPr>
    <tabColor theme="4" tint="0.59999389629810485"/>
  </sheetPr>
  <dimension ref="A1:W36"/>
  <sheetViews>
    <sheetView workbookViewId="0"/>
  </sheetViews>
  <sheetFormatPr defaultColWidth="8.875" defaultRowHeight="18.75"/>
  <cols>
    <col min="1" max="1" width="10.5" customWidth="1"/>
    <col min="2" max="3" width="6.5" customWidth="1"/>
    <col min="7" max="7" width="13" bestFit="1" customWidth="1"/>
    <col min="8" max="8" width="9.625" customWidth="1"/>
    <col min="9" max="9" width="13" customWidth="1"/>
    <col min="10" max="11" width="9.625" customWidth="1"/>
    <col min="12" max="12" width="20.625" bestFit="1" customWidth="1"/>
    <col min="13" max="13" width="15" bestFit="1" customWidth="1"/>
    <col min="14" max="14" width="9.625" customWidth="1"/>
    <col min="15" max="15" width="13" bestFit="1" customWidth="1"/>
    <col min="16" max="17" width="9.625" customWidth="1"/>
    <col min="18" max="18" width="15" bestFit="1" customWidth="1"/>
    <col min="19" max="19" width="11.125" bestFit="1" customWidth="1"/>
    <col min="20" max="20" width="11.125" customWidth="1"/>
    <col min="21" max="21" width="25.5" bestFit="1" customWidth="1"/>
    <col min="22" max="23" width="14" customWidth="1"/>
  </cols>
  <sheetData>
    <row r="1" spans="1:23" s="1" customFormat="1" ht="34.5" customHeight="1">
      <c r="A1" s="1" t="s">
        <v>251</v>
      </c>
      <c r="B1" s="1" t="s">
        <v>92</v>
      </c>
      <c r="C1" s="1" t="s">
        <v>105</v>
      </c>
      <c r="D1" s="1" t="s">
        <v>252</v>
      </c>
      <c r="E1" s="1" t="s">
        <v>648</v>
      </c>
      <c r="F1" s="1" t="s">
        <v>401</v>
      </c>
      <c r="G1" s="7" t="s">
        <v>147</v>
      </c>
      <c r="H1" s="1" t="s">
        <v>457</v>
      </c>
      <c r="I1" s="7" t="s">
        <v>456</v>
      </c>
      <c r="J1" s="1" t="s">
        <v>461</v>
      </c>
      <c r="K1" s="1" t="s">
        <v>462</v>
      </c>
      <c r="L1" s="7" t="s">
        <v>463</v>
      </c>
      <c r="M1" s="7" t="s">
        <v>464</v>
      </c>
      <c r="N1" s="1" t="s">
        <v>458</v>
      </c>
      <c r="O1" s="7" t="s">
        <v>459</v>
      </c>
      <c r="P1" s="1" t="s">
        <v>465</v>
      </c>
      <c r="Q1" s="1" t="s">
        <v>466</v>
      </c>
      <c r="R1" s="7" t="s">
        <v>467</v>
      </c>
      <c r="S1" s="7" t="s">
        <v>468</v>
      </c>
      <c r="T1" s="1" t="s">
        <v>652</v>
      </c>
      <c r="U1" s="1" t="s">
        <v>253</v>
      </c>
      <c r="V1" s="1" t="s">
        <v>254</v>
      </c>
      <c r="W1" s="1" t="s">
        <v>460</v>
      </c>
    </row>
    <row r="2" spans="1:23">
      <c r="A2" t="s">
        <v>263</v>
      </c>
      <c r="B2">
        <v>1</v>
      </c>
      <c r="C2">
        <v>1</v>
      </c>
      <c r="D2">
        <v>-10</v>
      </c>
      <c r="E2">
        <v>-3645</v>
      </c>
      <c r="F2" t="s">
        <v>384</v>
      </c>
      <c r="G2" s="6" t="str">
        <f>VLOOKUP(F2,場所マスタ!$A$1:$I$125,5,FALSE)</f>
        <v>フーシャ村</v>
      </c>
      <c r="H2" t="s">
        <v>441</v>
      </c>
      <c r="I2" s="6" t="str">
        <f>IFERROR(VLOOKUP(H2,勢力マスタ[],2,FALSE),"")</f>
        <v>赤髪海賊団</v>
      </c>
      <c r="L2" s="6" t="str">
        <f>IFERROR(VLOOKUP(J2,キャラマスタ[],2,FALSE),"")</f>
        <v/>
      </c>
      <c r="M2" s="6" t="str">
        <f>IFERROR(VLOOKUP(K2,キャラマスタ[],2,FALSE),"")</f>
        <v/>
      </c>
      <c r="N2" t="s">
        <v>442</v>
      </c>
      <c r="O2" s="6" t="str">
        <f>IFERROR(VLOOKUP(N2,勢力マスタ[],2,FALSE),"")</f>
        <v>ヒグマ山賊団</v>
      </c>
      <c r="R2" s="6" t="str">
        <f>IFERROR(VLOOKUP(P2,キャラマスタ[],2,FALSE),"")</f>
        <v/>
      </c>
      <c r="S2" s="6" t="str">
        <f>IFERROR(VLOOKUP(Q2,キャラマスタ[],2,FALSE),"")</f>
        <v/>
      </c>
      <c r="U2" t="str">
        <f>+IFERROR(VLOOKUP(テーブル10[[#This Row],[技ID]],技マスタ[],2,FALSE),"")</f>
        <v/>
      </c>
      <c r="V2" t="s">
        <v>265</v>
      </c>
      <c r="W2">
        <v>1</v>
      </c>
    </row>
    <row r="3" spans="1:23">
      <c r="A3" t="s">
        <v>284</v>
      </c>
      <c r="B3">
        <v>1</v>
      </c>
      <c r="C3">
        <v>1</v>
      </c>
      <c r="D3">
        <v>-10</v>
      </c>
      <c r="E3">
        <v>1</v>
      </c>
      <c r="F3" t="s">
        <v>386</v>
      </c>
      <c r="G3" s="6" t="str">
        <f>VLOOKUP(F3,場所マスタ!$A$1:$I$125,5,FALSE)</f>
        <v>フーシャ村近海</v>
      </c>
      <c r="I3" s="6" t="str">
        <f>IFERROR(VLOOKUP(H3,勢力マスタ[],2,FALSE),"")</f>
        <v/>
      </c>
      <c r="J3" t="s">
        <v>288</v>
      </c>
      <c r="L3" s="6" t="str">
        <f>IFERROR(VLOOKUP(J3,キャラマスタ[],2,FALSE),"")</f>
        <v>モンキー・D・ルフィ</v>
      </c>
      <c r="M3" s="6" t="str">
        <f>IFERROR(VLOOKUP(K3,キャラマスタ[],2,FALSE),"")</f>
        <v/>
      </c>
      <c r="O3" s="6" t="str">
        <f>IFERROR(VLOOKUP(N3,勢力マスタ[],2,FALSE),"")</f>
        <v/>
      </c>
      <c r="P3" t="s">
        <v>302</v>
      </c>
      <c r="R3" s="6" t="str">
        <f>IFERROR(VLOOKUP(P3,キャラマスタ[],2,FALSE),"")</f>
        <v>近海の主</v>
      </c>
      <c r="S3" s="6" t="str">
        <f>IFERROR(VLOOKUP(Q3,キャラマスタ[],2,FALSE),"")</f>
        <v/>
      </c>
      <c r="T3" t="s">
        <v>419</v>
      </c>
      <c r="U3" t="str">
        <f>+IFERROR(VLOOKUP(テーブル10[[#This Row],[技ID]],技マスタ[],2,FALSE),"")</f>
        <v>ゴムゴムの銃（ピストル）</v>
      </c>
      <c r="V3" t="s">
        <v>285</v>
      </c>
    </row>
    <row r="4" spans="1:23">
      <c r="A4" t="s">
        <v>338</v>
      </c>
      <c r="B4">
        <v>1</v>
      </c>
      <c r="C4">
        <v>2</v>
      </c>
      <c r="D4">
        <v>0</v>
      </c>
      <c r="E4">
        <v>1.2</v>
      </c>
      <c r="F4" t="s">
        <v>387</v>
      </c>
      <c r="G4" s="6" t="str">
        <f>VLOOKUP(F4,場所マスタ!$A$1:$I$125,5,FALSE)</f>
        <v>（不明）</v>
      </c>
      <c r="I4" s="6" t="str">
        <f>IFERROR(VLOOKUP(H4,勢力マスタ[],2,FALSE),"")</f>
        <v/>
      </c>
      <c r="J4" t="s">
        <v>288</v>
      </c>
      <c r="L4" s="6" t="str">
        <f>IFERROR(VLOOKUP(J4,キャラマスタ[],2,FALSE),"")</f>
        <v>モンキー・D・ルフィ</v>
      </c>
      <c r="M4" s="6" t="str">
        <f>IFERROR(VLOOKUP(K4,キャラマスタ[],2,FALSE),"")</f>
        <v/>
      </c>
      <c r="O4" s="6" t="str">
        <f>IFERROR(VLOOKUP(N4,勢力マスタ[],2,FALSE),"")</f>
        <v/>
      </c>
      <c r="P4" t="s">
        <v>304</v>
      </c>
      <c r="R4" s="6" t="str">
        <f>IFERROR(VLOOKUP(P4,キャラマスタ[],2,FALSE),"")</f>
        <v>アルビダ</v>
      </c>
      <c r="S4" s="6" t="str">
        <f>IFERROR(VLOOKUP(Q4,キャラマスタ[],2,FALSE),"")</f>
        <v/>
      </c>
      <c r="T4" t="s">
        <v>419</v>
      </c>
      <c r="U4" t="str">
        <f>+IFERROR(VLOOKUP(テーブル10[[#This Row],[技ID]],技マスタ[],2,FALSE),"")</f>
        <v>ゴムゴムの銃（ピストル）</v>
      </c>
      <c r="V4" t="s">
        <v>285</v>
      </c>
    </row>
    <row r="5" spans="1:23">
      <c r="A5" t="s">
        <v>339</v>
      </c>
      <c r="B5">
        <v>1</v>
      </c>
      <c r="C5">
        <v>5</v>
      </c>
      <c r="D5">
        <v>-9</v>
      </c>
      <c r="E5">
        <v>-4000</v>
      </c>
      <c r="F5" t="s">
        <v>402</v>
      </c>
      <c r="G5" s="6" t="str">
        <f>VLOOKUP(F5,場所マスタ!$A$1:$I$125,5,FALSE)</f>
        <v>シモツキ村</v>
      </c>
      <c r="I5" s="6" t="str">
        <f>IFERROR(VLOOKUP(H5,勢力マスタ[],2,FALSE),"")</f>
        <v/>
      </c>
      <c r="J5" t="s">
        <v>316</v>
      </c>
      <c r="L5" s="6" t="str">
        <f>IFERROR(VLOOKUP(J5,キャラマスタ[],2,FALSE),"")</f>
        <v>くいな</v>
      </c>
      <c r="M5" s="6" t="str">
        <f>IFERROR(VLOOKUP(K5,キャラマスタ[],2,FALSE),"")</f>
        <v/>
      </c>
      <c r="O5" s="6" t="str">
        <f>IFERROR(VLOOKUP(N5,勢力マスタ[],2,FALSE),"")</f>
        <v/>
      </c>
      <c r="P5" t="s">
        <v>308</v>
      </c>
      <c r="R5" s="6" t="str">
        <f>IFERROR(VLOOKUP(P5,キャラマスタ[],2,FALSE),"")</f>
        <v>ロロノア・ゾロ</v>
      </c>
      <c r="S5" s="6" t="str">
        <f>IFERROR(VLOOKUP(Q5,キャラマスタ[],2,FALSE),"")</f>
        <v/>
      </c>
      <c r="U5" t="str">
        <f>+IFERROR(VLOOKUP(テーブル10[[#This Row],[技ID]],技マスタ[],2,FALSE),"")</f>
        <v/>
      </c>
      <c r="V5" t="s">
        <v>285</v>
      </c>
    </row>
    <row r="6" spans="1:23">
      <c r="A6" t="s">
        <v>340</v>
      </c>
      <c r="B6">
        <v>1</v>
      </c>
      <c r="C6">
        <v>6</v>
      </c>
      <c r="D6">
        <v>0</v>
      </c>
      <c r="E6">
        <v>1.4</v>
      </c>
      <c r="F6" t="s">
        <v>388</v>
      </c>
      <c r="G6" s="6" t="str">
        <f>VLOOKUP(F6,場所マスタ!$A$1:$I$125,5,FALSE)</f>
        <v>シェルズタウン</v>
      </c>
      <c r="I6" s="6" t="str">
        <f>IFERROR(VLOOKUP(H6,勢力マスタ[],2,FALSE),"")</f>
        <v/>
      </c>
      <c r="J6" t="s">
        <v>288</v>
      </c>
      <c r="K6" t="s">
        <v>308</v>
      </c>
      <c r="L6" s="6" t="str">
        <f>IFERROR(VLOOKUP(J6,キャラマスタ[],2,FALSE),"")</f>
        <v>モンキー・D・ルフィ</v>
      </c>
      <c r="M6" s="6" t="str">
        <f>IFERROR(VLOOKUP(K6,キャラマスタ[],2,FALSE),"")</f>
        <v>ロロノア・ゾロ</v>
      </c>
      <c r="O6" s="6" t="str">
        <f>IFERROR(VLOOKUP(N6,勢力マスタ[],2,FALSE),"")</f>
        <v/>
      </c>
      <c r="P6" t="s">
        <v>313</v>
      </c>
      <c r="Q6" t="s">
        <v>310</v>
      </c>
      <c r="R6" s="6" t="str">
        <f>IFERROR(VLOOKUP(P6,キャラマスタ[],2,FALSE),"")</f>
        <v>モーガン</v>
      </c>
      <c r="S6" s="6" t="str">
        <f>IFERROR(VLOOKUP(Q6,キャラマスタ[],2,FALSE),"")</f>
        <v>ヘルメッポ</v>
      </c>
      <c r="T6" t="s">
        <v>419</v>
      </c>
      <c r="U6" t="str">
        <f>+IFERROR(VLOOKUP(テーブル10[[#This Row],[技ID]],技マスタ[],2,FALSE),"")</f>
        <v>ゴムゴムの銃（ピストル）</v>
      </c>
      <c r="V6" t="s">
        <v>341</v>
      </c>
    </row>
    <row r="7" spans="1:23">
      <c r="A7" t="s">
        <v>650</v>
      </c>
      <c r="B7">
        <v>2</v>
      </c>
      <c r="C7">
        <v>10</v>
      </c>
      <c r="D7">
        <v>0</v>
      </c>
      <c r="E7">
        <v>1.7</v>
      </c>
      <c r="F7" t="s">
        <v>649</v>
      </c>
      <c r="G7" s="6" t="str">
        <f>VLOOKUP(F7,場所マスタ!$A$1:$I$125,5,FALSE)</f>
        <v>オレンジの町</v>
      </c>
      <c r="I7" s="6" t="str">
        <f>IFERROR(VLOOKUP(H7,勢力マスタ[],2,FALSE),"")</f>
        <v/>
      </c>
      <c r="J7" s="10" t="s">
        <v>570</v>
      </c>
      <c r="L7" s="6" t="str">
        <f>IFERROR(VLOOKUP(J7,キャラマスタ[],2,FALSE),"")</f>
        <v>バギー</v>
      </c>
      <c r="M7" s="6" t="str">
        <f>IFERROR(VLOOKUP(K7,キャラマスタ[],2,FALSE),"")</f>
        <v/>
      </c>
      <c r="O7" s="6" t="str">
        <f>IFERROR(VLOOKUP(N7,勢力マスタ[],2,FALSE),"")</f>
        <v/>
      </c>
      <c r="P7" t="s">
        <v>308</v>
      </c>
      <c r="R7" s="6" t="str">
        <f>IFERROR(VLOOKUP(P7,キャラマスタ[],2,FALSE),"")</f>
        <v>ロロノア・ゾロ</v>
      </c>
      <c r="S7" s="6" t="str">
        <f>IFERROR(VLOOKUP(Q7,キャラマスタ[],2,FALSE),"")</f>
        <v/>
      </c>
      <c r="U7" t="str">
        <f>+IFERROR(VLOOKUP(テーブル10[[#This Row],[技ID]],技マスタ[],2,FALSE),"")</f>
        <v/>
      </c>
      <c r="V7" t="s">
        <v>285</v>
      </c>
    </row>
    <row r="8" spans="1:23">
      <c r="A8" t="s">
        <v>651</v>
      </c>
      <c r="B8">
        <v>2</v>
      </c>
      <c r="C8">
        <v>12</v>
      </c>
      <c r="D8">
        <v>0</v>
      </c>
      <c r="E8">
        <v>1.8</v>
      </c>
      <c r="F8" t="s">
        <v>649</v>
      </c>
      <c r="G8" s="6" t="str">
        <f>VLOOKUP(F8,場所マスタ!$A$1:$I$125,5,FALSE)</f>
        <v>オレンジの町</v>
      </c>
      <c r="H8" t="s">
        <v>507</v>
      </c>
      <c r="I8" s="6" t="str">
        <f>IFERROR(VLOOKUP(H8,勢力マスタ[],2,FALSE),"")</f>
        <v>麦わらの一味</v>
      </c>
      <c r="J8" s="10" t="s">
        <v>288</v>
      </c>
      <c r="L8" s="6" t="str">
        <f>IFERROR(VLOOKUP(J8,キャラマスタ[],2,FALSE),"")</f>
        <v>モンキー・D・ルフィ</v>
      </c>
      <c r="M8" s="6" t="str">
        <f>IFERROR(VLOOKUP(K8,キャラマスタ[],2,FALSE),"")</f>
        <v/>
      </c>
      <c r="N8" t="s">
        <v>449</v>
      </c>
      <c r="O8" s="6" t="str">
        <f>IFERROR(VLOOKUP(N8,勢力マスタ[],2,FALSE),"")</f>
        <v>バギー海賊団</v>
      </c>
      <c r="P8" t="s">
        <v>574</v>
      </c>
      <c r="Q8" t="s">
        <v>575</v>
      </c>
      <c r="R8" s="6" t="str">
        <f>IFERROR(VLOOKUP(P8,キャラマスタ[],2,FALSE),"")</f>
        <v>モージ</v>
      </c>
      <c r="S8" s="6" t="str">
        <f>IFERROR(VLOOKUP(Q8,キャラマスタ[],2,FALSE),"")</f>
        <v>リッチー</v>
      </c>
      <c r="T8" t="s">
        <v>627</v>
      </c>
      <c r="U8" t="str">
        <f>+IFERROR(VLOOKUP(テーブル10[[#This Row],[技ID]],技マスタ[],2,FALSE),"")</f>
        <v>ゴムゴムの槌（ツチ）</v>
      </c>
      <c r="V8" t="s">
        <v>285</v>
      </c>
    </row>
    <row r="9" spans="1:23">
      <c r="A9" t="s">
        <v>880</v>
      </c>
      <c r="B9">
        <v>2</v>
      </c>
      <c r="C9">
        <v>16</v>
      </c>
      <c r="D9">
        <v>0</v>
      </c>
      <c r="E9">
        <v>1.8</v>
      </c>
      <c r="F9" t="s">
        <v>649</v>
      </c>
      <c r="G9" s="6" t="str">
        <f>VLOOKUP(F9,場所マスタ!$A$1:$I$125,5,FALSE)</f>
        <v>オレンジの町</v>
      </c>
      <c r="H9" t="s">
        <v>507</v>
      </c>
      <c r="I9" s="6" t="str">
        <f>IFERROR(VLOOKUP(H9,勢力マスタ[],2,FALSE),"")</f>
        <v>麦わらの一味</v>
      </c>
      <c r="J9" s="10" t="s">
        <v>308</v>
      </c>
      <c r="L9" s="6" t="str">
        <f>IFERROR(VLOOKUP(J9,キャラマスタ[],2,FALSE),"")</f>
        <v>ロロノア・ゾロ</v>
      </c>
      <c r="M9" s="6" t="str">
        <f>IFERROR(VLOOKUP(K9,キャラマスタ[],2,FALSE),"")</f>
        <v/>
      </c>
      <c r="N9" t="s">
        <v>449</v>
      </c>
      <c r="O9" s="6" t="str">
        <f>IFERROR(VLOOKUP(N9,勢力マスタ[],2,FALSE),"")</f>
        <v>バギー海賊団</v>
      </c>
      <c r="P9" t="s">
        <v>580</v>
      </c>
      <c r="R9" s="6" t="str">
        <f>IFERROR(VLOOKUP(P9,キャラマスタ[],2,FALSE),"")</f>
        <v>カバジ</v>
      </c>
      <c r="S9" s="6" t="str">
        <f>IFERROR(VLOOKUP(Q9,キャラマスタ[],2,FALSE),"")</f>
        <v/>
      </c>
      <c r="T9" t="s">
        <v>636</v>
      </c>
      <c r="U9" t="str">
        <f>+IFERROR(VLOOKUP(テーブル10[[#This Row],[技ID]],技マスタ[],2,FALSE),"")</f>
        <v>鬼斬り</v>
      </c>
      <c r="V9" t="s">
        <v>285</v>
      </c>
    </row>
    <row r="10" spans="1:23">
      <c r="A10" t="s">
        <v>881</v>
      </c>
      <c r="B10">
        <v>3</v>
      </c>
      <c r="C10">
        <v>18</v>
      </c>
      <c r="D10">
        <v>0</v>
      </c>
      <c r="E10">
        <v>1.8</v>
      </c>
      <c r="F10" t="s">
        <v>649</v>
      </c>
      <c r="G10" s="6" t="str">
        <f>VLOOKUP(F10,場所マスタ!$A$1:$I$125,5,FALSE)</f>
        <v>オレンジの町</v>
      </c>
      <c r="H10" t="s">
        <v>507</v>
      </c>
      <c r="I10" s="6" t="str">
        <f>IFERROR(VLOOKUP(H10,勢力マスタ[],2,FALSE),"")</f>
        <v>麦わらの一味</v>
      </c>
      <c r="J10" s="10" t="s">
        <v>288</v>
      </c>
      <c r="L10" s="6" t="str">
        <f>IFERROR(VLOOKUP(J10,キャラマスタ[],2,FALSE),"")</f>
        <v>モンキー・D・ルフィ</v>
      </c>
      <c r="M10" s="6" t="str">
        <f>IFERROR(VLOOKUP(K10,キャラマスタ[],2,FALSE),"")</f>
        <v/>
      </c>
      <c r="N10" t="s">
        <v>449</v>
      </c>
      <c r="O10" s="6" t="str">
        <f>IFERROR(VLOOKUP(N10,勢力マスタ[],2,FALSE),"")</f>
        <v>バギー海賊団</v>
      </c>
      <c r="P10" t="s">
        <v>570</v>
      </c>
      <c r="R10" s="6" t="str">
        <f>IFERROR(VLOOKUP(P10,キャラマスタ[],2,FALSE),"")</f>
        <v>バギー</v>
      </c>
      <c r="S10" s="6" t="str">
        <f>IFERROR(VLOOKUP(Q10,キャラマスタ[],2,FALSE),"")</f>
        <v/>
      </c>
      <c r="T10" t="s">
        <v>766</v>
      </c>
      <c r="U10" t="str">
        <f>+IFERROR(VLOOKUP(テーブル10[[#This Row],[技ID]],技マスタ[],2,FALSE),"")</f>
        <v>ゴムゴムのバズーカ</v>
      </c>
      <c r="V10" t="s">
        <v>285</v>
      </c>
    </row>
    <row r="11" spans="1:23">
      <c r="A11" t="s">
        <v>882</v>
      </c>
      <c r="B11">
        <v>4</v>
      </c>
      <c r="C11">
        <v>31</v>
      </c>
      <c r="D11">
        <v>0</v>
      </c>
      <c r="E11">
        <v>3</v>
      </c>
      <c r="F11" t="s">
        <v>1013</v>
      </c>
      <c r="G11" s="6" t="str">
        <f>VLOOKUP(F11,場所マスタ!$A$1:$I$125,5,FALSE)</f>
        <v>シロップ村</v>
      </c>
      <c r="H11" t="s">
        <v>507</v>
      </c>
      <c r="I11" s="6" t="str">
        <f>IFERROR(VLOOKUP(H11,勢力マスタ[],2,FALSE),"")</f>
        <v>麦わらの一味</v>
      </c>
      <c r="J11" s="10" t="s">
        <v>308</v>
      </c>
      <c r="L11" s="6" t="str">
        <f>IFERROR(VLOOKUP(J11,キャラマスタ[],2,FALSE),"")</f>
        <v>ロロノア・ゾロ</v>
      </c>
      <c r="M11" s="6" t="str">
        <f>IFERROR(VLOOKUP(K11,キャラマスタ[],2,FALSE),"")</f>
        <v/>
      </c>
      <c r="N11" t="s">
        <v>737</v>
      </c>
      <c r="O11" s="6" t="str">
        <f>IFERROR(VLOOKUP(N11,勢力マスタ[],2,FALSE),"")</f>
        <v>クロネコ海賊団</v>
      </c>
      <c r="P11" t="s">
        <v>819</v>
      </c>
      <c r="Q11" t="s">
        <v>821</v>
      </c>
      <c r="R11" s="6" t="str">
        <f>IFERROR(VLOOKUP(P11,キャラマスタ[],2,FALSE),"")</f>
        <v>シャム</v>
      </c>
      <c r="S11" s="6" t="str">
        <f>IFERROR(VLOOKUP(Q11,キャラマスタ[],2,FALSE),"")</f>
        <v>ブチ</v>
      </c>
      <c r="T11" t="s">
        <v>1011</v>
      </c>
      <c r="U11" t="str">
        <f>+IFERROR(VLOOKUP(テーブル10[[#This Row],[技ID]],技マスタ[],2,FALSE),"")</f>
        <v>虎狩り</v>
      </c>
      <c r="V11" t="s">
        <v>285</v>
      </c>
    </row>
    <row r="12" spans="1:23">
      <c r="A12" t="s">
        <v>883</v>
      </c>
      <c r="B12">
        <v>4</v>
      </c>
      <c r="C12">
        <v>34</v>
      </c>
      <c r="D12">
        <v>0</v>
      </c>
      <c r="E12">
        <v>3</v>
      </c>
      <c r="F12" t="s">
        <v>1013</v>
      </c>
      <c r="G12" s="6" t="str">
        <f>VLOOKUP(F12,場所マスタ!$A$1:$I$125,5,FALSE)</f>
        <v>シロップ村</v>
      </c>
      <c r="H12" t="s">
        <v>507</v>
      </c>
      <c r="I12" s="6" t="str">
        <f>IFERROR(VLOOKUP(H12,勢力マスタ[],2,FALSE),"")</f>
        <v>麦わらの一味</v>
      </c>
      <c r="J12" s="10" t="s">
        <v>288</v>
      </c>
      <c r="L12" s="6" t="str">
        <f>IFERROR(VLOOKUP(J12,キャラマスタ[],2,FALSE),"")</f>
        <v>モンキー・D・ルフィ</v>
      </c>
      <c r="M12" s="6" t="str">
        <f>IFERROR(VLOOKUP(K12,キャラマスタ[],2,FALSE),"")</f>
        <v/>
      </c>
      <c r="N12" t="s">
        <v>737</v>
      </c>
      <c r="O12" s="6" t="str">
        <f>IFERROR(VLOOKUP(N12,勢力マスタ[],2,FALSE),"")</f>
        <v>クロネコ海賊団</v>
      </c>
      <c r="P12" t="s">
        <v>723</v>
      </c>
      <c r="R12" s="6" t="str">
        <f>IFERROR(VLOOKUP(P12,キャラマスタ[],2,FALSE),"")</f>
        <v>クロ</v>
      </c>
      <c r="S12" s="6" t="str">
        <f>IFERROR(VLOOKUP(Q12,キャラマスタ[],2,FALSE),"")</f>
        <v/>
      </c>
      <c r="T12" t="s">
        <v>1018</v>
      </c>
      <c r="U12" t="str">
        <f>+IFERROR(VLOOKUP(テーブル10[[#This Row],[技ID]],技マスタ[],2,FALSE),"")</f>
        <v>ゴムゴムの鐘（カネ）</v>
      </c>
      <c r="V12" t="s">
        <v>285</v>
      </c>
    </row>
    <row r="13" spans="1:23">
      <c r="A13" t="s">
        <v>1014</v>
      </c>
      <c r="B13">
        <v>5</v>
      </c>
      <c r="C13">
        <v>38</v>
      </c>
      <c r="D13">
        <v>0</v>
      </c>
      <c r="E13">
        <v>3</v>
      </c>
      <c r="F13" t="s">
        <v>1013</v>
      </c>
      <c r="G13" s="6" t="str">
        <f>VLOOKUP(F13,場所マスタ!$A$1:$I$125,5,FALSE)</f>
        <v>シロップ村</v>
      </c>
      <c r="H13" t="s">
        <v>507</v>
      </c>
      <c r="I13" s="6" t="str">
        <f>IFERROR(VLOOKUP(H13,勢力マスタ[],2,FALSE),"")</f>
        <v>麦わらの一味</v>
      </c>
      <c r="J13" s="10" t="s">
        <v>308</v>
      </c>
      <c r="K13" t="s">
        <v>718</v>
      </c>
      <c r="L13" s="6" t="str">
        <f>IFERROR(VLOOKUP(J13,キャラマスタ[],2,FALSE),"")</f>
        <v>ロロノア・ゾロ</v>
      </c>
      <c r="M13" s="6" t="str">
        <f>IFERROR(VLOOKUP(K13,キャラマスタ[],2,FALSE),"")</f>
        <v>ウソップ</v>
      </c>
      <c r="N13" t="s">
        <v>737</v>
      </c>
      <c r="O13" s="6" t="str">
        <f>IFERROR(VLOOKUP(N13,勢力マスタ[],2,FALSE),"")</f>
        <v>クロネコ海賊団</v>
      </c>
      <c r="P13" t="s">
        <v>727</v>
      </c>
      <c r="R13" s="6" t="str">
        <f>IFERROR(VLOOKUP(P13,キャラマスタ[],2,FALSE),"")</f>
        <v>ジャンゴ</v>
      </c>
      <c r="S13" s="6" t="str">
        <f>IFERROR(VLOOKUP(Q13,キャラマスタ[],2,FALSE),"")</f>
        <v/>
      </c>
      <c r="T13" t="s">
        <v>972</v>
      </c>
      <c r="U13" t="str">
        <f>+IFERROR(VLOOKUP(テーブル10[[#This Row],[技ID]],技マスタ[],2,FALSE),"")</f>
        <v>火薬星</v>
      </c>
      <c r="V13" t="s">
        <v>341</v>
      </c>
    </row>
    <row r="14" spans="1:23">
      <c r="A14" t="s">
        <v>1015</v>
      </c>
      <c r="B14">
        <v>5</v>
      </c>
      <c r="C14">
        <v>43</v>
      </c>
      <c r="D14">
        <v>0</v>
      </c>
      <c r="E14">
        <v>5</v>
      </c>
      <c r="F14" t="s">
        <v>1076</v>
      </c>
      <c r="G14" s="6" t="str">
        <f>VLOOKUP(F14,場所マスタ!$A$1:$I$125,5,FALSE)</f>
        <v>バラティエ</v>
      </c>
      <c r="I14" s="6" t="str">
        <f>IFERROR(VLOOKUP(H14,勢力マスタ[],2,FALSE),"")</f>
        <v/>
      </c>
      <c r="J14" t="s">
        <v>1087</v>
      </c>
      <c r="L14" s="6" t="str">
        <f>IFERROR(VLOOKUP(J14,キャラマスタ[],2,FALSE),"")</f>
        <v>フルボディ</v>
      </c>
      <c r="M14" s="6" t="str">
        <f>IFERROR(VLOOKUP(K14,キャラマスタ[],2,FALSE),"")</f>
        <v/>
      </c>
      <c r="O14" s="6" t="str">
        <f>IFERROR(VLOOKUP(N14,勢力マスタ[],2,FALSE),"")</f>
        <v/>
      </c>
      <c r="P14" t="s">
        <v>1088</v>
      </c>
      <c r="Q14" t="s">
        <v>1089</v>
      </c>
      <c r="R14" s="6" t="str">
        <f>IFERROR(VLOOKUP(P14,キャラマスタ[],2,FALSE),"")</f>
        <v>ヨサク</v>
      </c>
      <c r="S14" s="6" t="str">
        <f>IFERROR(VLOOKUP(Q14,キャラマスタ[],2,FALSE),"")</f>
        <v>ジョニー</v>
      </c>
      <c r="U14" t="str">
        <f>+IFERROR(VLOOKUP(テーブル10[[#This Row],[技ID]],技マスタ[],2,FALSE),"")</f>
        <v/>
      </c>
      <c r="V14" t="s">
        <v>285</v>
      </c>
    </row>
    <row r="15" spans="1:23">
      <c r="A15" t="s">
        <v>1016</v>
      </c>
      <c r="B15">
        <v>5</v>
      </c>
      <c r="C15">
        <v>43</v>
      </c>
      <c r="D15">
        <v>0</v>
      </c>
      <c r="E15">
        <v>5</v>
      </c>
      <c r="F15" t="s">
        <v>1076</v>
      </c>
      <c r="G15" s="6" t="str">
        <f>VLOOKUP(F15,場所マスタ!$A$1:$I$125,5,FALSE)</f>
        <v>バラティエ</v>
      </c>
      <c r="H15" t="s">
        <v>959</v>
      </c>
      <c r="I15" s="6" t="str">
        <f>IFERROR(VLOOKUP(H15,勢力マスタ[],2,FALSE),"")</f>
        <v>海上レストランバラティエ</v>
      </c>
      <c r="J15" t="s">
        <v>1092</v>
      </c>
      <c r="L15" s="6" t="str">
        <f>IFERROR(VLOOKUP(J15,キャラマスタ[],2,FALSE),"")</f>
        <v>サンジ</v>
      </c>
      <c r="M15" s="6" t="str">
        <f>IFERROR(VLOOKUP(K15,キャラマスタ[],2,FALSE),"")</f>
        <v/>
      </c>
      <c r="O15" s="6" t="str">
        <f>IFERROR(VLOOKUP(N15,勢力マスタ[],2,FALSE),"")</f>
        <v/>
      </c>
      <c r="P15" t="s">
        <v>1096</v>
      </c>
      <c r="R15" s="6" t="str">
        <f>IFERROR(VLOOKUP(P15,キャラマスタ[],2,FALSE),"")</f>
        <v>フルボディ</v>
      </c>
      <c r="S15" s="6" t="str">
        <f>IFERROR(VLOOKUP(Q15,キャラマスタ[],2,FALSE),"")</f>
        <v/>
      </c>
      <c r="U15" t="str">
        <f>+IFERROR(VLOOKUP(テーブル10[[#This Row],[技ID]],技マスタ[],2,FALSE),"")</f>
        <v/>
      </c>
      <c r="V15" t="s">
        <v>285</v>
      </c>
    </row>
    <row r="16" spans="1:23">
      <c r="A16" t="s">
        <v>1017</v>
      </c>
      <c r="B16">
        <v>5</v>
      </c>
      <c r="C16">
        <v>44</v>
      </c>
      <c r="D16">
        <v>0</v>
      </c>
      <c r="E16">
        <v>5</v>
      </c>
      <c r="F16" t="s">
        <v>1076</v>
      </c>
      <c r="G16" s="6" t="str">
        <f>VLOOKUP(F16,場所マスタ!$A$1:$I$125,5,FALSE)</f>
        <v>バラティエ</v>
      </c>
      <c r="H16" t="s">
        <v>959</v>
      </c>
      <c r="I16" s="6" t="str">
        <f>IFERROR(VLOOKUP(H16,勢力マスタ[],2,FALSE),"")</f>
        <v>海上レストランバラティエ</v>
      </c>
      <c r="J16" t="s">
        <v>1093</v>
      </c>
      <c r="L16" s="6" t="str">
        <f>IFERROR(VLOOKUP(J16,キャラマスタ[],2,FALSE),"")</f>
        <v>パティ</v>
      </c>
      <c r="M16" s="6" t="str">
        <f>IFERROR(VLOOKUP(K16,キャラマスタ[],2,FALSE),"")</f>
        <v/>
      </c>
      <c r="N16" t="s">
        <v>1094</v>
      </c>
      <c r="O16" s="6" t="str">
        <f>IFERROR(VLOOKUP(N16,勢力マスタ[],2,FALSE),"")</f>
        <v>クリーク海賊団</v>
      </c>
      <c r="P16" t="s">
        <v>1095</v>
      </c>
      <c r="R16" s="6" t="str">
        <f>IFERROR(VLOOKUP(P16,キャラマスタ[],2,FALSE),"")</f>
        <v>ギン</v>
      </c>
      <c r="S16" s="6" t="str">
        <f>IFERROR(VLOOKUP(Q16,キャラマスタ[],2,FALSE),"")</f>
        <v/>
      </c>
      <c r="U16" t="str">
        <f>+IFERROR(VLOOKUP(テーブル10[[#This Row],[技ID]],技マスタ[],2,FALSE),"")</f>
        <v/>
      </c>
      <c r="V16" t="s">
        <v>285</v>
      </c>
    </row>
    <row r="17" spans="1:23">
      <c r="A17" t="s">
        <v>1191</v>
      </c>
      <c r="B17">
        <v>6</v>
      </c>
      <c r="C17">
        <v>51</v>
      </c>
      <c r="D17">
        <v>0</v>
      </c>
      <c r="E17">
        <v>7</v>
      </c>
      <c r="F17" t="s">
        <v>1076</v>
      </c>
      <c r="G17" s="6" t="str">
        <f>VLOOKUP(F17,場所マスタ!$A$1:$I$125,5,FALSE)</f>
        <v>バラティエ</v>
      </c>
      <c r="H17" t="s">
        <v>507</v>
      </c>
      <c r="I17" s="6" t="str">
        <f>IFERROR(VLOOKUP(H17,勢力マスタ[],2,FALSE),"")</f>
        <v>麦わらの一味</v>
      </c>
      <c r="J17" s="10" t="s">
        <v>308</v>
      </c>
      <c r="L17" s="6" t="str">
        <f>IFERROR(VLOOKUP(J17,キャラマスタ[],2,FALSE),"")</f>
        <v>ロロノア・ゾロ</v>
      </c>
      <c r="M17" s="6" t="str">
        <f>IFERROR(VLOOKUP(K17,キャラマスタ[],2,FALSE),"")</f>
        <v/>
      </c>
      <c r="N17" t="s">
        <v>1144</v>
      </c>
      <c r="O17" s="6" t="str">
        <f>IFERROR(VLOOKUP(N17,勢力マスタ[],2,FALSE),"")</f>
        <v>王下七武海</v>
      </c>
      <c r="P17" t="s">
        <v>1196</v>
      </c>
      <c r="R17" s="6" t="str">
        <f>IFERROR(VLOOKUP(P17,キャラマスタ[],2,FALSE),"")</f>
        <v>ジュラキュール・ミホーク</v>
      </c>
      <c r="S17" s="6" t="str">
        <f>IFERROR(VLOOKUP(Q17,キャラマスタ[],2,FALSE),"")</f>
        <v/>
      </c>
      <c r="T17" s="16"/>
      <c r="U17" t="str">
        <f>+IFERROR(VLOOKUP(テーブル10[[#This Row],[技ID]],技マスタ[],2,FALSE),"")</f>
        <v/>
      </c>
      <c r="V17" t="s">
        <v>285</v>
      </c>
    </row>
    <row r="18" spans="1:23">
      <c r="A18" t="s">
        <v>1192</v>
      </c>
      <c r="B18">
        <v>7</v>
      </c>
      <c r="C18">
        <v>55</v>
      </c>
      <c r="D18">
        <v>0</v>
      </c>
      <c r="E18">
        <v>7.5</v>
      </c>
      <c r="F18" t="s">
        <v>1076</v>
      </c>
      <c r="G18" s="6" t="str">
        <f>VLOOKUP(F18,場所マスタ!$A$1:$I$125,5,FALSE)</f>
        <v>バラティエ</v>
      </c>
      <c r="H18" t="s">
        <v>959</v>
      </c>
      <c r="I18" s="6" t="str">
        <f>IFERROR(VLOOKUP(H18,勢力マスタ[],2,FALSE),"")</f>
        <v>海上レストランバラティエ</v>
      </c>
      <c r="J18" t="s">
        <v>1090</v>
      </c>
      <c r="L18" s="6" t="str">
        <f>IFERROR(VLOOKUP(J18,キャラマスタ[],2,FALSE),"")</f>
        <v>サンジ</v>
      </c>
      <c r="M18" s="6" t="str">
        <f>IFERROR(VLOOKUP(K18,キャラマスタ[],2,FALSE),"")</f>
        <v/>
      </c>
      <c r="N18" t="s">
        <v>1094</v>
      </c>
      <c r="O18" s="6" t="str">
        <f>IFERROR(VLOOKUP(N18,勢力マスタ[],2,FALSE),"")</f>
        <v>クリーク海賊団</v>
      </c>
      <c r="P18" t="s">
        <v>1290</v>
      </c>
      <c r="R18" s="6" t="str">
        <f>IFERROR(VLOOKUP(P18,キャラマスタ[],2,FALSE),"")</f>
        <v>パール</v>
      </c>
      <c r="S18" s="6" t="str">
        <f>IFERROR(VLOOKUP(Q18,キャラマスタ[],2,FALSE),"")</f>
        <v/>
      </c>
      <c r="T18" s="16"/>
      <c r="U18" t="str">
        <f>+IFERROR(VLOOKUP(テーブル10[[#This Row],[技ID]],技マスタ[],2,FALSE),"")</f>
        <v/>
      </c>
      <c r="V18" t="s">
        <v>285</v>
      </c>
    </row>
    <row r="19" spans="1:23">
      <c r="A19" t="s">
        <v>1193</v>
      </c>
      <c r="B19">
        <v>7</v>
      </c>
      <c r="C19">
        <v>60</v>
      </c>
      <c r="D19">
        <v>0</v>
      </c>
      <c r="E19">
        <v>7.5</v>
      </c>
      <c r="F19" t="s">
        <v>1076</v>
      </c>
      <c r="G19" s="6" t="str">
        <f>VLOOKUP(F19,場所マスタ!$A$1:$I$125,5,FALSE)</f>
        <v>バラティエ</v>
      </c>
      <c r="H19" t="s">
        <v>959</v>
      </c>
      <c r="I19" s="6" t="str">
        <f>IFERROR(VLOOKUP(H19,勢力マスタ[],2,FALSE),"")</f>
        <v>海上レストランバラティエ</v>
      </c>
      <c r="J19" t="s">
        <v>1090</v>
      </c>
      <c r="L19" s="6" t="str">
        <f>IFERROR(VLOOKUP(J19,キャラマスタ[],2,FALSE),"")</f>
        <v>サンジ</v>
      </c>
      <c r="M19" s="6" t="str">
        <f>IFERROR(VLOOKUP(K19,キャラマスタ[],2,FALSE),"")</f>
        <v/>
      </c>
      <c r="N19" t="s">
        <v>1094</v>
      </c>
      <c r="O19" s="6" t="str">
        <f>IFERROR(VLOOKUP(N19,勢力マスタ[],2,FALSE),"")</f>
        <v>クリーク海賊団</v>
      </c>
      <c r="P19" t="s">
        <v>1091</v>
      </c>
      <c r="R19" s="6" t="str">
        <f>IFERROR(VLOOKUP(P19,キャラマスタ[],2,FALSE),"")</f>
        <v>ギン</v>
      </c>
      <c r="S19" s="6" t="str">
        <f>IFERROR(VLOOKUP(Q19,キャラマスタ[],2,FALSE),"")</f>
        <v/>
      </c>
      <c r="T19" s="16"/>
      <c r="U19" t="str">
        <f>+IFERROR(VLOOKUP(テーブル10[[#This Row],[技ID]],技マスタ[],2,FALSE),"")</f>
        <v/>
      </c>
      <c r="V19" t="s">
        <v>285</v>
      </c>
    </row>
    <row r="20" spans="1:23">
      <c r="A20" t="s">
        <v>1194</v>
      </c>
      <c r="B20">
        <v>7</v>
      </c>
      <c r="C20">
        <v>60</v>
      </c>
      <c r="D20">
        <v>0</v>
      </c>
      <c r="E20">
        <v>7.5</v>
      </c>
      <c r="F20" t="s">
        <v>1076</v>
      </c>
      <c r="G20" s="6" t="str">
        <f>VLOOKUP(F20,場所マスタ!$A$1:$I$125,5,FALSE)</f>
        <v>バラティエ</v>
      </c>
      <c r="H20" t="s">
        <v>959</v>
      </c>
      <c r="I20" s="6" t="str">
        <f>IFERROR(VLOOKUP(H20,勢力マスタ[],2,FALSE),"")</f>
        <v>海上レストランバラティエ</v>
      </c>
      <c r="J20" s="10" t="s">
        <v>288</v>
      </c>
      <c r="L20" s="6" t="str">
        <f>IFERROR(VLOOKUP(J20,キャラマスタ[],2,FALSE),"")</f>
        <v>モンキー・D・ルフィ</v>
      </c>
      <c r="M20" s="6" t="str">
        <f>IFERROR(VLOOKUP(K20,キャラマスタ[],2,FALSE),"")</f>
        <v/>
      </c>
      <c r="N20" t="s">
        <v>1094</v>
      </c>
      <c r="O20" s="6" t="str">
        <f>IFERROR(VLOOKUP(N20,勢力マスタ[],2,FALSE),"")</f>
        <v>クリーク海賊団</v>
      </c>
      <c r="P20" t="s">
        <v>1305</v>
      </c>
      <c r="R20" s="6" t="str">
        <f>IFERROR(VLOOKUP(P20,キャラマスタ[],2,FALSE),"")</f>
        <v>クリーク</v>
      </c>
      <c r="S20" s="6" t="str">
        <f>IFERROR(VLOOKUP(Q20,キャラマスタ[],2,FALSE),"")</f>
        <v/>
      </c>
      <c r="T20" t="s">
        <v>1349</v>
      </c>
      <c r="U20" t="str">
        <f>+IFERROR(VLOOKUP(テーブル10[[#This Row],[技ID]],技マスタ[],2,FALSE),"")</f>
        <v>ゴムゴムの大槌（オオヅチ）</v>
      </c>
      <c r="V20" t="s">
        <v>285</v>
      </c>
    </row>
    <row r="21" spans="1:23">
      <c r="A21" t="s">
        <v>1195</v>
      </c>
      <c r="B21">
        <v>9</v>
      </c>
      <c r="C21">
        <v>73</v>
      </c>
      <c r="D21">
        <v>0</v>
      </c>
      <c r="E21">
        <v>8.3000000000000007</v>
      </c>
      <c r="F21" t="s">
        <v>1517</v>
      </c>
      <c r="G21" s="6" t="str">
        <f>VLOOKUP(F21,場所マスタ!$A$1:$I$125,5,FALSE)</f>
        <v>アーロンパーク近海</v>
      </c>
      <c r="H21" t="s">
        <v>507</v>
      </c>
      <c r="I21" s="6" t="str">
        <f>IFERROR(VLOOKUP(H21,勢力マスタ[],2,FALSE),"")</f>
        <v>麦わらの一味</v>
      </c>
      <c r="J21" s="10" t="s">
        <v>288</v>
      </c>
      <c r="K21" t="s">
        <v>1090</v>
      </c>
      <c r="L21" s="6" t="str">
        <f>IFERROR(VLOOKUP(J21,キャラマスタ[],2,FALSE),"")</f>
        <v>モンキー・D・ルフィ</v>
      </c>
      <c r="M21" s="6" t="str">
        <f>IFERROR(VLOOKUP(K21,キャラマスタ[],2,FALSE),"")</f>
        <v>サンジ</v>
      </c>
      <c r="N21" t="s">
        <v>1292</v>
      </c>
      <c r="O21" s="6" t="str">
        <f>IFERROR(VLOOKUP(N21,勢力マスタ[],2,FALSE),"")</f>
        <v>アーロン一味</v>
      </c>
      <c r="P21" t="s">
        <v>1453</v>
      </c>
      <c r="R21" s="6" t="str">
        <f>IFERROR(VLOOKUP(P21,キャラマスタ[],2,FALSE),"")</f>
        <v>モーム</v>
      </c>
      <c r="S21" s="6" t="str">
        <f>IFERROR(VLOOKUP(Q21,キャラマスタ[],2,FALSE),"")</f>
        <v/>
      </c>
      <c r="T21" t="s">
        <v>1351</v>
      </c>
      <c r="U21" t="str">
        <f>+IFERROR(VLOOKUP(テーブル10[[#This Row],[技ID]],技マスタ[],2,FALSE),"")</f>
        <v>首肉（コリエ）シュート</v>
      </c>
      <c r="V21" t="s">
        <v>285</v>
      </c>
    </row>
    <row r="22" spans="1:23">
      <c r="A22" t="s">
        <v>1522</v>
      </c>
      <c r="B22">
        <v>9</v>
      </c>
      <c r="C22">
        <v>74</v>
      </c>
      <c r="D22">
        <v>0</v>
      </c>
      <c r="E22">
        <v>8.5</v>
      </c>
      <c r="F22" t="s">
        <v>1532</v>
      </c>
      <c r="G22" s="6" t="str">
        <f>VLOOKUP(F22,場所マスタ!$A$1:$I$125,5,FALSE)</f>
        <v>アーロンパーク</v>
      </c>
      <c r="H22" t="s">
        <v>1292</v>
      </c>
      <c r="I22" s="6" t="str">
        <f>IFERROR(VLOOKUP(H22,勢力マスタ[],2,FALSE),"")</f>
        <v>アーロン一味</v>
      </c>
      <c r="J22" s="10" t="s">
        <v>416</v>
      </c>
      <c r="L22" s="6" t="str">
        <f>IFERROR(VLOOKUP(J22,キャラマスタ[],2,FALSE),"")</f>
        <v>ナミ</v>
      </c>
      <c r="M22" s="6" t="str">
        <f>IFERROR(VLOOKUP(K22,キャラマスタ[],2,FALSE),"")</f>
        <v/>
      </c>
      <c r="N22" t="s">
        <v>507</v>
      </c>
      <c r="O22" s="6" t="str">
        <f>IFERROR(VLOOKUP(N22,勢力マスタ[],2,FALSE),"")</f>
        <v>麦わらの一味</v>
      </c>
      <c r="P22" s="10" t="s">
        <v>1533</v>
      </c>
      <c r="R22" s="6" t="str">
        <f>IFERROR(VLOOKUP(P22,キャラマスタ[],2,FALSE),"")</f>
        <v>ウソップ</v>
      </c>
      <c r="S22" s="6" t="str">
        <f>IFERROR(VLOOKUP(Q22,キャラマスタ[],2,FALSE),"")</f>
        <v/>
      </c>
      <c r="T22" s="16"/>
      <c r="U22" t="str">
        <f>+IFERROR(VLOOKUP(テーブル10[[#This Row],[技ID]],技マスタ[],2,FALSE),"")</f>
        <v/>
      </c>
      <c r="V22" t="s">
        <v>285</v>
      </c>
    </row>
    <row r="23" spans="1:23">
      <c r="A23" t="s">
        <v>1523</v>
      </c>
      <c r="B23">
        <v>10</v>
      </c>
      <c r="C23">
        <v>82</v>
      </c>
      <c r="D23">
        <v>0</v>
      </c>
      <c r="E23">
        <v>8.6999999999999993</v>
      </c>
      <c r="F23" t="s">
        <v>1532</v>
      </c>
      <c r="G23" s="6" t="str">
        <f>VLOOKUP(F23,場所マスタ!$A$1:$I$125,5,FALSE)</f>
        <v>アーロンパーク</v>
      </c>
      <c r="H23" t="s">
        <v>507</v>
      </c>
      <c r="I23" s="6" t="str">
        <f>IFERROR(VLOOKUP(H23,勢力マスタ[],2,FALSE),"")</f>
        <v>麦わらの一味</v>
      </c>
      <c r="J23" s="10"/>
      <c r="L23" s="6" t="str">
        <f>IFERROR(VLOOKUP(J23,キャラマスタ[],2,FALSE),"")</f>
        <v/>
      </c>
      <c r="M23" s="6" t="str">
        <f>IFERROR(VLOOKUP(K23,キャラマスタ[],2,FALSE),"")</f>
        <v/>
      </c>
      <c r="N23" t="s">
        <v>1292</v>
      </c>
      <c r="O23" s="6" t="str">
        <f>IFERROR(VLOOKUP(N23,勢力マスタ[],2,FALSE),"")</f>
        <v>アーロン一味</v>
      </c>
      <c r="R23" s="6" t="str">
        <f>IFERROR(VLOOKUP(P23,キャラマスタ[],2,FALSE),"")</f>
        <v/>
      </c>
      <c r="S23" s="6" t="str">
        <f>IFERROR(VLOOKUP(Q23,キャラマスタ[],2,FALSE),"")</f>
        <v/>
      </c>
      <c r="U23" t="str">
        <f>+IFERROR(VLOOKUP(テーブル10[[#This Row],[技ID]],技マスタ[],2,FALSE),"")</f>
        <v/>
      </c>
      <c r="V23" t="s">
        <v>265</v>
      </c>
      <c r="W23">
        <v>1</v>
      </c>
    </row>
    <row r="24" spans="1:23">
      <c r="A24" t="s">
        <v>1524</v>
      </c>
      <c r="B24">
        <v>10</v>
      </c>
      <c r="C24">
        <v>82</v>
      </c>
      <c r="D24">
        <v>0</v>
      </c>
      <c r="E24">
        <v>8.6999999999999993</v>
      </c>
      <c r="F24" t="s">
        <v>1532</v>
      </c>
      <c r="G24" s="6" t="str">
        <f>VLOOKUP(F24,場所マスタ!$A$1:$I$125,5,FALSE)</f>
        <v>アーロンパーク</v>
      </c>
      <c r="H24" t="s">
        <v>507</v>
      </c>
      <c r="I24" s="6" t="str">
        <f>IFERROR(VLOOKUP(H24,勢力マスタ[],2,FALSE),"")</f>
        <v>麦わらの一味</v>
      </c>
      <c r="J24" s="10" t="s">
        <v>288</v>
      </c>
      <c r="L24" s="6" t="str">
        <f>IFERROR(VLOOKUP(J24,キャラマスタ[],2,FALSE),"")</f>
        <v>モンキー・D・ルフィ</v>
      </c>
      <c r="M24" s="6" t="str">
        <f>IFERROR(VLOOKUP(K24,キャラマスタ[],2,FALSE),"")</f>
        <v/>
      </c>
      <c r="N24" t="s">
        <v>1292</v>
      </c>
      <c r="O24" s="6" t="str">
        <f>IFERROR(VLOOKUP(N24,勢力マスタ[],2,FALSE),"")</f>
        <v>アーロン一味</v>
      </c>
      <c r="P24" t="s">
        <v>1453</v>
      </c>
      <c r="R24" s="6" t="str">
        <f>IFERROR(VLOOKUP(P24,キャラマスタ[],2,FALSE),"")</f>
        <v>モーム</v>
      </c>
      <c r="S24" s="6" t="str">
        <f>IFERROR(VLOOKUP(Q24,キャラマスタ[],2,FALSE),"")</f>
        <v/>
      </c>
      <c r="T24" t="s">
        <v>1354</v>
      </c>
      <c r="U24" t="str">
        <f>+IFERROR(VLOOKUP(テーブル10[[#This Row],[技ID]],技マスタ[],2,FALSE),"")</f>
        <v>ゴムゴムの風車</v>
      </c>
      <c r="V24" t="s">
        <v>285</v>
      </c>
    </row>
    <row r="25" spans="1:23">
      <c r="A25" t="s">
        <v>1525</v>
      </c>
      <c r="B25">
        <v>10</v>
      </c>
      <c r="C25">
        <v>82</v>
      </c>
      <c r="D25">
        <v>0</v>
      </c>
      <c r="E25">
        <v>8.6999999999999993</v>
      </c>
      <c r="F25" t="s">
        <v>1532</v>
      </c>
      <c r="G25" s="6" t="str">
        <f>VLOOKUP(F25,場所マスタ!$A$1:$I$125,5,FALSE)</f>
        <v>アーロンパーク</v>
      </c>
      <c r="H25" t="s">
        <v>507</v>
      </c>
      <c r="I25" s="6" t="str">
        <f>IFERROR(VLOOKUP(H25,勢力マスタ[],2,FALSE),"")</f>
        <v>麦わらの一味</v>
      </c>
      <c r="J25" s="10" t="s">
        <v>308</v>
      </c>
      <c r="L25" s="6" t="str">
        <f>IFERROR(VLOOKUP(J25,キャラマスタ[],2,FALSE),"")</f>
        <v>ロロノア・ゾロ</v>
      </c>
      <c r="M25" s="6" t="str">
        <f>IFERROR(VLOOKUP(K25,キャラマスタ[],2,FALSE),"")</f>
        <v/>
      </c>
      <c r="N25" t="s">
        <v>1292</v>
      </c>
      <c r="O25" s="6" t="str">
        <f>IFERROR(VLOOKUP(N25,勢力マスタ[],2,FALSE),"")</f>
        <v>アーロン一味</v>
      </c>
      <c r="P25" t="s">
        <v>1311</v>
      </c>
      <c r="R25" s="6" t="str">
        <f>IFERROR(VLOOKUP(P25,キャラマスタ[],2,FALSE),"")</f>
        <v>はっちゃん</v>
      </c>
      <c r="S25" s="6" t="str">
        <f>IFERROR(VLOOKUP(Q25,キャラマスタ[],2,FALSE),"")</f>
        <v/>
      </c>
      <c r="T25" t="s">
        <v>1667</v>
      </c>
      <c r="U25" t="str">
        <f>+IFERROR(VLOOKUP(テーブル10[[#This Row],[技ID]],技マスタ[],2,FALSE),"")</f>
        <v>龍巻き</v>
      </c>
      <c r="V25" t="s">
        <v>285</v>
      </c>
    </row>
    <row r="26" spans="1:23">
      <c r="A26" t="s">
        <v>1526</v>
      </c>
      <c r="B26">
        <v>10</v>
      </c>
      <c r="C26">
        <v>82</v>
      </c>
      <c r="D26">
        <v>0</v>
      </c>
      <c r="E26">
        <v>8.6999999999999993</v>
      </c>
      <c r="F26" t="s">
        <v>1532</v>
      </c>
      <c r="G26" s="6" t="str">
        <f>VLOOKUP(F26,場所マスタ!$A$1:$I$125,5,FALSE)</f>
        <v>アーロンパーク</v>
      </c>
      <c r="H26" t="s">
        <v>507</v>
      </c>
      <c r="I26" s="6" t="str">
        <f>IFERROR(VLOOKUP(H26,勢力マスタ[],2,FALSE),"")</f>
        <v>麦わらの一味</v>
      </c>
      <c r="J26" t="s">
        <v>1090</v>
      </c>
      <c r="L26" s="6" t="str">
        <f>IFERROR(VLOOKUP(J26,キャラマスタ[],2,FALSE),"")</f>
        <v>サンジ</v>
      </c>
      <c r="M26" s="6" t="str">
        <f>IFERROR(VLOOKUP(K26,キャラマスタ[],2,FALSE),"")</f>
        <v/>
      </c>
      <c r="N26" t="s">
        <v>1292</v>
      </c>
      <c r="O26" s="6" t="str">
        <f>IFERROR(VLOOKUP(N26,勢力マスタ[],2,FALSE),"")</f>
        <v>アーロン一味</v>
      </c>
      <c r="P26" t="s">
        <v>1455</v>
      </c>
      <c r="R26" s="6" t="str">
        <f>IFERROR(VLOOKUP(P26,キャラマスタ[],2,FALSE),"")</f>
        <v>クロオビ</v>
      </c>
      <c r="S26" s="6" t="str">
        <f>IFERROR(VLOOKUP(Q26,キャラマスタ[],2,FALSE),"")</f>
        <v/>
      </c>
      <c r="T26" t="s">
        <v>1687</v>
      </c>
      <c r="U26" t="str">
        <f>+IFERROR(VLOOKUP(テーブル10[[#This Row],[技ID]],技マスタ[],2,FALSE),"")</f>
        <v>羊肉（ムートン）ショット</v>
      </c>
      <c r="V26" t="s">
        <v>285</v>
      </c>
    </row>
    <row r="27" spans="1:23">
      <c r="A27" t="s">
        <v>1527</v>
      </c>
      <c r="B27">
        <v>10</v>
      </c>
      <c r="C27">
        <v>82</v>
      </c>
      <c r="D27">
        <v>0</v>
      </c>
      <c r="E27">
        <v>8.6999999999999993</v>
      </c>
      <c r="F27" t="s">
        <v>1532</v>
      </c>
      <c r="G27" s="6" t="str">
        <f>VLOOKUP(F27,場所マスタ!$A$1:$I$125,5,FALSE)</f>
        <v>アーロンパーク</v>
      </c>
      <c r="H27" t="s">
        <v>507</v>
      </c>
      <c r="I27" s="6" t="str">
        <f>IFERROR(VLOOKUP(H27,勢力マスタ[],2,FALSE),"")</f>
        <v>麦わらの一味</v>
      </c>
      <c r="J27" t="s">
        <v>718</v>
      </c>
      <c r="L27" s="6" t="str">
        <f>IFERROR(VLOOKUP(J27,キャラマスタ[],2,FALSE),"")</f>
        <v>ウソップ</v>
      </c>
      <c r="M27" s="6" t="str">
        <f>IFERROR(VLOOKUP(K27,キャラマスタ[],2,FALSE),"")</f>
        <v/>
      </c>
      <c r="N27" t="s">
        <v>1292</v>
      </c>
      <c r="O27" s="6" t="str">
        <f>IFERROR(VLOOKUP(N27,勢力マスタ[],2,FALSE),"")</f>
        <v>アーロン一味</v>
      </c>
      <c r="P27" t="s">
        <v>1454</v>
      </c>
      <c r="R27" s="6" t="str">
        <f>IFERROR(VLOOKUP(P27,キャラマスタ[],2,FALSE),"")</f>
        <v>チュウ</v>
      </c>
      <c r="S27" s="6" t="str">
        <f>IFERROR(VLOOKUP(Q27,キャラマスタ[],2,FALSE),"")</f>
        <v/>
      </c>
      <c r="T27" t="s">
        <v>1690</v>
      </c>
      <c r="U27" t="str">
        <f>+IFERROR(VLOOKUP(テーブル10[[#This Row],[技ID]],技マスタ[],2,FALSE),"")</f>
        <v>ウソップハンマー</v>
      </c>
      <c r="V27" t="s">
        <v>285</v>
      </c>
    </row>
    <row r="28" spans="1:23">
      <c r="A28" t="s">
        <v>1528</v>
      </c>
      <c r="B28">
        <v>10</v>
      </c>
      <c r="C28">
        <v>82</v>
      </c>
      <c r="D28">
        <v>0</v>
      </c>
      <c r="E28">
        <v>8.6999999999999993</v>
      </c>
      <c r="F28" t="s">
        <v>1532</v>
      </c>
      <c r="G28" s="6" t="str">
        <f>VLOOKUP(F28,場所マスタ!$A$1:$I$125,5,FALSE)</f>
        <v>アーロンパーク</v>
      </c>
      <c r="H28" t="s">
        <v>507</v>
      </c>
      <c r="I28" s="6" t="str">
        <f>IFERROR(VLOOKUP(H28,勢力マスタ[],2,FALSE),"")</f>
        <v>麦わらの一味</v>
      </c>
      <c r="J28" s="10" t="s">
        <v>288</v>
      </c>
      <c r="L28" s="6" t="str">
        <f>IFERROR(VLOOKUP(J28,キャラマスタ[],2,FALSE),"")</f>
        <v>モンキー・D・ルフィ</v>
      </c>
      <c r="M28" s="6" t="str">
        <f>IFERROR(VLOOKUP(K28,キャラマスタ[],2,FALSE),"")</f>
        <v/>
      </c>
      <c r="N28" t="s">
        <v>1292</v>
      </c>
      <c r="O28" s="6" t="str">
        <f>IFERROR(VLOOKUP(N28,勢力マスタ[],2,FALSE),"")</f>
        <v>アーロン一味</v>
      </c>
      <c r="P28" t="s">
        <v>1310</v>
      </c>
      <c r="R28" s="6" t="str">
        <f>IFERROR(VLOOKUP(P28,キャラマスタ[],2,FALSE),"")</f>
        <v>アーロン</v>
      </c>
      <c r="S28" s="6" t="str">
        <f>IFERROR(VLOOKUP(Q28,キャラマスタ[],2,FALSE),"")</f>
        <v/>
      </c>
      <c r="T28" t="s">
        <v>1262</v>
      </c>
      <c r="U28" t="str">
        <f>+IFERROR(VLOOKUP(テーブル10[[#This Row],[技ID]],技マスタ[],2,FALSE),"")</f>
        <v>ゴムゴムの戦斧（オノ）</v>
      </c>
      <c r="V28" t="s">
        <v>285</v>
      </c>
    </row>
    <row r="29" spans="1:23">
      <c r="A29" t="s">
        <v>1529</v>
      </c>
      <c r="B29">
        <v>12</v>
      </c>
      <c r="C29">
        <v>100</v>
      </c>
      <c r="D29">
        <v>0</v>
      </c>
      <c r="E29">
        <v>11.2</v>
      </c>
      <c r="F29" t="s">
        <v>1996</v>
      </c>
      <c r="G29" s="6" t="str">
        <f>VLOOKUP(F29,場所マスタ!$A$1:$I$125,5,FALSE)</f>
        <v>ローグタウン</v>
      </c>
      <c r="H29" t="s">
        <v>446</v>
      </c>
      <c r="I29" s="6" t="str">
        <f>IFERROR(VLOOKUP(H29,勢力マスタ[],2,FALSE),"")</f>
        <v>海軍</v>
      </c>
      <c r="J29" t="s">
        <v>1806</v>
      </c>
      <c r="L29" s="6" t="str">
        <f>IFERROR(VLOOKUP(J29,キャラマスタ[],2,FALSE),"")</f>
        <v>スモーカー</v>
      </c>
      <c r="M29" s="6" t="str">
        <f>IFERROR(VLOOKUP(K29,キャラマスタ[],2,FALSE),"")</f>
        <v/>
      </c>
      <c r="N29" t="s">
        <v>449</v>
      </c>
      <c r="O29" s="6" t="str">
        <f>IFERROR(VLOOKUP(N29,勢力マスタ[],2,FALSE),"")</f>
        <v>バギー海賊団</v>
      </c>
      <c r="P29" t="s">
        <v>570</v>
      </c>
      <c r="R29" s="6" t="str">
        <f>IFERROR(VLOOKUP(P29,キャラマスタ[],2,FALSE),"")</f>
        <v>バギー</v>
      </c>
      <c r="S29" s="6" t="str">
        <f>IFERROR(VLOOKUP(Q29,キャラマスタ[],2,FALSE),"")</f>
        <v/>
      </c>
      <c r="T29" t="s">
        <v>1970</v>
      </c>
      <c r="U29" t="str">
        <f>+IFERROR(VLOOKUP(テーブル10[[#This Row],[技ID]],技マスタ[],2,FALSE),"")</f>
        <v>ホワイト・アウト</v>
      </c>
      <c r="V29" t="s">
        <v>1997</v>
      </c>
    </row>
    <row r="30" spans="1:23">
      <c r="A30" t="s">
        <v>1530</v>
      </c>
      <c r="B30">
        <v>12</v>
      </c>
      <c r="C30">
        <v>100</v>
      </c>
      <c r="D30">
        <v>0</v>
      </c>
      <c r="E30">
        <v>11.2</v>
      </c>
      <c r="F30" t="s">
        <v>1996</v>
      </c>
      <c r="G30" s="6" t="str">
        <f>VLOOKUP(F30,場所マスタ!$A$1:$I$125,5,FALSE)</f>
        <v>ローグタウン</v>
      </c>
      <c r="H30" t="s">
        <v>446</v>
      </c>
      <c r="I30" s="6" t="str">
        <f>IFERROR(VLOOKUP(H30,勢力マスタ[],2,FALSE),"")</f>
        <v>海軍</v>
      </c>
      <c r="J30" t="s">
        <v>1806</v>
      </c>
      <c r="L30" s="6" t="str">
        <f>IFERROR(VLOOKUP(J30,キャラマスタ[],2,FALSE),"")</f>
        <v>スモーカー</v>
      </c>
      <c r="M30" s="6" t="str">
        <f>IFERROR(VLOOKUP(K30,キャラマスタ[],2,FALSE),"")</f>
        <v/>
      </c>
      <c r="N30" t="s">
        <v>443</v>
      </c>
      <c r="O30" s="6" t="str">
        <f>IFERROR(VLOOKUP(N30,勢力マスタ[],2,FALSE),"")</f>
        <v>アルビダ海賊団</v>
      </c>
      <c r="P30" t="s">
        <v>304</v>
      </c>
      <c r="R30" s="6" t="str">
        <f>IFERROR(VLOOKUP(P30,キャラマスタ[],2,FALSE),"")</f>
        <v>アルビダ</v>
      </c>
      <c r="S30" s="6" t="str">
        <f>IFERROR(VLOOKUP(Q30,キャラマスタ[],2,FALSE),"")</f>
        <v/>
      </c>
      <c r="T30" t="s">
        <v>1970</v>
      </c>
      <c r="U30" t="str">
        <f>+IFERROR(VLOOKUP(テーブル10[[#This Row],[技ID]],技マスタ[],2,FALSE),"")</f>
        <v>ホワイト・アウト</v>
      </c>
      <c r="V30" t="s">
        <v>1997</v>
      </c>
    </row>
    <row r="31" spans="1:23">
      <c r="A31" t="s">
        <v>1531</v>
      </c>
      <c r="B31">
        <v>12</v>
      </c>
      <c r="C31">
        <v>104</v>
      </c>
      <c r="D31">
        <v>0</v>
      </c>
      <c r="E31">
        <v>11.5</v>
      </c>
      <c r="F31" s="29" t="s">
        <v>2035</v>
      </c>
      <c r="G31" s="6" t="str">
        <f>VLOOKUP(F31,場所マスタ!$A$1:$I$125,5,FALSE)</f>
        <v>双子岬</v>
      </c>
      <c r="H31" s="29" t="s">
        <v>507</v>
      </c>
      <c r="I31" s="6" t="str">
        <f>IFERROR(VLOOKUP(H31,勢力マスタ[],2,FALSE),"")</f>
        <v>麦わらの一味</v>
      </c>
      <c r="J31" s="10" t="s">
        <v>288</v>
      </c>
      <c r="L31" s="6" t="str">
        <f>IFERROR(VLOOKUP(J31,キャラマスタ[],2,FALSE),"")</f>
        <v>モンキー・D・ルフィ</v>
      </c>
      <c r="M31" s="6" t="str">
        <f>IFERROR(VLOOKUP(K31,キャラマスタ[],2,FALSE),"")</f>
        <v/>
      </c>
      <c r="N31" s="29" t="s">
        <v>2052</v>
      </c>
      <c r="O31" s="6" t="str">
        <f>IFERROR(VLOOKUP(N31,勢力マスタ[],2,FALSE),"")</f>
        <v>無所属</v>
      </c>
      <c r="P31" s="29" t="s">
        <v>1908</v>
      </c>
      <c r="R31" s="6" t="str">
        <f>IFERROR(VLOOKUP(P31,キャラマスタ[],2,FALSE),"")</f>
        <v>ラブーン</v>
      </c>
      <c r="S31" s="6" t="str">
        <f>IFERROR(VLOOKUP(Q31,キャラマスタ[],2,FALSE),"")</f>
        <v/>
      </c>
      <c r="T31" s="16"/>
      <c r="U31" t="str">
        <f>+IFERROR(VLOOKUP(テーブル10[[#This Row],[技ID]],技マスタ[],2,FALSE),"")</f>
        <v/>
      </c>
      <c r="V31" t="s">
        <v>285</v>
      </c>
    </row>
    <row r="32" spans="1:23">
      <c r="A32" s="29" t="s">
        <v>2181</v>
      </c>
      <c r="B32" s="29">
        <v>13</v>
      </c>
      <c r="C32" s="29">
        <v>110</v>
      </c>
      <c r="D32" s="29">
        <v>0</v>
      </c>
      <c r="E32" s="29">
        <v>11.8</v>
      </c>
      <c r="F32" s="29" t="s">
        <v>2053</v>
      </c>
      <c r="G32" s="6" t="str">
        <f>VLOOKUP(F32,場所マスタ!$A$1:$I$125,5,FALSE)</f>
        <v>ウイスキーピーク</v>
      </c>
      <c r="H32" s="29" t="s">
        <v>507</v>
      </c>
      <c r="I32" s="6" t="str">
        <f>IFERROR(VLOOKUP(H32,勢力マスタ[],2,FALSE),"")</f>
        <v>麦わらの一味</v>
      </c>
      <c r="J32" s="10" t="s">
        <v>308</v>
      </c>
      <c r="K32" s="29"/>
      <c r="L32" s="6" t="str">
        <f>IFERROR(VLOOKUP(J32,キャラマスタ[],2,FALSE),"")</f>
        <v>ロロノア・ゾロ</v>
      </c>
      <c r="M32" s="6" t="str">
        <f>IFERROR(VLOOKUP(K32,キャラマスタ[],2,FALSE),"")</f>
        <v/>
      </c>
      <c r="N32" s="29" t="s">
        <v>2156</v>
      </c>
      <c r="O32" s="6" t="str">
        <f>IFERROR(VLOOKUP(N32,勢力マスタ[],2,FALSE),"")</f>
        <v>バロック・ワークス</v>
      </c>
      <c r="P32" s="29"/>
      <c r="Q32" s="29"/>
      <c r="R32" s="6" t="str">
        <f>IFERROR(VLOOKUP(P32,キャラマスタ[],2,FALSE),"")</f>
        <v/>
      </c>
      <c r="S32" s="6" t="str">
        <f>IFERROR(VLOOKUP(Q32,キャラマスタ[],2,FALSE),"")</f>
        <v/>
      </c>
      <c r="T32" s="16"/>
      <c r="U32" s="29" t="str">
        <f>+IFERROR(VLOOKUP(テーブル10[[#This Row],[技ID]],技マスタ[],2,FALSE),"")</f>
        <v/>
      </c>
      <c r="V32" s="29" t="s">
        <v>1997</v>
      </c>
      <c r="W32" s="29"/>
    </row>
    <row r="33" spans="1:23">
      <c r="A33" s="29" t="s">
        <v>2182</v>
      </c>
      <c r="B33" s="29">
        <v>13</v>
      </c>
      <c r="C33" s="29">
        <v>112</v>
      </c>
      <c r="D33" s="29">
        <v>0</v>
      </c>
      <c r="E33" s="29">
        <v>11.8</v>
      </c>
      <c r="F33" s="29" t="s">
        <v>2053</v>
      </c>
      <c r="G33" s="6" t="str">
        <f>VLOOKUP(F33,場所マスタ!$A$1:$I$125,5,FALSE)</f>
        <v>ウイスキーピーク</v>
      </c>
      <c r="H33" s="29" t="s">
        <v>507</v>
      </c>
      <c r="I33" s="6" t="str">
        <f>IFERROR(VLOOKUP(H33,勢力マスタ[],2,FALSE),"")</f>
        <v>麦わらの一味</v>
      </c>
      <c r="J33" s="10" t="s">
        <v>288</v>
      </c>
      <c r="K33" s="29"/>
      <c r="L33" s="6" t="str">
        <f>IFERROR(VLOOKUP(J33,キャラマスタ[],2,FALSE),"")</f>
        <v>モンキー・D・ルフィ</v>
      </c>
      <c r="M33" s="6" t="str">
        <f>IFERROR(VLOOKUP(K33,キャラマスタ[],2,FALSE),"")</f>
        <v/>
      </c>
      <c r="N33" s="29" t="s">
        <v>439</v>
      </c>
      <c r="O33" s="6" t="str">
        <f>IFERROR(VLOOKUP(N33,勢力マスタ[],2,FALSE),"")</f>
        <v>麦わらの一味</v>
      </c>
      <c r="P33" s="10" t="s">
        <v>308</v>
      </c>
      <c r="Q33" s="29"/>
      <c r="R33" s="6" t="str">
        <f>IFERROR(VLOOKUP(P33,キャラマスタ[],2,FALSE),"")</f>
        <v>ロロノア・ゾロ</v>
      </c>
      <c r="S33" s="6" t="str">
        <f>IFERROR(VLOOKUP(Q33,キャラマスタ[],2,FALSE),"")</f>
        <v/>
      </c>
      <c r="T33" s="16"/>
      <c r="U33" s="29" t="str">
        <f>+IFERROR(VLOOKUP(テーブル10[[#This Row],[技ID]],技マスタ[],2,FALSE),"")</f>
        <v/>
      </c>
      <c r="V33" s="29" t="s">
        <v>285</v>
      </c>
      <c r="W33" s="29"/>
    </row>
    <row r="34" spans="1:23">
      <c r="A34" s="29" t="s">
        <v>2183</v>
      </c>
      <c r="B34" s="29">
        <v>13</v>
      </c>
      <c r="C34" s="29">
        <v>112</v>
      </c>
      <c r="D34" s="29">
        <v>0</v>
      </c>
      <c r="E34" s="29">
        <v>11.8</v>
      </c>
      <c r="F34" s="29" t="s">
        <v>2053</v>
      </c>
      <c r="G34" s="6" t="str">
        <f>VLOOKUP(F34,場所マスタ!$A$1:$I$125,5,FALSE)</f>
        <v>ウイスキーピーク</v>
      </c>
      <c r="H34" s="29" t="s">
        <v>507</v>
      </c>
      <c r="I34" s="6" t="str">
        <f>IFERROR(VLOOKUP(H34,勢力マスタ[],2,FALSE),"")</f>
        <v>麦わらの一味</v>
      </c>
      <c r="J34" s="10" t="s">
        <v>288</v>
      </c>
      <c r="K34" s="10" t="s">
        <v>308</v>
      </c>
      <c r="L34" s="6" t="str">
        <f>IFERROR(VLOOKUP(J34,キャラマスタ[],2,FALSE),"")</f>
        <v>モンキー・D・ルフィ</v>
      </c>
      <c r="M34" s="6" t="str">
        <f>IFERROR(VLOOKUP(K34,キャラマスタ[],2,FALSE),"")</f>
        <v>ロロノア・ゾロ</v>
      </c>
      <c r="N34" s="29" t="s">
        <v>2156</v>
      </c>
      <c r="O34" s="6" t="str">
        <f>IFERROR(VLOOKUP(N34,勢力マスタ[],2,FALSE),"")</f>
        <v>バロック・ワークス</v>
      </c>
      <c r="P34" s="29" t="s">
        <v>2072</v>
      </c>
      <c r="Q34" s="29" t="s">
        <v>2186</v>
      </c>
      <c r="R34" s="6" t="str">
        <f>IFERROR(VLOOKUP(P34,キャラマスタ[],2,FALSE),"")</f>
        <v>Mr.5</v>
      </c>
      <c r="S34" s="6" t="str">
        <f>IFERROR(VLOOKUP(Q34,キャラマスタ[],2,FALSE),"")</f>
        <v>ミス・バレンタイン</v>
      </c>
      <c r="T34" s="16"/>
      <c r="U34" s="29" t="str">
        <f>+IFERROR(VLOOKUP(テーブル10[[#This Row],[技ID]],技マスタ[],2,FALSE),"")</f>
        <v/>
      </c>
      <c r="V34" s="29" t="s">
        <v>285</v>
      </c>
      <c r="W34" s="29"/>
    </row>
    <row r="35" spans="1:23">
      <c r="A35" s="29" t="s">
        <v>2184</v>
      </c>
      <c r="B35" s="29"/>
      <c r="C35" s="29"/>
      <c r="D35" s="29"/>
      <c r="E35" s="29"/>
      <c r="F35" s="29"/>
      <c r="G35" s="6" t="e">
        <f>VLOOKUP(F35,場所マスタ!$A$1:$I$125,5,FALSE)</f>
        <v>#N/A</v>
      </c>
      <c r="H35" s="29"/>
      <c r="I35" s="6" t="str">
        <f>IFERROR(VLOOKUP(H35,勢力マスタ[],2,FALSE),"")</f>
        <v/>
      </c>
      <c r="J35" s="34"/>
      <c r="K35" s="29"/>
      <c r="L35" s="6" t="str">
        <f>IFERROR(VLOOKUP(J35,キャラマスタ[],2,FALSE),"")</f>
        <v/>
      </c>
      <c r="M35" s="6" t="str">
        <f>IFERROR(VLOOKUP(K35,キャラマスタ[],2,FALSE),"")</f>
        <v/>
      </c>
      <c r="N35" s="29"/>
      <c r="O35" s="6" t="str">
        <f>IFERROR(VLOOKUP(N35,勢力マスタ[],2,FALSE),"")</f>
        <v/>
      </c>
      <c r="P35" s="29"/>
      <c r="Q35" s="29"/>
      <c r="R35" s="6" t="str">
        <f>IFERROR(VLOOKUP(P35,キャラマスタ[],2,FALSE),"")</f>
        <v/>
      </c>
      <c r="S35" s="6" t="str">
        <f>IFERROR(VLOOKUP(Q35,キャラマスタ[],2,FALSE),"")</f>
        <v/>
      </c>
      <c r="T35" s="16"/>
      <c r="U35" s="29" t="str">
        <f>+IFERROR(VLOOKUP(テーブル10[[#This Row],[技ID]],技マスタ[],2,FALSE),"")</f>
        <v/>
      </c>
      <c r="V35" s="29"/>
      <c r="W35" s="29"/>
    </row>
    <row r="36" spans="1:23">
      <c r="A36" s="29" t="s">
        <v>2185</v>
      </c>
      <c r="B36" s="29"/>
      <c r="C36" s="29"/>
      <c r="D36" s="29"/>
      <c r="E36" s="29"/>
      <c r="F36" s="29"/>
      <c r="G36" s="6" t="e">
        <f>VLOOKUP(F36,場所マスタ!$A$1:$I$125,5,FALSE)</f>
        <v>#N/A</v>
      </c>
      <c r="H36" s="29"/>
      <c r="I36" s="6" t="str">
        <f>IFERROR(VLOOKUP(H36,勢力マスタ[],2,FALSE),"")</f>
        <v/>
      </c>
      <c r="J36" s="34"/>
      <c r="K36" s="29"/>
      <c r="L36" s="6" t="str">
        <f>IFERROR(VLOOKUP(J36,キャラマスタ[],2,FALSE),"")</f>
        <v/>
      </c>
      <c r="M36" s="6" t="str">
        <f>IFERROR(VLOOKUP(K36,キャラマスタ[],2,FALSE),"")</f>
        <v/>
      </c>
      <c r="N36" s="29"/>
      <c r="O36" s="6" t="str">
        <f>IFERROR(VLOOKUP(N36,勢力マスタ[],2,FALSE),"")</f>
        <v/>
      </c>
      <c r="P36" s="29"/>
      <c r="Q36" s="29"/>
      <c r="R36" s="6" t="str">
        <f>IFERROR(VLOOKUP(P36,キャラマスタ[],2,FALSE),"")</f>
        <v/>
      </c>
      <c r="S36" s="6" t="str">
        <f>IFERROR(VLOOKUP(Q36,キャラマスタ[],2,FALSE),"")</f>
        <v/>
      </c>
      <c r="T36" s="16"/>
      <c r="U36" s="29" t="str">
        <f>+IFERROR(VLOOKUP(テーブル10[[#This Row],[技ID]],技マスタ[],2,FALSE),"")</f>
        <v/>
      </c>
      <c r="V36" s="29"/>
      <c r="W36" s="29"/>
    </row>
  </sheetData>
  <phoneticPr fontId="1"/>
  <dataValidations count="2">
    <dataValidation type="list" allowBlank="1" showInputMessage="1" showErrorMessage="1" sqref="P37:P1048576 P29:P30 Q2:Q13 P1:P13" xr:uid="{9EA71836-F1B9-4F2D-8FDB-5BE10935A9F2}">
      <formula1>$A$2:$A$90</formula1>
    </dataValidation>
    <dataValidation type="list" allowBlank="1" showInputMessage="1" showErrorMessage="1" sqref="V2:V58" xr:uid="{445F4365-9CFF-487C-B6FC-6BC89DE4664C}">
      <formula1>"タイマン,チーム戦,乱戦,軍団戦,艦隊戦,サバイバル,攻城戦,競技,処刑,小競り合い"</formula1>
    </dataValidation>
  </dataValidations>
  <pageMargins left="0.7" right="0.7" top="0.75" bottom="0.75" header="0.3" footer="0.3"/>
  <pageSetup paperSize="9" orientation="portrait" verticalDpi="0"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D59F5A20-84B6-45DE-9F14-A5D905FC7E1E}">
          <x14:formula1>
            <xm:f>勢力マスタ!$A:$A</xm:f>
          </x14:formula1>
          <xm:sqref>H17 N2:N16 H2:H14 N18:N20 H21 N22 H23:H28 H31:H36</xm:sqref>
        </x14:dataValidation>
        <x14:dataValidation type="list" allowBlank="1" showInputMessage="1" showErrorMessage="1" xr:uid="{EE205B3C-1E83-4495-85F0-B672210416B7}">
          <x14:formula1>
            <xm:f>キャラクターマスタ!$A$2:$A$70</xm:f>
          </x14:formula1>
          <xm:sqref>Q15:Q33 Q35:Q36</xm:sqref>
        </x14:dataValidation>
        <x14:dataValidation type="list" allowBlank="1" showInputMessage="1" showErrorMessage="1" xr:uid="{3AFA041D-D05F-44D1-8335-6C8E4216782F}">
          <x14:formula1>
            <xm:f>技マスタ!#REF!</xm:f>
          </x14:formula1>
          <xm:sqref>T37:T1048576 T1:T8</xm:sqref>
        </x14:dataValidation>
        <x14:dataValidation type="list" allowBlank="1" showInputMessage="1" showErrorMessage="1" xr:uid="{6A2AB76F-A1D6-40DA-93E1-AEE3B9369D43}">
          <x14:formula1>
            <xm:f>場所マスタ!$A$2:$A$124</xm:f>
          </x14:formula1>
          <xm:sqref>F2:F6</xm:sqref>
        </x14:dataValidation>
        <x14:dataValidation type="list" allowBlank="1" showInputMessage="1" showErrorMessage="1" xr:uid="{F7124BB9-CB5F-48A8-8F47-6C2AB67C5639}">
          <x14:formula1>
            <xm:f>キャラクターマスタ!$A:$A</xm:f>
          </x14:formula1>
          <xm:sqref>J2:J13 J17 K2:K20 P22 J20:J25 J27:J28 P33 J31:J36 K34</xm:sqref>
        </x14:dataValidation>
        <x14:dataValidation type="list" allowBlank="1" showInputMessage="1" showErrorMessage="1" xr:uid="{8AD6A9E1-4CD0-410E-9497-AFB652AA2A2B}">
          <x14:formula1>
            <xm:f>技マスタ!$A:$A</xm:f>
          </x14:formula1>
          <xm:sqref>T20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AE28E-A9C1-45B1-888E-1F91DF1D5197}">
  <sheetPr>
    <tabColor theme="4" tint="0.59999389629810485"/>
  </sheetPr>
  <dimension ref="A1:I191"/>
  <sheetViews>
    <sheetView workbookViewId="0"/>
  </sheetViews>
  <sheetFormatPr defaultColWidth="8.875" defaultRowHeight="18.75"/>
  <cols>
    <col min="1" max="1" width="10.5" style="16" customWidth="1"/>
    <col min="2" max="2" width="20.625" style="16" bestFit="1" customWidth="1"/>
    <col min="3" max="3" width="7.5" style="16" bestFit="1" customWidth="1"/>
    <col min="4" max="4" width="25.5" style="16" bestFit="1" customWidth="1"/>
    <col min="5" max="7" width="8.875" style="16"/>
    <col min="8" max="8" width="20.625" style="16" bestFit="1" customWidth="1"/>
    <col min="9" max="9" width="15.875" style="16" customWidth="1"/>
    <col min="10" max="16384" width="8.875" style="16"/>
  </cols>
  <sheetData>
    <row r="1" spans="1:9" customFormat="1">
      <c r="A1" t="s">
        <v>425</v>
      </c>
      <c r="B1" s="6" t="s">
        <v>165</v>
      </c>
      <c r="C1" t="s">
        <v>426</v>
      </c>
      <c r="D1" s="6" t="s">
        <v>166</v>
      </c>
      <c r="E1" t="s">
        <v>92</v>
      </c>
      <c r="F1" t="s">
        <v>105</v>
      </c>
      <c r="G1" t="s">
        <v>427</v>
      </c>
      <c r="H1" s="6" t="s">
        <v>167</v>
      </c>
      <c r="I1" t="s">
        <v>168</v>
      </c>
    </row>
    <row r="2" spans="1:9" customFormat="1">
      <c r="A2" t="s">
        <v>288</v>
      </c>
      <c r="B2" s="6" t="str">
        <f>VLOOKUP(A2,キャラマスタ[],2,FALSE)</f>
        <v>モンキー・D・ルフィ</v>
      </c>
      <c r="C2" t="s">
        <v>419</v>
      </c>
      <c r="D2" s="6" t="str">
        <f>VLOOKUP(C2,技マスタ!$A$1:$J$605,2,FALSE)</f>
        <v>ゴムゴムの銃（ピストル）</v>
      </c>
      <c r="E2">
        <v>1</v>
      </c>
      <c r="F2">
        <v>1</v>
      </c>
      <c r="G2" t="s">
        <v>432</v>
      </c>
      <c r="H2" s="6" t="str">
        <f>IFERROR(VLOOKUP(G2,キャラマスタ[],2,FALSE),"")</f>
        <v>近海の主</v>
      </c>
      <c r="I2">
        <v>1</v>
      </c>
    </row>
    <row r="3" spans="1:9" customFormat="1">
      <c r="A3" t="s">
        <v>288</v>
      </c>
      <c r="B3" s="6" t="str">
        <f>VLOOKUP(A3,キャラマスタ[],2,FALSE)</f>
        <v>モンキー・D・ルフィ</v>
      </c>
      <c r="C3" t="s">
        <v>419</v>
      </c>
      <c r="D3" s="6" t="str">
        <f>VLOOKUP(C3,技マスタ!$A$1:$J$605,2,FALSE)</f>
        <v>ゴムゴムの銃（ピストル）</v>
      </c>
      <c r="E3">
        <v>1</v>
      </c>
      <c r="F3">
        <v>2</v>
      </c>
      <c r="G3" t="s">
        <v>433</v>
      </c>
      <c r="H3" s="6" t="str">
        <f>IFERROR(VLOOKUP(G3,キャラマスタ[],2,FALSE),"")</f>
        <v>アルビダ</v>
      </c>
      <c r="I3">
        <v>1</v>
      </c>
    </row>
    <row r="4" spans="1:9" customFormat="1">
      <c r="A4" t="s">
        <v>288</v>
      </c>
      <c r="B4" s="6" t="str">
        <f>VLOOKUP(A4,キャラマスタ[],2,FALSE)</f>
        <v>モンキー・D・ルフィ</v>
      </c>
      <c r="C4" t="s">
        <v>983</v>
      </c>
      <c r="D4" s="6" t="str">
        <f>VLOOKUP(C4,技マスタ!$A$1:$J$605,2,FALSE)</f>
        <v>ゴムゴムのロケット</v>
      </c>
      <c r="E4">
        <v>1</v>
      </c>
      <c r="F4">
        <v>4</v>
      </c>
      <c r="H4" s="6" t="str">
        <f>IFERROR(VLOOKUP(G4,キャラマスタ[],2,FALSE),"")</f>
        <v/>
      </c>
    </row>
    <row r="5" spans="1:9" customFormat="1">
      <c r="A5" t="s">
        <v>288</v>
      </c>
      <c r="B5" s="6" t="str">
        <f>VLOOKUP(A5,キャラマスタ[],2,FALSE)</f>
        <v>モンキー・D・ルフィ</v>
      </c>
      <c r="C5" t="s">
        <v>984</v>
      </c>
      <c r="D5" s="6" t="str">
        <f>VLOOKUP(C5,技マスタ!$A$1:$J$605,2,FALSE)</f>
        <v>ゴムゴムの鞭（ムチ）</v>
      </c>
      <c r="E5">
        <v>1</v>
      </c>
      <c r="F5">
        <v>6</v>
      </c>
      <c r="H5" s="6" t="str">
        <f>IFERROR(VLOOKUP(G5,キャラマスタ[],2,FALSE),"")</f>
        <v/>
      </c>
    </row>
    <row r="6" spans="1:9" customFormat="1">
      <c r="A6" t="s">
        <v>288</v>
      </c>
      <c r="B6" s="6" t="str">
        <f>VLOOKUP(A6,キャラマスタ[],2,FALSE)</f>
        <v>モンキー・D・ルフィ</v>
      </c>
      <c r="C6" t="s">
        <v>419</v>
      </c>
      <c r="D6" s="6" t="str">
        <f>VLOOKUP(C6,技マスタ!$A$1:$J$605,2,FALSE)</f>
        <v>ゴムゴムの銃（ピストル）</v>
      </c>
      <c r="E6">
        <v>1</v>
      </c>
      <c r="F6">
        <v>6</v>
      </c>
      <c r="G6" t="s">
        <v>434</v>
      </c>
      <c r="H6" s="6" t="str">
        <f>IFERROR(VLOOKUP(G6,キャラマスタ[],2,FALSE),"")</f>
        <v>ヘルメッポ</v>
      </c>
      <c r="I6">
        <v>1</v>
      </c>
    </row>
    <row r="7" spans="1:9" customFormat="1">
      <c r="A7" t="s">
        <v>288</v>
      </c>
      <c r="B7" s="6" t="str">
        <f>VLOOKUP(A7,キャラマスタ[],2,FALSE)</f>
        <v>モンキー・D・ルフィ</v>
      </c>
      <c r="C7" t="s">
        <v>983</v>
      </c>
      <c r="D7" s="6" t="str">
        <f>VLOOKUP(C7,技マスタ!$A$1:$J$605,2,FALSE)</f>
        <v>ゴムゴムのロケット</v>
      </c>
      <c r="E7">
        <v>1</v>
      </c>
      <c r="F7">
        <v>8</v>
      </c>
      <c r="G7" t="s">
        <v>319</v>
      </c>
      <c r="H7" s="6" t="str">
        <f>IFERROR(VLOOKUP(G7,キャラマスタ[],2,FALSE),"")</f>
        <v>怪鳥ピンキー</v>
      </c>
    </row>
    <row r="8" spans="1:9" customFormat="1">
      <c r="A8" t="s">
        <v>570</v>
      </c>
      <c r="B8" s="6" t="str">
        <f>VLOOKUP(A8,キャラマスタ[],2,FALSE)</f>
        <v>バギー</v>
      </c>
      <c r="C8" t="s">
        <v>985</v>
      </c>
      <c r="D8" s="6" t="str">
        <f>VLOOKUP(C8,技マスタ!$A$1:$J$605,2,FALSE)</f>
        <v>特製バギー玉</v>
      </c>
      <c r="E8">
        <v>2</v>
      </c>
      <c r="F8">
        <v>10</v>
      </c>
      <c r="H8" s="6" t="str">
        <f>IFERROR(VLOOKUP(G8,キャラマスタ[],2,FALSE),"")</f>
        <v/>
      </c>
    </row>
    <row r="9" spans="1:9" customFormat="1">
      <c r="A9" t="s">
        <v>570</v>
      </c>
      <c r="B9" s="6" t="str">
        <f>VLOOKUP(A9,キャラマスタ[],2,FALSE)</f>
        <v>バギー</v>
      </c>
      <c r="C9" t="s">
        <v>986</v>
      </c>
      <c r="D9" s="6" t="str">
        <f>VLOOKUP(C9,技マスタ!$A$1:$J$605,2,FALSE)</f>
        <v>バラバラ砲</v>
      </c>
      <c r="E9">
        <v>2</v>
      </c>
      <c r="F9">
        <v>11</v>
      </c>
      <c r="G9" t="s">
        <v>308</v>
      </c>
      <c r="H9" s="6" t="str">
        <f>IFERROR(VLOOKUP(G9,キャラマスタ[],2,FALSE),"")</f>
        <v>ロロノア・ゾロ</v>
      </c>
    </row>
    <row r="10" spans="1:9" customFormat="1">
      <c r="A10" t="s">
        <v>288</v>
      </c>
      <c r="B10" s="6" t="str">
        <f>VLOOKUP(A10,キャラマスタ[],2,FALSE)</f>
        <v>モンキー・D・ルフィ</v>
      </c>
      <c r="C10" t="s">
        <v>987</v>
      </c>
      <c r="D10" s="6" t="str">
        <f>VLOOKUP(C10,技マスタ!$A$1:$J$605,2,FALSE)</f>
        <v>ゴムゴムの槌（ツチ）</v>
      </c>
      <c r="E10">
        <v>2</v>
      </c>
      <c r="F10">
        <v>13</v>
      </c>
      <c r="G10" t="s">
        <v>575</v>
      </c>
      <c r="H10" s="6" t="str">
        <f>IFERROR(VLOOKUP(G10,キャラマスタ[],2,FALSE),"")</f>
        <v>リッチー</v>
      </c>
      <c r="I10">
        <v>1</v>
      </c>
    </row>
    <row r="11" spans="1:9" customFormat="1">
      <c r="A11" t="s">
        <v>570</v>
      </c>
      <c r="B11" s="6" t="str">
        <f>VLOOKUP(A11,キャラマスタ[],2,FALSE)</f>
        <v>バギー</v>
      </c>
      <c r="C11" t="s">
        <v>985</v>
      </c>
      <c r="D11" s="6" t="str">
        <f>VLOOKUP(C11,技マスタ!$A$1:$J$605,2,FALSE)</f>
        <v>特製バギー玉</v>
      </c>
      <c r="E11">
        <v>2</v>
      </c>
      <c r="F11">
        <v>14</v>
      </c>
      <c r="H11" s="6" t="str">
        <f>IFERROR(VLOOKUP(G11,キャラマスタ[],2,FALSE),"")</f>
        <v/>
      </c>
    </row>
    <row r="12" spans="1:9" customFormat="1">
      <c r="A12" t="s">
        <v>570</v>
      </c>
      <c r="B12" s="6" t="str">
        <f>VLOOKUP(A12,キャラマスタ[],2,FALSE)</f>
        <v>バギー</v>
      </c>
      <c r="C12" t="s">
        <v>985</v>
      </c>
      <c r="D12" s="6" t="str">
        <f>VLOOKUP(C12,技マスタ!$A$1:$J$605,2,FALSE)</f>
        <v>特製バギー玉</v>
      </c>
      <c r="E12">
        <v>2</v>
      </c>
      <c r="F12">
        <v>15</v>
      </c>
      <c r="G12" t="s">
        <v>411</v>
      </c>
      <c r="H12" s="6" t="str">
        <f>IFERROR(VLOOKUP(G12,キャラマスタ[],2,FALSE),"")</f>
        <v>モンキー・D・ルフィ</v>
      </c>
    </row>
    <row r="13" spans="1:9" customFormat="1">
      <c r="A13" t="s">
        <v>288</v>
      </c>
      <c r="B13" s="6" t="str">
        <f>VLOOKUP(A13,キャラマスタ[],2,FALSE)</f>
        <v>モンキー・D・ルフィ</v>
      </c>
      <c r="C13" t="s">
        <v>988</v>
      </c>
      <c r="D13" s="6" t="str">
        <f>VLOOKUP(C13,技マスタ!$A$1:$J$605,2,FALSE)</f>
        <v>ゴムゴムの風船</v>
      </c>
      <c r="E13">
        <v>2</v>
      </c>
      <c r="F13">
        <v>15</v>
      </c>
      <c r="H13" s="6" t="str">
        <f>IFERROR(VLOOKUP(G13,キャラマスタ[],2,FALSE),"")</f>
        <v/>
      </c>
    </row>
    <row r="14" spans="1:9" customFormat="1">
      <c r="A14" t="s">
        <v>580</v>
      </c>
      <c r="B14" s="6" t="str">
        <f>VLOOKUP(A14,キャラマスタ[],2,FALSE)</f>
        <v>カバジ</v>
      </c>
      <c r="C14" t="s">
        <v>989</v>
      </c>
      <c r="D14" s="6" t="str">
        <f>VLOOKUP(C14,技マスタ!$A$1:$J$605,2,FALSE)</f>
        <v>曲技”火事おやじ”</v>
      </c>
      <c r="E14">
        <v>2</v>
      </c>
      <c r="F14">
        <v>16</v>
      </c>
      <c r="G14" t="s">
        <v>308</v>
      </c>
      <c r="H14" s="6" t="str">
        <f>IFERROR(VLOOKUP(G14,キャラマスタ[],2,FALSE),"")</f>
        <v>ロロノア・ゾロ</v>
      </c>
    </row>
    <row r="15" spans="1:9" customFormat="1">
      <c r="A15" t="s">
        <v>580</v>
      </c>
      <c r="B15" s="6" t="str">
        <f>VLOOKUP(A15,キャラマスタ[],2,FALSE)</f>
        <v>カバジ</v>
      </c>
      <c r="C15" t="s">
        <v>990</v>
      </c>
      <c r="D15" s="6" t="str">
        <f>VLOOKUP(C15,技マスタ!$A$1:$J$605,2,FALSE)</f>
        <v>曲技”湯けむり殺人事件”</v>
      </c>
      <c r="E15">
        <v>2</v>
      </c>
      <c r="F15">
        <v>16</v>
      </c>
      <c r="G15" t="s">
        <v>308</v>
      </c>
      <c r="H15" s="6" t="str">
        <f>IFERROR(VLOOKUP(G15,キャラマスタ[],2,FALSE),"")</f>
        <v>ロロノア・ゾロ</v>
      </c>
    </row>
    <row r="16" spans="1:9" customFormat="1">
      <c r="A16" t="s">
        <v>580</v>
      </c>
      <c r="B16" s="6" t="str">
        <f>VLOOKUP(A16,キャラマスタ[],2,FALSE)</f>
        <v>カバジ</v>
      </c>
      <c r="C16" t="s">
        <v>991</v>
      </c>
      <c r="D16" s="6" t="str">
        <f>VLOOKUP(C16,技マスタ!$A$1:$J$605,2,FALSE)</f>
        <v>曲技”カミカゼ百コマ劇場”</v>
      </c>
      <c r="E16">
        <v>2</v>
      </c>
      <c r="F16">
        <v>17</v>
      </c>
      <c r="G16" t="s">
        <v>308</v>
      </c>
      <c r="H16" s="6" t="str">
        <f>IFERROR(VLOOKUP(G16,キャラマスタ[],2,FALSE),"")</f>
        <v>ロロノア・ゾロ</v>
      </c>
    </row>
    <row r="17" spans="1:9" customFormat="1">
      <c r="A17" t="s">
        <v>580</v>
      </c>
      <c r="B17" s="6" t="str">
        <f>VLOOKUP(A17,キャラマスタ[],2,FALSE)</f>
        <v>カバジ</v>
      </c>
      <c r="C17" t="s">
        <v>992</v>
      </c>
      <c r="D17" s="6" t="str">
        <f>VLOOKUP(C17,技マスタ!$A$1:$J$605,2,FALSE)</f>
        <v>曲技”山登ろー”</v>
      </c>
      <c r="E17">
        <v>2</v>
      </c>
      <c r="F17">
        <v>17</v>
      </c>
      <c r="G17" t="s">
        <v>308</v>
      </c>
      <c r="H17" s="6" t="str">
        <f>IFERROR(VLOOKUP(G17,キャラマスタ[],2,FALSE),"")</f>
        <v>ロロノア・ゾロ</v>
      </c>
    </row>
    <row r="18" spans="1:9" customFormat="1">
      <c r="A18" t="s">
        <v>580</v>
      </c>
      <c r="B18" s="6" t="str">
        <f>VLOOKUP(A18,キャラマスタ[],2,FALSE)</f>
        <v>カバジ</v>
      </c>
      <c r="C18" t="s">
        <v>993</v>
      </c>
      <c r="D18" s="6" t="str">
        <f>VLOOKUP(C18,技マスタ!$A$1:$J$605,2,FALSE)</f>
        <v>曲技”納涼打ち上げ花火”</v>
      </c>
      <c r="E18">
        <v>2</v>
      </c>
      <c r="F18">
        <v>17</v>
      </c>
      <c r="G18" t="s">
        <v>308</v>
      </c>
      <c r="H18" s="6" t="str">
        <f>IFERROR(VLOOKUP(G18,キャラマスタ[],2,FALSE),"")</f>
        <v>ロロノア・ゾロ</v>
      </c>
    </row>
    <row r="19" spans="1:9" customFormat="1">
      <c r="A19" t="s">
        <v>580</v>
      </c>
      <c r="B19" s="6" t="str">
        <f>VLOOKUP(A19,キャラマスタ[],2,FALSE)</f>
        <v>カバジ</v>
      </c>
      <c r="C19" t="s">
        <v>994</v>
      </c>
      <c r="D19" s="6" t="str">
        <f>VLOOKUP(C19,技マスタ!$A$1:$J$605,2,FALSE)</f>
        <v>”一輪刺し”</v>
      </c>
      <c r="E19">
        <v>2</v>
      </c>
      <c r="F19">
        <v>17</v>
      </c>
      <c r="G19" t="s">
        <v>308</v>
      </c>
      <c r="H19" s="6" t="str">
        <f>IFERROR(VLOOKUP(G19,キャラマスタ[],2,FALSE),"")</f>
        <v>ロロノア・ゾロ</v>
      </c>
    </row>
    <row r="20" spans="1:9" customFormat="1">
      <c r="A20" t="s">
        <v>570</v>
      </c>
      <c r="B20" s="6" t="str">
        <f>VLOOKUP(A20,キャラマスタ[],2,FALSE)</f>
        <v>バギー</v>
      </c>
      <c r="C20" t="s">
        <v>995</v>
      </c>
      <c r="D20" s="6" t="str">
        <f>VLOOKUP(C20,技マスタ!$A$1:$J$605,2,FALSE)</f>
        <v>地をはう”バラバラ砲”</v>
      </c>
      <c r="E20">
        <v>2</v>
      </c>
      <c r="F20">
        <v>17</v>
      </c>
      <c r="G20" t="s">
        <v>308</v>
      </c>
      <c r="H20" s="6" t="str">
        <f>IFERROR(VLOOKUP(G20,キャラマスタ[],2,FALSE),"")</f>
        <v>ロロノア・ゾロ</v>
      </c>
    </row>
    <row r="21" spans="1:9" customFormat="1">
      <c r="A21" t="s">
        <v>308</v>
      </c>
      <c r="B21" s="6" t="str">
        <f>VLOOKUP(A21,キャラマスタ[],2,FALSE)</f>
        <v>ロロノア・ゾロ</v>
      </c>
      <c r="C21" t="s">
        <v>996</v>
      </c>
      <c r="D21" s="6" t="str">
        <f>VLOOKUP(C21,技マスタ!$A$1:$J$605,2,FALSE)</f>
        <v>鬼斬り</v>
      </c>
      <c r="E21">
        <v>2</v>
      </c>
      <c r="F21">
        <v>17</v>
      </c>
      <c r="G21" t="s">
        <v>580</v>
      </c>
      <c r="H21" s="6" t="str">
        <f>IFERROR(VLOOKUP(G21,キャラマスタ[],2,FALSE),"")</f>
        <v>カバジ</v>
      </c>
      <c r="I21">
        <v>1</v>
      </c>
    </row>
    <row r="22" spans="1:9" customFormat="1">
      <c r="A22" t="s">
        <v>570</v>
      </c>
      <c r="B22" s="6" t="str">
        <f>VLOOKUP(A22,キャラマスタ[],2,FALSE)</f>
        <v>バギー</v>
      </c>
      <c r="C22" t="s">
        <v>997</v>
      </c>
      <c r="D22" s="6" t="str">
        <f>VLOOKUP(C22,技マスタ!$A$1:$J$605,2,FALSE)</f>
        <v>バラバラせんべい</v>
      </c>
      <c r="E22">
        <v>3</v>
      </c>
      <c r="F22">
        <v>18</v>
      </c>
      <c r="G22" t="s">
        <v>288</v>
      </c>
      <c r="H22" s="6" t="str">
        <f>IFERROR(VLOOKUP(G22,キャラマスタ[],2,FALSE),"")</f>
        <v>モンキー・D・ルフィ</v>
      </c>
    </row>
    <row r="23" spans="1:9" customFormat="1">
      <c r="A23" t="s">
        <v>411</v>
      </c>
      <c r="B23" s="6" t="str">
        <f>VLOOKUP(A23,キャラマスタ[],2,FALSE)</f>
        <v>モンキー・D・ルフィ</v>
      </c>
      <c r="C23" t="s">
        <v>419</v>
      </c>
      <c r="D23" s="6" t="str">
        <f>VLOOKUP(C23,技マスタ!$A$1:$J$605,2,FALSE)</f>
        <v>ゴムゴムの銃（ピストル）</v>
      </c>
      <c r="E23">
        <v>3</v>
      </c>
      <c r="F23">
        <v>18</v>
      </c>
      <c r="G23" t="s">
        <v>570</v>
      </c>
      <c r="H23" s="6" t="str">
        <f>IFERROR(VLOOKUP(G23,キャラマスタ[],2,FALSE),"")</f>
        <v>バギー</v>
      </c>
    </row>
    <row r="24" spans="1:9" customFormat="1">
      <c r="A24" t="s">
        <v>570</v>
      </c>
      <c r="B24" s="6" t="str">
        <f>VLOOKUP(A24,キャラマスタ[],2,FALSE)</f>
        <v>バギー</v>
      </c>
      <c r="C24" t="s">
        <v>998</v>
      </c>
      <c r="D24" s="6" t="str">
        <f>VLOOKUP(C24,技マスタ!$A$1:$J$605,2,FALSE)</f>
        <v>バラバラ緊急脱出</v>
      </c>
      <c r="E24">
        <v>3</v>
      </c>
      <c r="F24">
        <v>18</v>
      </c>
      <c r="G24" t="s">
        <v>288</v>
      </c>
      <c r="H24" s="6" t="str">
        <f>IFERROR(VLOOKUP(G24,キャラマスタ[],2,FALSE),"")</f>
        <v>モンキー・D・ルフィ</v>
      </c>
    </row>
    <row r="25" spans="1:9" customFormat="1">
      <c r="A25" t="s">
        <v>411</v>
      </c>
      <c r="B25" s="6" t="str">
        <f>VLOOKUP(A25,キャラマスタ[],2,FALSE)</f>
        <v>モンキー・D・ルフィ</v>
      </c>
      <c r="C25" t="s">
        <v>999</v>
      </c>
      <c r="D25" s="6" t="str">
        <f>VLOOKUP(C25,技マスタ!$A$1:$J$605,2,FALSE)</f>
        <v>ゴムゴムの鎌</v>
      </c>
      <c r="E25">
        <v>3</v>
      </c>
      <c r="F25">
        <v>18</v>
      </c>
      <c r="G25" t="s">
        <v>570</v>
      </c>
      <c r="H25" s="6" t="str">
        <f>IFERROR(VLOOKUP(G25,キャラマスタ[],2,FALSE),"")</f>
        <v>バギー</v>
      </c>
    </row>
    <row r="26" spans="1:9" customFormat="1">
      <c r="A26" t="s">
        <v>570</v>
      </c>
      <c r="B26" s="6" t="str">
        <f>VLOOKUP(A26,キャラマスタ[],2,FALSE)</f>
        <v>バギー</v>
      </c>
      <c r="C26" t="s">
        <v>1000</v>
      </c>
      <c r="D26" s="6" t="str">
        <f>VLOOKUP(C26,技マスタ!$A$1:$J$605,2,FALSE)</f>
        <v>バラバラ砲・切り離し</v>
      </c>
      <c r="E26">
        <v>3</v>
      </c>
      <c r="F26">
        <v>18</v>
      </c>
      <c r="G26" t="s">
        <v>288</v>
      </c>
      <c r="H26" s="6" t="str">
        <f>IFERROR(VLOOKUP(G26,キャラマスタ[],2,FALSE),"")</f>
        <v>モンキー・D・ルフィ</v>
      </c>
    </row>
    <row r="27" spans="1:9" customFormat="1">
      <c r="A27" t="s">
        <v>570</v>
      </c>
      <c r="B27" s="6" t="str">
        <f>VLOOKUP(A27,キャラマスタ[],2,FALSE)</f>
        <v>バギー</v>
      </c>
      <c r="C27" t="s">
        <v>998</v>
      </c>
      <c r="D27" s="6" t="str">
        <f>VLOOKUP(C27,技マスタ!$A$1:$J$605,2,FALSE)</f>
        <v>バラバラ緊急脱出</v>
      </c>
      <c r="E27">
        <v>3</v>
      </c>
      <c r="F27">
        <v>18</v>
      </c>
      <c r="G27" t="s">
        <v>288</v>
      </c>
      <c r="H27" s="6" t="str">
        <f>IFERROR(VLOOKUP(G27,キャラマスタ[],2,FALSE),"")</f>
        <v>モンキー・D・ルフィ</v>
      </c>
    </row>
    <row r="28" spans="1:9" customFormat="1">
      <c r="A28" t="s">
        <v>570</v>
      </c>
      <c r="B28" s="6" t="str">
        <f>VLOOKUP(A28,キャラマスタ[],2,FALSE)</f>
        <v>バギー</v>
      </c>
      <c r="C28" t="s">
        <v>1001</v>
      </c>
      <c r="D28" s="6" t="str">
        <f>VLOOKUP(C28,技マスタ!$A$1:$J$605,2,FALSE)</f>
        <v>バラバラフェスティバル</v>
      </c>
      <c r="E28">
        <v>3</v>
      </c>
      <c r="F28">
        <v>20</v>
      </c>
      <c r="G28" t="s">
        <v>288</v>
      </c>
      <c r="H28" s="6" t="str">
        <f>IFERROR(VLOOKUP(G28,キャラマスタ[],2,FALSE),"")</f>
        <v>モンキー・D・ルフィ</v>
      </c>
    </row>
    <row r="29" spans="1:9" customFormat="1">
      <c r="A29" t="s">
        <v>570</v>
      </c>
      <c r="B29" s="6" t="str">
        <f>VLOOKUP(A29,キャラマスタ[],2,FALSE)</f>
        <v>バギー</v>
      </c>
      <c r="C29" t="s">
        <v>1001</v>
      </c>
      <c r="D29" s="6" t="str">
        <f>VLOOKUP(C29,技マスタ!$A$1:$J$605,2,FALSE)</f>
        <v>バラバラフェスティバル</v>
      </c>
      <c r="E29">
        <v>3</v>
      </c>
      <c r="F29">
        <v>20</v>
      </c>
      <c r="G29" t="s">
        <v>321</v>
      </c>
      <c r="H29" s="6" t="str">
        <f>IFERROR(VLOOKUP(G29,キャラマスタ[],2,FALSE),"")</f>
        <v>ナミ</v>
      </c>
    </row>
    <row r="30" spans="1:9" customFormat="1">
      <c r="A30" t="s">
        <v>411</v>
      </c>
      <c r="B30" s="6" t="str">
        <f>VLOOKUP(A30,キャラマスタ[],2,FALSE)</f>
        <v>モンキー・D・ルフィ</v>
      </c>
      <c r="C30" t="s">
        <v>1002</v>
      </c>
      <c r="D30" s="6" t="str">
        <f>VLOOKUP(C30,技マスタ!$A$1:$J$605,2,FALSE)</f>
        <v>ゴムゴムのバズーカ</v>
      </c>
      <c r="E30">
        <v>3</v>
      </c>
      <c r="F30">
        <v>20</v>
      </c>
      <c r="G30" t="s">
        <v>570</v>
      </c>
      <c r="H30" s="6" t="str">
        <f>IFERROR(VLOOKUP(G30,キャラマスタ[],2,FALSE),"")</f>
        <v>バギー</v>
      </c>
      <c r="I30">
        <v>1</v>
      </c>
    </row>
    <row r="31" spans="1:9" customFormat="1">
      <c r="A31" t="s">
        <v>727</v>
      </c>
      <c r="B31" s="6" t="str">
        <f>VLOOKUP(A31,キャラマスタ[],2,FALSE)</f>
        <v>ジャンゴ</v>
      </c>
      <c r="C31" t="s">
        <v>1003</v>
      </c>
      <c r="D31" s="6" t="str">
        <f>VLOOKUP(C31,技マスタ!$A$1:$J$605,2,FALSE)</f>
        <v>ワン・ツー・ジャンゴ</v>
      </c>
      <c r="E31">
        <v>3</v>
      </c>
      <c r="F31">
        <v>25</v>
      </c>
      <c r="G31" t="s">
        <v>720</v>
      </c>
      <c r="H31" s="6" t="str">
        <f>IFERROR(VLOOKUP(G31,キャラマスタ[],2,FALSE),"")</f>
        <v>にんじん</v>
      </c>
    </row>
    <row r="32" spans="1:9" customFormat="1">
      <c r="A32" t="s">
        <v>727</v>
      </c>
      <c r="B32" s="6" t="str">
        <f>VLOOKUP(A32,キャラマスタ[],2,FALSE)</f>
        <v>ジャンゴ</v>
      </c>
      <c r="C32" t="s">
        <v>1003</v>
      </c>
      <c r="D32" s="6" t="str">
        <f>VLOOKUP(C32,技マスタ!$A$1:$J$605,2,FALSE)</f>
        <v>ワン・ツー・ジャンゴ</v>
      </c>
      <c r="E32">
        <v>3</v>
      </c>
      <c r="F32">
        <v>25</v>
      </c>
      <c r="G32" t="s">
        <v>721</v>
      </c>
      <c r="H32" s="6" t="str">
        <f>IFERROR(VLOOKUP(G32,キャラマスタ[],2,FALSE),"")</f>
        <v>ピーマン</v>
      </c>
    </row>
    <row r="33" spans="1:9" customFormat="1">
      <c r="A33" t="s">
        <v>727</v>
      </c>
      <c r="B33" s="6" t="str">
        <f>VLOOKUP(A33,キャラマスタ[],2,FALSE)</f>
        <v>ジャンゴ</v>
      </c>
      <c r="C33" t="s">
        <v>1003</v>
      </c>
      <c r="D33" s="6" t="str">
        <f>VLOOKUP(C33,技マスタ!$A$1:$J$605,2,FALSE)</f>
        <v>ワン・ツー・ジャンゴ</v>
      </c>
      <c r="E33">
        <v>3</v>
      </c>
      <c r="F33">
        <v>25</v>
      </c>
      <c r="G33" t="s">
        <v>722</v>
      </c>
      <c r="H33" s="6" t="str">
        <f>IFERROR(VLOOKUP(G33,キャラマスタ[],2,FALSE),"")</f>
        <v>たまねぎ</v>
      </c>
    </row>
    <row r="34" spans="1:9" customFormat="1">
      <c r="A34" t="s">
        <v>727</v>
      </c>
      <c r="B34" s="6" t="str">
        <f>VLOOKUP(A34,キャラマスタ[],2,FALSE)</f>
        <v>ジャンゴ</v>
      </c>
      <c r="C34" t="s">
        <v>1003</v>
      </c>
      <c r="D34" s="6" t="str">
        <f>VLOOKUP(C34,技マスタ!$A$1:$J$605,2,FALSE)</f>
        <v>ワン・ツー・ジャンゴ</v>
      </c>
      <c r="E34">
        <v>3</v>
      </c>
      <c r="F34">
        <v>26</v>
      </c>
      <c r="G34" t="s">
        <v>411</v>
      </c>
      <c r="H34" s="6" t="str">
        <f>IFERROR(VLOOKUP(G34,キャラマスタ[],2,FALSE),"")</f>
        <v>モンキー・D・ルフィ</v>
      </c>
    </row>
    <row r="35" spans="1:9" customFormat="1">
      <c r="A35" t="s">
        <v>718</v>
      </c>
      <c r="B35" s="6" t="str">
        <f>VLOOKUP(A35,キャラマスタ[],2,FALSE)</f>
        <v>ウソップ</v>
      </c>
      <c r="C35" t="s">
        <v>1004</v>
      </c>
      <c r="D35" s="6" t="str">
        <f>VLOOKUP(C35,技マスタ!$A$1:$J$605,2,FALSE)</f>
        <v>まきびし地獄</v>
      </c>
      <c r="E35">
        <v>4</v>
      </c>
      <c r="F35">
        <v>29</v>
      </c>
      <c r="H35" s="6" t="str">
        <f>IFERROR(VLOOKUP(G35,キャラマスタ[],2,FALSE),"")</f>
        <v/>
      </c>
    </row>
    <row r="36" spans="1:9" customFormat="1">
      <c r="A36" t="s">
        <v>321</v>
      </c>
      <c r="B36" s="6" t="str">
        <f>VLOOKUP(A36,キャラマスタ[],2,FALSE)</f>
        <v>ナミ</v>
      </c>
      <c r="C36" t="s">
        <v>1004</v>
      </c>
      <c r="D36" s="6" t="str">
        <f>VLOOKUP(C36,技マスタ!$A$1:$J$605,2,FALSE)</f>
        <v>まきびし地獄</v>
      </c>
      <c r="E36">
        <v>4</v>
      </c>
      <c r="F36">
        <v>29</v>
      </c>
      <c r="H36" s="6" t="str">
        <f>IFERROR(VLOOKUP(G36,キャラマスタ[],2,FALSE),"")</f>
        <v/>
      </c>
    </row>
    <row r="37" spans="1:9" customFormat="1">
      <c r="A37" t="s">
        <v>718</v>
      </c>
      <c r="B37" s="6" t="str">
        <f>VLOOKUP(A37,キャラマスタ[],2,FALSE)</f>
        <v>ウソップ</v>
      </c>
      <c r="C37" t="s">
        <v>1005</v>
      </c>
      <c r="D37" s="6" t="str">
        <f>VLOOKUP(C37,技マスタ!$A$1:$J$605,2,FALSE)</f>
        <v>鉛星</v>
      </c>
      <c r="E37">
        <v>4</v>
      </c>
      <c r="F37">
        <v>29</v>
      </c>
      <c r="H37" s="6" t="str">
        <f>IFERROR(VLOOKUP(G37,キャラマスタ[],2,FALSE),"")</f>
        <v/>
      </c>
    </row>
    <row r="38" spans="1:9" customFormat="1">
      <c r="A38" t="s">
        <v>727</v>
      </c>
      <c r="B38" s="6" t="str">
        <f>VLOOKUP(A38,キャラマスタ[],2,FALSE)</f>
        <v>ジャンゴ</v>
      </c>
      <c r="C38" t="s">
        <v>1003</v>
      </c>
      <c r="D38" s="6" t="str">
        <f>VLOOKUP(C38,技マスタ!$A$1:$J$605,2,FALSE)</f>
        <v>ワン・ツー・ジャンゴ</v>
      </c>
      <c r="E38">
        <v>4</v>
      </c>
      <c r="F38">
        <v>30</v>
      </c>
      <c r="H38" s="6" t="str">
        <f>IFERROR(VLOOKUP(G38,キャラマスタ[],2,FALSE),"")</f>
        <v/>
      </c>
    </row>
    <row r="39" spans="1:9" customFormat="1">
      <c r="A39" t="s">
        <v>411</v>
      </c>
      <c r="B39" s="6" t="str">
        <f>VLOOKUP(A39,キャラマスタ[],2,FALSE)</f>
        <v>モンキー・D・ルフィ</v>
      </c>
      <c r="C39" t="s">
        <v>1006</v>
      </c>
      <c r="D39" s="6" t="str">
        <f>VLOOKUP(C39,技マスタ!$A$1:$J$605,2,FALSE)</f>
        <v>ゴムゴムの銃乱打（ガトリング）</v>
      </c>
      <c r="E39">
        <v>4</v>
      </c>
      <c r="F39">
        <v>30</v>
      </c>
      <c r="H39" s="6" t="str">
        <f>IFERROR(VLOOKUP(G39,キャラマスタ[],2,FALSE),"")</f>
        <v/>
      </c>
    </row>
    <row r="40" spans="1:9" customFormat="1">
      <c r="A40" t="s">
        <v>727</v>
      </c>
      <c r="B40" s="6" t="str">
        <f>VLOOKUP(A40,キャラマスタ[],2,FALSE)</f>
        <v>ジャンゴ</v>
      </c>
      <c r="C40" t="s">
        <v>1003</v>
      </c>
      <c r="D40" s="6" t="str">
        <f>VLOOKUP(C40,技マスタ!$A$1:$J$605,2,FALSE)</f>
        <v>ワン・ツー・ジャンゴ</v>
      </c>
      <c r="E40">
        <v>4</v>
      </c>
      <c r="F40">
        <v>30</v>
      </c>
      <c r="G40" t="s">
        <v>411</v>
      </c>
      <c r="H40" s="6" t="str">
        <f>IFERROR(VLOOKUP(G40,キャラマスタ[],2,FALSE),"")</f>
        <v>モンキー・D・ルフィ</v>
      </c>
    </row>
    <row r="41" spans="1:9" customFormat="1">
      <c r="A41" t="s">
        <v>819</v>
      </c>
      <c r="B41" s="6" t="str">
        <f>VLOOKUP(A41,キャラマスタ[],2,FALSE)</f>
        <v>シャム</v>
      </c>
      <c r="C41" t="s">
        <v>1007</v>
      </c>
      <c r="D41" s="6" t="str">
        <f>VLOOKUP(C41,技マスタ!$A$1:$J$605,2,FALSE)</f>
        <v>ネコババ</v>
      </c>
      <c r="E41">
        <v>4</v>
      </c>
      <c r="F41">
        <v>31</v>
      </c>
      <c r="G41" t="s">
        <v>308</v>
      </c>
      <c r="H41" s="6" t="str">
        <f>IFERROR(VLOOKUP(G41,キャラマスタ[],2,FALSE),"")</f>
        <v>ロロノア・ゾロ</v>
      </c>
    </row>
    <row r="42" spans="1:9" customFormat="1">
      <c r="A42" t="s">
        <v>821</v>
      </c>
      <c r="B42" s="6" t="str">
        <f>VLOOKUP(A42,キャラマスタ[],2,FALSE)</f>
        <v>ブチ</v>
      </c>
      <c r="C42" t="s">
        <v>1008</v>
      </c>
      <c r="D42" s="6" t="str">
        <f>VLOOKUP(C42,技マスタ!$A$1:$J$605,2,FALSE)</f>
        <v>猫殺　キャット・ザ・フンジャッタ</v>
      </c>
      <c r="E42">
        <v>4</v>
      </c>
      <c r="F42">
        <v>32</v>
      </c>
      <c r="G42" t="s">
        <v>308</v>
      </c>
      <c r="H42" s="6" t="str">
        <f>IFERROR(VLOOKUP(G42,キャラマスタ[],2,FALSE),"")</f>
        <v>ロロノア・ゾロ</v>
      </c>
    </row>
    <row r="43" spans="1:9" customFormat="1">
      <c r="A43" t="s">
        <v>819</v>
      </c>
      <c r="B43" s="6" t="str">
        <f>VLOOKUP(A43,キャラマスタ[],2,FALSE)</f>
        <v>シャム</v>
      </c>
      <c r="C43" t="s">
        <v>1009</v>
      </c>
      <c r="D43" s="6" t="str">
        <f>VLOOKUP(C43,技マスタ!$A$1:$J$605,2,FALSE)</f>
        <v>ネコ柳大行進</v>
      </c>
      <c r="E43">
        <v>4</v>
      </c>
      <c r="F43">
        <v>32</v>
      </c>
      <c r="G43" t="s">
        <v>308</v>
      </c>
      <c r="H43" s="6" t="str">
        <f>IFERROR(VLOOKUP(G43,キャラマスタ[],2,FALSE),"")</f>
        <v>ロロノア・ゾロ</v>
      </c>
    </row>
    <row r="44" spans="1:9" customFormat="1">
      <c r="A44" t="s">
        <v>821</v>
      </c>
      <c r="B44" s="6" t="str">
        <f>VLOOKUP(A44,キャラマスタ[],2,FALSE)</f>
        <v>ブチ</v>
      </c>
      <c r="C44" t="s">
        <v>1009</v>
      </c>
      <c r="D44" s="6" t="str">
        <f>VLOOKUP(C44,技マスタ!$A$1:$J$605,2,FALSE)</f>
        <v>ネコ柳大行進</v>
      </c>
      <c r="E44">
        <v>4</v>
      </c>
      <c r="F44">
        <v>32</v>
      </c>
      <c r="G44" t="s">
        <v>308</v>
      </c>
      <c r="H44" s="6" t="str">
        <f>IFERROR(VLOOKUP(G44,キャラマスタ[],2,FALSE),"")</f>
        <v>ロロノア・ゾロ</v>
      </c>
    </row>
    <row r="45" spans="1:9" customFormat="1">
      <c r="A45" t="s">
        <v>718</v>
      </c>
      <c r="B45" s="6" t="str">
        <f>VLOOKUP(A45,キャラマスタ[],2,FALSE)</f>
        <v>ウソップ</v>
      </c>
      <c r="C45" t="s">
        <v>1005</v>
      </c>
      <c r="D45" s="6" t="str">
        <f>VLOOKUP(C45,技マスタ!$A$1:$J$605,2,FALSE)</f>
        <v>鉛星</v>
      </c>
      <c r="E45">
        <v>4</v>
      </c>
      <c r="F45">
        <v>32</v>
      </c>
      <c r="G45" t="s">
        <v>821</v>
      </c>
      <c r="H45" s="6" t="str">
        <f>IFERROR(VLOOKUP(G45,キャラマスタ[],2,FALSE),"")</f>
        <v>ブチ</v>
      </c>
    </row>
    <row r="46" spans="1:9" customFormat="1">
      <c r="A46" t="s">
        <v>723</v>
      </c>
      <c r="B46" s="6" t="str">
        <f>VLOOKUP(A46,キャラマスタ[],2,FALSE)</f>
        <v>クロ</v>
      </c>
      <c r="C46" t="s">
        <v>1010</v>
      </c>
      <c r="D46" s="6" t="str">
        <f>VLOOKUP(C46,技マスタ!$A$1:$J$605,2,FALSE)</f>
        <v>抜き足</v>
      </c>
      <c r="E46">
        <v>4</v>
      </c>
      <c r="F46">
        <v>33</v>
      </c>
      <c r="G46" t="s">
        <v>819</v>
      </c>
      <c r="H46" s="6" t="str">
        <f>IFERROR(VLOOKUP(G46,キャラマスタ[],2,FALSE),"")</f>
        <v>シャム</v>
      </c>
    </row>
    <row r="47" spans="1:9" customFormat="1">
      <c r="A47" t="s">
        <v>723</v>
      </c>
      <c r="B47" s="6" t="str">
        <f>VLOOKUP(A47,キャラマスタ[],2,FALSE)</f>
        <v>クロ</v>
      </c>
      <c r="C47" t="s">
        <v>1010</v>
      </c>
      <c r="D47" s="6" t="str">
        <f>VLOOKUP(C47,技マスタ!$A$1:$J$605,2,FALSE)</f>
        <v>抜き足</v>
      </c>
      <c r="E47">
        <v>4</v>
      </c>
      <c r="F47">
        <v>33</v>
      </c>
      <c r="G47" t="s">
        <v>821</v>
      </c>
      <c r="H47" s="6" t="str">
        <f>IFERROR(VLOOKUP(G47,キャラマスタ[],2,FALSE),"")</f>
        <v>ブチ</v>
      </c>
    </row>
    <row r="48" spans="1:9" customFormat="1">
      <c r="A48" t="s">
        <v>308</v>
      </c>
      <c r="B48" s="6" t="str">
        <f>VLOOKUP(A48,キャラマスタ[],2,FALSE)</f>
        <v>ロロノア・ゾロ</v>
      </c>
      <c r="C48" t="s">
        <v>1011</v>
      </c>
      <c r="D48" s="6" t="str">
        <f>VLOOKUP(C48,技マスタ!$A$1:$J$605,2,FALSE)</f>
        <v>虎狩り</v>
      </c>
      <c r="E48">
        <v>4</v>
      </c>
      <c r="F48">
        <v>33</v>
      </c>
      <c r="G48" t="s">
        <v>819</v>
      </c>
      <c r="H48" s="6" t="str">
        <f>IFERROR(VLOOKUP(G48,キャラマスタ[],2,FALSE),"")</f>
        <v>シャム</v>
      </c>
      <c r="I48">
        <v>1</v>
      </c>
    </row>
    <row r="49" spans="1:9" customFormat="1">
      <c r="A49" t="s">
        <v>308</v>
      </c>
      <c r="B49" s="6" t="str">
        <f>VLOOKUP(A49,キャラマスタ[],2,FALSE)</f>
        <v>ロロノア・ゾロ</v>
      </c>
      <c r="C49" t="s">
        <v>1011</v>
      </c>
      <c r="D49" s="6" t="str">
        <f>VLOOKUP(C49,技マスタ!$A$1:$J$605,2,FALSE)</f>
        <v>虎狩り</v>
      </c>
      <c r="E49">
        <v>4</v>
      </c>
      <c r="F49">
        <v>33</v>
      </c>
      <c r="G49" t="s">
        <v>821</v>
      </c>
      <c r="H49" s="6" t="str">
        <f>IFERROR(VLOOKUP(G49,キャラマスタ[],2,FALSE),"")</f>
        <v>ブチ</v>
      </c>
    </row>
    <row r="50" spans="1:9" customFormat="1">
      <c r="A50" t="s">
        <v>821</v>
      </c>
      <c r="B50" s="6" t="str">
        <f>VLOOKUP(A50,キャラマスタ[],2,FALSE)</f>
        <v>ブチ</v>
      </c>
      <c r="C50" t="s">
        <v>1008</v>
      </c>
      <c r="D50" s="6" t="str">
        <f>VLOOKUP(C50,技マスタ!$A$1:$J$605,2,FALSE)</f>
        <v>猫殺　キャット・ザ・フンジャッタ</v>
      </c>
      <c r="E50">
        <v>4</v>
      </c>
      <c r="F50">
        <v>35</v>
      </c>
      <c r="G50" t="s">
        <v>308</v>
      </c>
      <c r="H50" s="6" t="str">
        <f>IFERROR(VLOOKUP(G50,キャラマスタ[],2,FALSE),"")</f>
        <v>ロロノア・ゾロ</v>
      </c>
    </row>
    <row r="51" spans="1:9" customFormat="1">
      <c r="A51" t="s">
        <v>718</v>
      </c>
      <c r="B51" s="6" t="str">
        <f>VLOOKUP(A51,キャラマスタ[],2,FALSE)</f>
        <v>ウソップ</v>
      </c>
      <c r="C51" t="s">
        <v>1005</v>
      </c>
      <c r="D51" s="6" t="str">
        <f>VLOOKUP(C51,技マスタ!$A$1:$J$605,2,FALSE)</f>
        <v>鉛星</v>
      </c>
      <c r="E51">
        <v>4</v>
      </c>
      <c r="F51">
        <v>35</v>
      </c>
      <c r="G51" t="s">
        <v>727</v>
      </c>
      <c r="H51" s="6" t="str">
        <f>IFERROR(VLOOKUP(G51,キャラマスタ[],2,FALSE),"")</f>
        <v>ジャンゴ</v>
      </c>
    </row>
    <row r="52" spans="1:9" customFormat="1">
      <c r="A52" t="s">
        <v>411</v>
      </c>
      <c r="B52" s="6" t="str">
        <f>VLOOKUP(A52,キャラマスタ[],2,FALSE)</f>
        <v>モンキー・D・ルフィ</v>
      </c>
      <c r="C52" t="s">
        <v>1012</v>
      </c>
      <c r="D52" s="6" t="str">
        <f>VLOOKUP(C52,技マスタ!$A$1:$J$605,2,FALSE)</f>
        <v>ゴムゴムの槍（ヤリ）</v>
      </c>
      <c r="E52">
        <v>5</v>
      </c>
      <c r="F52">
        <v>36</v>
      </c>
      <c r="G52" t="s">
        <v>723</v>
      </c>
      <c r="H52" s="6" t="str">
        <f>IFERROR(VLOOKUP(G52,キャラマスタ[],2,FALSE),"")</f>
        <v>クロ</v>
      </c>
    </row>
    <row r="53" spans="1:9" customFormat="1">
      <c r="A53" t="s">
        <v>411</v>
      </c>
      <c r="B53" s="6" t="str">
        <f>VLOOKUP(A53,キャラマスタ[],2,FALSE)</f>
        <v>モンキー・D・ルフィ</v>
      </c>
      <c r="C53" t="s">
        <v>984</v>
      </c>
      <c r="D53" s="6" t="str">
        <f>VLOOKUP(C53,技マスタ!$A$1:$J$605,2,FALSE)</f>
        <v>ゴムゴムの鞭（ムチ）</v>
      </c>
      <c r="E53">
        <v>5</v>
      </c>
      <c r="F53">
        <v>37</v>
      </c>
      <c r="G53" t="s">
        <v>723</v>
      </c>
      <c r="H53" s="6" t="str">
        <f>IFERROR(VLOOKUP(G53,キャラマスタ[],2,FALSE),"")</f>
        <v>クロ</v>
      </c>
    </row>
    <row r="54" spans="1:9" customFormat="1">
      <c r="A54" t="s">
        <v>411</v>
      </c>
      <c r="B54" s="6" t="str">
        <f>VLOOKUP(A54,キャラマスタ[],2,FALSE)</f>
        <v>モンキー・D・ルフィ</v>
      </c>
      <c r="C54" t="s">
        <v>418</v>
      </c>
      <c r="D54" s="6" t="str">
        <f>VLOOKUP(C54,技マスタ!$A$1:$J$605,2,FALSE)</f>
        <v>ゴムゴムの銃（ピストル）</v>
      </c>
      <c r="E54">
        <v>5</v>
      </c>
      <c r="F54">
        <v>37</v>
      </c>
      <c r="G54" t="s">
        <v>723</v>
      </c>
      <c r="H54" s="6" t="str">
        <f>IFERROR(VLOOKUP(G54,キャラマスタ[],2,FALSE),"")</f>
        <v>クロ</v>
      </c>
    </row>
    <row r="55" spans="1:9" customFormat="1">
      <c r="A55" t="s">
        <v>722</v>
      </c>
      <c r="B55" s="6" t="str">
        <f>VLOOKUP(A55,キャラマスタ[],2,FALSE)</f>
        <v>たまねぎ</v>
      </c>
      <c r="C55" t="s">
        <v>864</v>
      </c>
      <c r="D55" s="6" t="str">
        <f>VLOOKUP(C55,技マスタ!$A$1:$J$605,2,FALSE)</f>
        <v>コショー目つぶし</v>
      </c>
      <c r="E55">
        <v>5</v>
      </c>
      <c r="F55">
        <v>38</v>
      </c>
      <c r="G55" t="s">
        <v>727</v>
      </c>
      <c r="H55" s="6" t="str">
        <f>IFERROR(VLOOKUP(G55,キャラマスタ[],2,FALSE),"")</f>
        <v>ジャンゴ</v>
      </c>
    </row>
    <row r="56" spans="1:9" customFormat="1">
      <c r="A56" t="s">
        <v>723</v>
      </c>
      <c r="B56" s="6" t="str">
        <f>VLOOKUP(A56,キャラマスタ[],2,FALSE)</f>
        <v>クロ</v>
      </c>
      <c r="C56" t="s">
        <v>971</v>
      </c>
      <c r="D56" s="6" t="str">
        <f>VLOOKUP(C56,技マスタ!$A$1:$J$605,2,FALSE)</f>
        <v>杓死</v>
      </c>
      <c r="E56">
        <v>5</v>
      </c>
      <c r="F56">
        <v>38</v>
      </c>
      <c r="G56" t="s">
        <v>411</v>
      </c>
      <c r="H56" s="6" t="str">
        <f>IFERROR(VLOOKUP(G56,キャラマスタ[],2,FALSE),"")</f>
        <v>モンキー・D・ルフィ</v>
      </c>
    </row>
    <row r="57" spans="1:9" customFormat="1">
      <c r="A57" t="s">
        <v>718</v>
      </c>
      <c r="B57" s="6" t="str">
        <f>VLOOKUP(A57,キャラマスタ[],2,FALSE)</f>
        <v>ウソップ</v>
      </c>
      <c r="C57" t="s">
        <v>972</v>
      </c>
      <c r="D57" s="6" t="str">
        <f>VLOOKUP(C57,技マスタ!$A$1:$J$605,2,FALSE)</f>
        <v>火薬星</v>
      </c>
      <c r="E57">
        <v>5</v>
      </c>
      <c r="F57">
        <v>39</v>
      </c>
      <c r="G57" t="s">
        <v>727</v>
      </c>
      <c r="H57" s="6" t="str">
        <f>IFERROR(VLOOKUP(G57,キャラマスタ[],2,FALSE),"")</f>
        <v>ジャンゴ</v>
      </c>
      <c r="I57">
        <v>1</v>
      </c>
    </row>
    <row r="58" spans="1:9" customFormat="1">
      <c r="A58" t="s">
        <v>288</v>
      </c>
      <c r="B58" s="6" t="str">
        <f>VLOOKUP(A58,キャラマスタ[],2,FALSE)</f>
        <v>モンキー・D・ルフィ</v>
      </c>
      <c r="C58" t="s">
        <v>973</v>
      </c>
      <c r="D58" s="6" t="str">
        <f>VLOOKUP(C58,技マスタ!$A$1:$J$605,2,FALSE)</f>
        <v>ゴムゴムの鐘（カネ）</v>
      </c>
      <c r="E58">
        <v>5</v>
      </c>
      <c r="F58">
        <v>39</v>
      </c>
      <c r="G58" t="s">
        <v>723</v>
      </c>
      <c r="H58" s="6" t="str">
        <f>IFERROR(VLOOKUP(G58,キャラマスタ[],2,FALSE),"")</f>
        <v>クロ</v>
      </c>
      <c r="I58">
        <v>1</v>
      </c>
    </row>
    <row r="59" spans="1:9" customFormat="1">
      <c r="A59" t="s">
        <v>288</v>
      </c>
      <c r="B59" s="6" t="str">
        <f>VLOOKUP(A59,キャラマスタ[],2,FALSE)</f>
        <v>モンキー・D・ルフィ</v>
      </c>
      <c r="C59" t="s">
        <v>628</v>
      </c>
      <c r="D59" s="6" t="str">
        <f>VLOOKUP(C59,技マスタ!$A$1:$J$605,2,FALSE)</f>
        <v>ゴムゴムの風船</v>
      </c>
      <c r="E59">
        <v>5</v>
      </c>
      <c r="F59">
        <v>43</v>
      </c>
      <c r="H59" s="6" t="str">
        <f>IFERROR(VLOOKUP(G59,キャラマスタ[],2,FALSE),"")</f>
        <v/>
      </c>
    </row>
    <row r="60" spans="1:9" customFormat="1">
      <c r="A60" t="s">
        <v>1086</v>
      </c>
      <c r="B60" s="6" t="str">
        <f>VLOOKUP(A60,キャラマスタ[],2,FALSE)</f>
        <v>ゼフ</v>
      </c>
      <c r="C60" t="s">
        <v>974</v>
      </c>
      <c r="D60" s="6" t="str">
        <f>VLOOKUP(C60,技マスタ!$A$1:$J$605,2,FALSE)</f>
        <v>料理長義足キック</v>
      </c>
      <c r="E60">
        <v>5</v>
      </c>
      <c r="F60">
        <v>44</v>
      </c>
      <c r="G60" t="s">
        <v>411</v>
      </c>
      <c r="H60" s="6" t="str">
        <f>IFERROR(VLOOKUP(G60,キャラマスタ[],2,FALSE),"")</f>
        <v>モンキー・D・ルフィ</v>
      </c>
    </row>
    <row r="61" spans="1:9" customFormat="1">
      <c r="A61" t="s">
        <v>1086</v>
      </c>
      <c r="B61" s="6" t="str">
        <f>VLOOKUP(A61,キャラマスタ[],2,FALSE)</f>
        <v>ゼフ</v>
      </c>
      <c r="C61" t="s">
        <v>975</v>
      </c>
      <c r="D61" s="6" t="str">
        <f>VLOOKUP(C61,技マスタ!$A$1:$J$605,2,FALSE)</f>
        <v>料理長ドロップ</v>
      </c>
      <c r="E61">
        <v>5</v>
      </c>
      <c r="F61">
        <v>44</v>
      </c>
      <c r="G61" t="s">
        <v>411</v>
      </c>
      <c r="H61" s="6" t="str">
        <f>IFERROR(VLOOKUP(G61,キャラマスタ[],2,FALSE),"")</f>
        <v>モンキー・D・ルフィ</v>
      </c>
    </row>
    <row r="62" spans="1:9" customFormat="1">
      <c r="A62" t="s">
        <v>1167</v>
      </c>
      <c r="B62" s="6" t="str">
        <f>VLOOKUP(A62,キャラマスタ[],2,FALSE)</f>
        <v>パティ</v>
      </c>
      <c r="C62" t="s">
        <v>1168</v>
      </c>
      <c r="D62" s="6" t="str">
        <f>VLOOKUP(C62,技マスタ!$A$1:$J$605,2,FALSE)</f>
        <v>食あたり砲弾（ミートボール）</v>
      </c>
      <c r="E62">
        <v>6</v>
      </c>
      <c r="F62">
        <v>47</v>
      </c>
      <c r="G62" t="s">
        <v>1099</v>
      </c>
      <c r="H62" s="6" t="str">
        <f>IFERROR(VLOOKUP(G62,キャラマスタ[],2,FALSE),"")</f>
        <v>クリーク</v>
      </c>
    </row>
    <row r="63" spans="1:9" customFormat="1">
      <c r="A63" t="s">
        <v>308</v>
      </c>
      <c r="B63" s="6" t="str">
        <f>VLOOKUP(A63,キャラマスタ[],2,FALSE)</f>
        <v>ロロノア・ゾロ</v>
      </c>
      <c r="C63" t="s">
        <v>636</v>
      </c>
      <c r="D63" s="6" t="str">
        <f>VLOOKUP(C63,技マスタ!$A$1:$J$605,2,FALSE)</f>
        <v>鬼斬り</v>
      </c>
      <c r="E63">
        <v>6</v>
      </c>
      <c r="F63">
        <v>51</v>
      </c>
      <c r="G63" t="s">
        <v>1169</v>
      </c>
      <c r="H63" s="6" t="str">
        <f>IFERROR(VLOOKUP(G63,キャラマスタ[],2,FALSE),"")</f>
        <v>ジュラキュール・ミホーク</v>
      </c>
    </row>
    <row r="64" spans="1:9">
      <c r="A64" t="s">
        <v>308</v>
      </c>
      <c r="B64" s="6" t="str">
        <f>VLOOKUP(A64,キャラマスタ[],2,FALSE)</f>
        <v>ロロノア・ゾロ</v>
      </c>
      <c r="C64" t="s">
        <v>862</v>
      </c>
      <c r="D64" s="6" t="str">
        <f>VLOOKUP(C64,技マスタ!$A$1:$J$605,2,FALSE)</f>
        <v>虎狩り</v>
      </c>
      <c r="E64">
        <v>6</v>
      </c>
      <c r="F64">
        <v>51</v>
      </c>
      <c r="G64" t="s">
        <v>1169</v>
      </c>
      <c r="H64" s="6" t="str">
        <f>IFERROR(VLOOKUP(G64,キャラマスタ[],2,FALSE),"")</f>
        <v>ジュラキュール・ミホーク</v>
      </c>
      <c r="I64"/>
    </row>
    <row r="65" spans="1:9">
      <c r="A65" t="s">
        <v>308</v>
      </c>
      <c r="B65" s="6" t="str">
        <f>VLOOKUP(A65,キャラマスタ[],2,FALSE)</f>
        <v>ロロノア・ゾロ</v>
      </c>
      <c r="C65" t="s">
        <v>977</v>
      </c>
      <c r="D65" s="6" t="str">
        <f>VLOOKUP(C65,技マスタ!$A$1:$J$605,2,FALSE)</f>
        <v>三刀流奥義　三・千・世・界</v>
      </c>
      <c r="E65">
        <v>6</v>
      </c>
      <c r="F65">
        <v>51</v>
      </c>
      <c r="G65" t="s">
        <v>1169</v>
      </c>
      <c r="H65" s="6" t="str">
        <f>IFERROR(VLOOKUP(G65,キャラマスタ[],2,FALSE),"")</f>
        <v>ジュラキュール・ミホーク</v>
      </c>
      <c r="I65"/>
    </row>
    <row r="66" spans="1:9" customFormat="1">
      <c r="A66" t="s">
        <v>288</v>
      </c>
      <c r="B66" s="6" t="str">
        <f>VLOOKUP(A66,キャラマスタ[],2,FALSE)</f>
        <v>モンキー・D・ルフィ</v>
      </c>
      <c r="C66" t="s">
        <v>983</v>
      </c>
      <c r="D66" s="6" t="str">
        <f>VLOOKUP(C66,技マスタ!$A$1:$J$605,2,FALSE)</f>
        <v>ゴムゴムのロケット</v>
      </c>
      <c r="E66">
        <v>6</v>
      </c>
      <c r="F66">
        <v>53</v>
      </c>
      <c r="H66" s="6" t="str">
        <f>IFERROR(VLOOKUP(G66,キャラマスタ[],2,FALSE),"")</f>
        <v/>
      </c>
    </row>
    <row r="67" spans="1:9">
      <c r="A67" t="s">
        <v>288</v>
      </c>
      <c r="B67" s="6" t="str">
        <f>VLOOKUP(A67,キャラマスタ[],2,FALSE)</f>
        <v>モンキー・D・ルフィ</v>
      </c>
      <c r="C67" t="s">
        <v>1160</v>
      </c>
      <c r="D67" s="6" t="str">
        <f>VLOOKUP(C67,技マスタ!$A$1:$J$605,2,FALSE)</f>
        <v>ゴムゴムの大鎌</v>
      </c>
      <c r="E67">
        <v>6</v>
      </c>
      <c r="F67">
        <v>53</v>
      </c>
      <c r="G67"/>
      <c r="H67" s="6" t="str">
        <f>IFERROR(VLOOKUP(G67,キャラマスタ[],2,FALSE),"")</f>
        <v/>
      </c>
      <c r="I67"/>
    </row>
    <row r="68" spans="1:9">
      <c r="A68" t="s">
        <v>1236</v>
      </c>
      <c r="B68" s="6" t="str">
        <f>VLOOKUP(A68,キャラマスタ[],2,FALSE)</f>
        <v>パール</v>
      </c>
      <c r="C68" t="s">
        <v>1161</v>
      </c>
      <c r="D68" s="6" t="str">
        <f>VLOOKUP(C68,技マスタ!$A$1:$J$605,2,FALSE)</f>
        <v>ファイヤーパール大特典</v>
      </c>
      <c r="E68">
        <v>7</v>
      </c>
      <c r="F68">
        <v>55</v>
      </c>
      <c r="G68" t="s">
        <v>288</v>
      </c>
      <c r="H68" s="6" t="str">
        <f>IFERROR(VLOOKUP(G68,キャラマスタ[],2,FALSE),"")</f>
        <v>モンキー・D・ルフィ</v>
      </c>
      <c r="I68"/>
    </row>
    <row r="69" spans="1:9">
      <c r="A69" t="s">
        <v>1236</v>
      </c>
      <c r="B69" s="6" t="str">
        <f>VLOOKUP(A69,キャラマスタ[],2,FALSE)</f>
        <v>パール</v>
      </c>
      <c r="C69" t="s">
        <v>1162</v>
      </c>
      <c r="D69" s="6" t="str">
        <f>VLOOKUP(C69,技マスタ!$A$1:$J$605,2,FALSE)</f>
        <v>ファイヤーパールプレゼント</v>
      </c>
      <c r="E69">
        <v>7</v>
      </c>
      <c r="F69">
        <v>55</v>
      </c>
      <c r="G69" t="s">
        <v>1090</v>
      </c>
      <c r="H69" s="6" t="str">
        <f>IFERROR(VLOOKUP(G69,キャラマスタ[],2,FALSE),"")</f>
        <v>サンジ</v>
      </c>
      <c r="I69"/>
    </row>
    <row r="70" spans="1:9">
      <c r="A70" t="s">
        <v>288</v>
      </c>
      <c r="B70" s="6" t="str">
        <f>VLOOKUP(A70,キャラマスタ[],2,FALSE)</f>
        <v>モンキー・D・ルフィ</v>
      </c>
      <c r="C70" t="s">
        <v>766</v>
      </c>
      <c r="D70" s="6" t="str">
        <f>VLOOKUP(C70,技マスタ!$A$1:$J$605,2,FALSE)</f>
        <v>ゴムゴムのバズーカ</v>
      </c>
      <c r="E70">
        <v>7</v>
      </c>
      <c r="F70">
        <v>55</v>
      </c>
      <c r="G70"/>
      <c r="H70" s="6" t="str">
        <f>IFERROR(VLOOKUP(G70,キャラマスタ[],2,FALSE),"")</f>
        <v/>
      </c>
      <c r="I70"/>
    </row>
    <row r="71" spans="1:9">
      <c r="A71" t="s">
        <v>1236</v>
      </c>
      <c r="B71" s="6" t="str">
        <f>VLOOKUP(A71,キャラマスタ[],2,FALSE)</f>
        <v>パール</v>
      </c>
      <c r="C71" t="s">
        <v>1163</v>
      </c>
      <c r="D71" s="6" t="str">
        <f>VLOOKUP(C71,技マスタ!$A$1:$J$605,2,FALSE)</f>
        <v>超天然パールプレゼント</v>
      </c>
      <c r="E71">
        <v>7</v>
      </c>
      <c r="F71">
        <v>56</v>
      </c>
      <c r="G71" t="s">
        <v>1090</v>
      </c>
      <c r="H71" s="6" t="str">
        <f>IFERROR(VLOOKUP(G71,キャラマスタ[],2,FALSE),"")</f>
        <v>サンジ</v>
      </c>
      <c r="I71"/>
    </row>
    <row r="72" spans="1:9">
      <c r="A72" t="s">
        <v>1236</v>
      </c>
      <c r="B72" s="6" t="str">
        <f>VLOOKUP(A72,キャラマスタ[],2,FALSE)</f>
        <v>パール</v>
      </c>
      <c r="C72" t="s">
        <v>1164</v>
      </c>
      <c r="D72" s="6" t="str">
        <f>VLOOKUP(C72,技マスタ!$A$1:$J$605,2,FALSE)</f>
        <v>パールクローズ</v>
      </c>
      <c r="E72">
        <v>7</v>
      </c>
      <c r="F72">
        <v>56</v>
      </c>
      <c r="G72" t="s">
        <v>1090</v>
      </c>
      <c r="H72" s="6" t="str">
        <f>IFERROR(VLOOKUP(G72,キャラマスタ[],2,FALSE),"")</f>
        <v>サンジ</v>
      </c>
      <c r="I72"/>
    </row>
    <row r="73" spans="1:9">
      <c r="A73" t="s">
        <v>1236</v>
      </c>
      <c r="B73" s="6" t="str">
        <f>VLOOKUP(A73,キャラマスタ[],2,FALSE)</f>
        <v>パール</v>
      </c>
      <c r="C73" t="s">
        <v>1165</v>
      </c>
      <c r="D73" s="6" t="str">
        <f>VLOOKUP(C73,技マスタ!$A$1:$J$605,2,FALSE)</f>
        <v>サービスパールイブシギンプレゼント</v>
      </c>
      <c r="E73">
        <v>7</v>
      </c>
      <c r="F73">
        <v>56</v>
      </c>
      <c r="G73" t="s">
        <v>1090</v>
      </c>
      <c r="H73" s="6" t="str">
        <f>IFERROR(VLOOKUP(G73,キャラマスタ[],2,FALSE),"")</f>
        <v>サンジ</v>
      </c>
      <c r="I73"/>
    </row>
    <row r="74" spans="1:9">
      <c r="A74" t="s">
        <v>1236</v>
      </c>
      <c r="B74" s="6" t="str">
        <f>VLOOKUP(A74,キャラマスタ[],2,FALSE)</f>
        <v>パール</v>
      </c>
      <c r="C74" t="s">
        <v>1261</v>
      </c>
      <c r="D74" s="6" t="str">
        <f>VLOOKUP(C74,技マスタ!$A$1:$J$605,2,FALSE)</f>
        <v>ダメ押しパールプレゼント</v>
      </c>
      <c r="E74">
        <v>7</v>
      </c>
      <c r="F74">
        <v>59</v>
      </c>
      <c r="G74" t="s">
        <v>1090</v>
      </c>
      <c r="H74" s="6" t="str">
        <f>IFERROR(VLOOKUP(G74,キャラマスタ[],2,FALSE),"")</f>
        <v>サンジ</v>
      </c>
      <c r="I74"/>
    </row>
    <row r="75" spans="1:9">
      <c r="A75" t="s">
        <v>288</v>
      </c>
      <c r="B75" s="6" t="str">
        <f>VLOOKUP(A75,キャラマスタ[],2,FALSE)</f>
        <v>モンキー・D・ルフィ</v>
      </c>
      <c r="C75" t="s">
        <v>1262</v>
      </c>
      <c r="D75" s="6" t="str">
        <f>VLOOKUP(C75,技マスタ!$A$1:$J$605,2,FALSE)</f>
        <v>ゴムゴムの戦斧（オノ）</v>
      </c>
      <c r="E75">
        <v>7</v>
      </c>
      <c r="F75">
        <v>59</v>
      </c>
      <c r="G75"/>
      <c r="H75" s="6" t="str">
        <f>IFERROR(VLOOKUP(G75,キャラマスタ[],2,FALSE),"")</f>
        <v/>
      </c>
      <c r="I75"/>
    </row>
    <row r="76" spans="1:9">
      <c r="A76" t="s">
        <v>1099</v>
      </c>
      <c r="B76" s="6" t="str">
        <f>VLOOKUP(A76,キャラマスタ[],2,FALSE)</f>
        <v>クリーク</v>
      </c>
      <c r="C76" t="s">
        <v>1263</v>
      </c>
      <c r="D76" s="6" t="str">
        <f>VLOOKUP(C76,技マスタ!$A$1:$J$605,2,FALSE)</f>
        <v>炸裂手裏剣</v>
      </c>
      <c r="E76">
        <v>7</v>
      </c>
      <c r="F76">
        <v>60</v>
      </c>
      <c r="G76" t="s">
        <v>288</v>
      </c>
      <c r="H76" s="6" t="str">
        <f>IFERROR(VLOOKUP(G76,キャラマスタ[],2,FALSE),"")</f>
        <v>モンキー・D・ルフィ</v>
      </c>
      <c r="I76"/>
    </row>
    <row r="77" spans="1:9">
      <c r="A77" t="s">
        <v>1099</v>
      </c>
      <c r="B77" s="6" t="str">
        <f>VLOOKUP(A77,キャラマスタ[],2,FALSE)</f>
        <v>クリーク</v>
      </c>
      <c r="C77" t="s">
        <v>1264</v>
      </c>
      <c r="D77" s="6" t="str">
        <f>VLOOKUP(C77,技マスタ!$A$1:$J$605,2,FALSE)</f>
        <v>M・H・５</v>
      </c>
      <c r="E77">
        <v>7</v>
      </c>
      <c r="F77">
        <v>62</v>
      </c>
      <c r="G77" t="s">
        <v>288</v>
      </c>
      <c r="H77" s="6" t="str">
        <f>IFERROR(VLOOKUP(G77,キャラマスタ[],2,FALSE),"")</f>
        <v>モンキー・D・ルフィ</v>
      </c>
      <c r="I77"/>
    </row>
    <row r="78" spans="1:9">
      <c r="A78" t="s">
        <v>1099</v>
      </c>
      <c r="B78" s="6" t="str">
        <f>VLOOKUP(A78,キャラマスタ[],2,FALSE)</f>
        <v>クリーク</v>
      </c>
      <c r="C78" t="s">
        <v>1265</v>
      </c>
      <c r="D78" s="6" t="str">
        <f>VLOOKUP(C78,技マスタ!$A$1:$J$605,2,FALSE)</f>
        <v>剣山マント</v>
      </c>
      <c r="E78">
        <v>8</v>
      </c>
      <c r="F78">
        <v>63</v>
      </c>
      <c r="G78" t="s">
        <v>288</v>
      </c>
      <c r="H78" s="6" t="str">
        <f>IFERROR(VLOOKUP(G78,キャラマスタ[],2,FALSE),"")</f>
        <v>モンキー・D・ルフィ</v>
      </c>
      <c r="I78"/>
    </row>
    <row r="79" spans="1:9">
      <c r="A79" t="s">
        <v>288</v>
      </c>
      <c r="B79" s="6" t="str">
        <f>VLOOKUP(A79,キャラマスタ[],2,FALSE)</f>
        <v>モンキー・D・ルフィ</v>
      </c>
      <c r="C79" t="s">
        <v>1347</v>
      </c>
      <c r="D79" s="6" t="str">
        <f>VLOOKUP(C79,技マスタ!$A$1:$J$605,2,FALSE)</f>
        <v>ゴムゴムの銃弾（ブレット）</v>
      </c>
      <c r="E79">
        <v>8</v>
      </c>
      <c r="F79">
        <v>63</v>
      </c>
      <c r="G79" t="s">
        <v>1099</v>
      </c>
      <c r="H79" s="6" t="str">
        <f>IFERROR(VLOOKUP(G79,キャラマスタ[],2,FALSE),"")</f>
        <v>クリーク</v>
      </c>
      <c r="I79"/>
    </row>
    <row r="80" spans="1:9">
      <c r="A80" t="s">
        <v>1099</v>
      </c>
      <c r="B80" s="6" t="str">
        <f>VLOOKUP(A80,キャラマスタ[],2,FALSE)</f>
        <v>クリーク</v>
      </c>
      <c r="C80" t="s">
        <v>1348</v>
      </c>
      <c r="D80" s="6" t="str">
        <f>VLOOKUP(C80,技マスタ!$A$1:$J$605,2,FALSE)</f>
        <v>大戦槍</v>
      </c>
      <c r="E80">
        <v>8</v>
      </c>
      <c r="F80">
        <v>64</v>
      </c>
      <c r="G80" t="s">
        <v>288</v>
      </c>
      <c r="H80" s="6" t="str">
        <f>IFERROR(VLOOKUP(G80,キャラマスタ[],2,FALSE),"")</f>
        <v>モンキー・D・ルフィ</v>
      </c>
      <c r="I80"/>
    </row>
    <row r="81" spans="1:9">
      <c r="A81" t="s">
        <v>288</v>
      </c>
      <c r="B81" s="6" t="str">
        <f>VLOOKUP(A81,キャラマスタ[],2,FALSE)</f>
        <v>モンキー・D・ルフィ</v>
      </c>
      <c r="C81" t="s">
        <v>851</v>
      </c>
      <c r="D81" s="6" t="str">
        <f>VLOOKUP(C81,技マスタ!$A$1:$J$605,2,FALSE)</f>
        <v>ゴムゴムの銃乱打（ガトリング）</v>
      </c>
      <c r="E81">
        <v>8</v>
      </c>
      <c r="F81">
        <v>65</v>
      </c>
      <c r="G81" t="s">
        <v>1099</v>
      </c>
      <c r="H81" s="6" t="str">
        <f>IFERROR(VLOOKUP(G81,キャラマスタ[],2,FALSE),"")</f>
        <v>クリーク</v>
      </c>
      <c r="I81"/>
    </row>
    <row r="82" spans="1:9">
      <c r="A82" t="s">
        <v>288</v>
      </c>
      <c r="B82" s="6" t="str">
        <f>VLOOKUP(A82,キャラマスタ[],2,FALSE)</f>
        <v>モンキー・D・ルフィ</v>
      </c>
      <c r="C82" t="s">
        <v>1347</v>
      </c>
      <c r="D82" s="6" t="str">
        <f>VLOOKUP(C82,技マスタ!$A$1:$J$605,2,FALSE)</f>
        <v>ゴムゴムの銃弾（ブレット）</v>
      </c>
      <c r="E82">
        <v>8</v>
      </c>
      <c r="F82">
        <v>65</v>
      </c>
      <c r="G82" t="s">
        <v>1099</v>
      </c>
      <c r="H82" s="6" t="str">
        <f>IFERROR(VLOOKUP(G82,キャラマスタ[],2,FALSE),"")</f>
        <v>クリーク</v>
      </c>
      <c r="I82"/>
    </row>
    <row r="83" spans="1:9">
      <c r="A83" t="s">
        <v>288</v>
      </c>
      <c r="B83" s="6" t="str">
        <f>VLOOKUP(A83,キャラマスタ[],2,FALSE)</f>
        <v>モンキー・D・ルフィ</v>
      </c>
      <c r="C83" t="s">
        <v>766</v>
      </c>
      <c r="D83" s="6" t="str">
        <f>VLOOKUP(C83,技マスタ!$A$1:$J$605,2,FALSE)</f>
        <v>ゴムゴムのバズーカ</v>
      </c>
      <c r="E83">
        <v>8</v>
      </c>
      <c r="F83">
        <v>65</v>
      </c>
      <c r="G83" t="s">
        <v>1099</v>
      </c>
      <c r="H83" s="6" t="str">
        <f>IFERROR(VLOOKUP(G83,キャラマスタ[],2,FALSE),"")</f>
        <v>クリーク</v>
      </c>
      <c r="I83"/>
    </row>
    <row r="84" spans="1:9">
      <c r="A84" t="s">
        <v>288</v>
      </c>
      <c r="B84" s="6" t="str">
        <f>VLOOKUP(A84,キャラマスタ[],2,FALSE)</f>
        <v>モンキー・D・ルフィ</v>
      </c>
      <c r="C84" t="s">
        <v>766</v>
      </c>
      <c r="D84" s="6" t="str">
        <f>VLOOKUP(C84,技マスタ!$A$1:$J$605,2,FALSE)</f>
        <v>ゴムゴムのバズーカ</v>
      </c>
      <c r="E84">
        <v>8</v>
      </c>
      <c r="F84">
        <v>65</v>
      </c>
      <c r="G84" t="s">
        <v>1099</v>
      </c>
      <c r="H84" s="6" t="str">
        <f>IFERROR(VLOOKUP(G84,キャラマスタ[],2,FALSE),"")</f>
        <v>クリーク</v>
      </c>
      <c r="I84"/>
    </row>
    <row r="85" spans="1:9">
      <c r="A85" t="s">
        <v>288</v>
      </c>
      <c r="B85" s="6" t="str">
        <f>VLOOKUP(A85,キャラマスタ[],2,FALSE)</f>
        <v>モンキー・D・ルフィ</v>
      </c>
      <c r="C85" t="s">
        <v>1349</v>
      </c>
      <c r="D85" s="6" t="str">
        <f>VLOOKUP(C85,技マスタ!$A$1:$J$605,2,FALSE)</f>
        <v>ゴムゴムの大槌（オオヅチ）</v>
      </c>
      <c r="E85">
        <v>8</v>
      </c>
      <c r="F85">
        <v>66</v>
      </c>
      <c r="G85" t="s">
        <v>1099</v>
      </c>
      <c r="H85" s="6" t="str">
        <f>IFERROR(VLOOKUP(G85,キャラマスタ[],2,FALSE),"")</f>
        <v>クリーク</v>
      </c>
      <c r="I85">
        <v>1</v>
      </c>
    </row>
    <row r="86" spans="1:9">
      <c r="A86" t="s">
        <v>718</v>
      </c>
      <c r="B86" s="6" t="str">
        <f>VLOOKUP(A86,キャラマスタ[],2,FALSE)</f>
        <v>ウソップ</v>
      </c>
      <c r="C86" t="s">
        <v>972</v>
      </c>
      <c r="D86" s="6" t="str">
        <f>VLOOKUP(C86,技マスタ!$A$1:$J$605,2,FALSE)</f>
        <v>火薬星</v>
      </c>
      <c r="E86">
        <v>9</v>
      </c>
      <c r="F86">
        <v>72</v>
      </c>
      <c r="G86" t="s">
        <v>1506</v>
      </c>
      <c r="H86" s="6" t="str">
        <f>IFERROR(VLOOKUP(G86,キャラマスタ[],2,FALSE),"")</f>
        <v>アーロン</v>
      </c>
      <c r="I86"/>
    </row>
    <row r="87" spans="1:9">
      <c r="A87" t="s">
        <v>718</v>
      </c>
      <c r="B87" s="6" t="str">
        <f>VLOOKUP(A87,キャラマスタ[],2,FALSE)</f>
        <v>ウソップ</v>
      </c>
      <c r="C87" t="s">
        <v>1350</v>
      </c>
      <c r="D87" s="6" t="str">
        <f>VLOOKUP(C87,技マスタ!$A$1:$J$605,2,FALSE)</f>
        <v>卵星</v>
      </c>
      <c r="E87">
        <v>9</v>
      </c>
      <c r="F87">
        <v>72</v>
      </c>
      <c r="G87"/>
      <c r="H87" s="6" t="str">
        <f>IFERROR(VLOOKUP(G87,キャラマスタ[],2,FALSE),"")</f>
        <v/>
      </c>
      <c r="I87"/>
    </row>
    <row r="88" spans="1:9">
      <c r="A88" t="s">
        <v>288</v>
      </c>
      <c r="B88" s="6" t="str">
        <f>VLOOKUP(A88,キャラマスタ[],2,FALSE)</f>
        <v>モンキー・D・ルフィ</v>
      </c>
      <c r="C88" t="s">
        <v>418</v>
      </c>
      <c r="D88" s="6" t="str">
        <f>VLOOKUP(C88,技マスタ!$A$1:$J$605,2,FALSE)</f>
        <v>ゴムゴムの銃（ピストル）</v>
      </c>
      <c r="E88">
        <v>9</v>
      </c>
      <c r="F88">
        <v>73</v>
      </c>
      <c r="G88" t="s">
        <v>1453</v>
      </c>
      <c r="H88" s="6" t="str">
        <f>IFERROR(VLOOKUP(G88,キャラマスタ[],2,FALSE),"")</f>
        <v>モーム</v>
      </c>
      <c r="I88"/>
    </row>
    <row r="89" spans="1:9">
      <c r="A89" t="s">
        <v>942</v>
      </c>
      <c r="B89" s="6" t="str">
        <f>VLOOKUP(A89,キャラマスタ[],2,FALSE)</f>
        <v>サンジ</v>
      </c>
      <c r="C89" t="s">
        <v>1505</v>
      </c>
      <c r="D89" s="6" t="str">
        <f>VLOOKUP(C89,技マスタ!$A$1:$J$605,2,FALSE)</f>
        <v>首肉（コリエ）シュート</v>
      </c>
      <c r="E89">
        <v>9</v>
      </c>
      <c r="F89">
        <v>73</v>
      </c>
      <c r="G89" t="s">
        <v>1453</v>
      </c>
      <c r="H89" s="6" t="str">
        <f>IFERROR(VLOOKUP(G89,キャラマスタ[],2,FALSE),"")</f>
        <v>モーム</v>
      </c>
      <c r="I89">
        <v>1</v>
      </c>
    </row>
    <row r="90" spans="1:9">
      <c r="A90" t="s">
        <v>718</v>
      </c>
      <c r="B90" s="6" t="str">
        <f>VLOOKUP(A90,キャラマスタ[],2,FALSE)</f>
        <v>ウソップ</v>
      </c>
      <c r="C90" t="s">
        <v>1352</v>
      </c>
      <c r="D90" s="6" t="str">
        <f>VLOOKUP(C90,技マスタ!$A$1:$J$605,2,FALSE)</f>
        <v>煙星</v>
      </c>
      <c r="E90">
        <v>9</v>
      </c>
      <c r="F90">
        <v>74</v>
      </c>
      <c r="G90"/>
      <c r="H90" s="6" t="str">
        <f>IFERROR(VLOOKUP(G90,キャラマスタ[],2,FALSE),"")</f>
        <v/>
      </c>
      <c r="I90"/>
    </row>
    <row r="91" spans="1:9">
      <c r="A91" t="s">
        <v>1454</v>
      </c>
      <c r="B91" s="6" t="str">
        <f>VLOOKUP(A91,キャラマスタ[],2,FALSE)</f>
        <v>チュウ</v>
      </c>
      <c r="C91" t="s">
        <v>1353</v>
      </c>
      <c r="D91" s="6" t="str">
        <f>VLOOKUP(C91,技マスタ!$A$1:$J$605,2,FALSE)</f>
        <v>水鉄砲</v>
      </c>
      <c r="E91">
        <v>9</v>
      </c>
      <c r="F91">
        <v>75</v>
      </c>
      <c r="G91"/>
      <c r="H91" s="6" t="str">
        <f>IFERROR(VLOOKUP(G91,キャラマスタ[],2,FALSE),"")</f>
        <v/>
      </c>
      <c r="I91"/>
    </row>
    <row r="92" spans="1:9">
      <c r="A92" t="s">
        <v>1454</v>
      </c>
      <c r="B92" s="6" t="str">
        <f>VLOOKUP(A92,キャラマスタ[],2,FALSE)</f>
        <v>チュウ</v>
      </c>
      <c r="C92" t="s">
        <v>1353</v>
      </c>
      <c r="D92" s="6" t="str">
        <f>VLOOKUP(C92,技マスタ!$A$1:$J$605,2,FALSE)</f>
        <v>水鉄砲</v>
      </c>
      <c r="E92">
        <v>9</v>
      </c>
      <c r="F92">
        <v>75</v>
      </c>
      <c r="G92" t="s">
        <v>1458</v>
      </c>
      <c r="H92" s="6" t="str">
        <f>IFERROR(VLOOKUP(G92,キャラマスタ[],2,FALSE),"")</f>
        <v>プリンプリン</v>
      </c>
      <c r="I92"/>
    </row>
    <row r="93" spans="1:9">
      <c r="A93" t="s">
        <v>288</v>
      </c>
      <c r="B93" s="6" t="str">
        <f>VLOOKUP(A93,キャラマスタ[],2,FALSE)</f>
        <v>モンキー・D・ルフィ</v>
      </c>
      <c r="C93" t="s">
        <v>1354</v>
      </c>
      <c r="D93" s="6" t="str">
        <f>VLOOKUP(C93,技マスタ!$A$1:$J$605,2,FALSE)</f>
        <v>ゴムゴムの風車</v>
      </c>
      <c r="E93">
        <v>10</v>
      </c>
      <c r="F93">
        <v>82</v>
      </c>
      <c r="G93" t="s">
        <v>1453</v>
      </c>
      <c r="H93" s="6" t="str">
        <f>IFERROR(VLOOKUP(G93,キャラマスタ[],2,FALSE),"")</f>
        <v>モーム</v>
      </c>
      <c r="I93">
        <v>1</v>
      </c>
    </row>
    <row r="94" spans="1:9">
      <c r="A94" t="s">
        <v>1311</v>
      </c>
      <c r="B94" s="6" t="str">
        <f>VLOOKUP(A94,キャラマスタ[],2,FALSE)</f>
        <v>はっちゃん</v>
      </c>
      <c r="C94" t="s">
        <v>1355</v>
      </c>
      <c r="D94" s="6" t="str">
        <f>VLOOKUP(C94,技マスタ!$A$1:$J$605,2,FALSE)</f>
        <v>たこはちブラック</v>
      </c>
      <c r="E94">
        <v>10</v>
      </c>
      <c r="F94">
        <v>83</v>
      </c>
      <c r="G94" t="s">
        <v>288</v>
      </c>
      <c r="H94" s="6" t="str">
        <f>IFERROR(VLOOKUP(G94,キャラマスタ[],2,FALSE),"")</f>
        <v>モンキー・D・ルフィ</v>
      </c>
      <c r="I94"/>
    </row>
    <row r="95" spans="1:9">
      <c r="A95" t="s">
        <v>1311</v>
      </c>
      <c r="B95" s="6" t="str">
        <f>VLOOKUP(A95,キャラマスタ[],2,FALSE)</f>
        <v>はっちゃん</v>
      </c>
      <c r="C95" t="s">
        <v>1356</v>
      </c>
      <c r="D95" s="6" t="str">
        <f>VLOOKUP(C95,技マスタ!$A$1:$J$605,2,FALSE)</f>
        <v>たこはちブラック オン・ザ ロック</v>
      </c>
      <c r="E95">
        <v>10</v>
      </c>
      <c r="F95">
        <v>83</v>
      </c>
      <c r="G95" t="s">
        <v>288</v>
      </c>
      <c r="H95" s="6" t="str">
        <f>IFERROR(VLOOKUP(G95,キャラマスタ[],2,FALSE),"")</f>
        <v>モンキー・D・ルフィ</v>
      </c>
      <c r="I95"/>
    </row>
    <row r="96" spans="1:9">
      <c r="A96" t="s">
        <v>718</v>
      </c>
      <c r="B96" s="6" t="str">
        <f>VLOOKUP(A96,キャラマスタ[],2,FALSE)</f>
        <v>ウソップ</v>
      </c>
      <c r="C96" t="s">
        <v>1659</v>
      </c>
      <c r="D96" s="6" t="str">
        <f>VLOOKUP(C96,技マスタ!$A$1:$J$605,2,FALSE)</f>
        <v>火炎星</v>
      </c>
      <c r="E96">
        <v>10</v>
      </c>
      <c r="F96">
        <v>83</v>
      </c>
      <c r="G96" t="s">
        <v>1454</v>
      </c>
      <c r="H96" s="6" t="str">
        <f>IFERROR(VLOOKUP(G96,キャラマスタ[],2,FALSE),"")</f>
        <v>チュウ</v>
      </c>
      <c r="I96"/>
    </row>
    <row r="97" spans="1:9">
      <c r="A97" t="s">
        <v>288</v>
      </c>
      <c r="B97" s="6" t="str">
        <f>VLOOKUP(A97,キャラマスタ[],2,FALSE)</f>
        <v>モンキー・D・ルフィ</v>
      </c>
      <c r="C97" t="s">
        <v>418</v>
      </c>
      <c r="D97" s="6" t="str">
        <f>VLOOKUP(C97,技マスタ!$A$1:$J$605,2,FALSE)</f>
        <v>ゴムゴムの銃（ピストル）</v>
      </c>
      <c r="E97">
        <v>10</v>
      </c>
      <c r="F97">
        <v>83</v>
      </c>
      <c r="G97" t="s">
        <v>1310</v>
      </c>
      <c r="H97" s="6" t="str">
        <f>IFERROR(VLOOKUP(G97,キャラマスタ[],2,FALSE),"")</f>
        <v>アーロン</v>
      </c>
      <c r="I97"/>
    </row>
    <row r="98" spans="1:9">
      <c r="A98" t="s">
        <v>1311</v>
      </c>
      <c r="B98" s="6" t="str">
        <f>VLOOKUP(A98,キャラマスタ[],2,FALSE)</f>
        <v>はっちゃん</v>
      </c>
      <c r="C98" t="s">
        <v>1355</v>
      </c>
      <c r="D98" s="6" t="str">
        <f>VLOOKUP(C98,技マスタ!$A$1:$J$605,2,FALSE)</f>
        <v>たこはちブラック</v>
      </c>
      <c r="E98">
        <v>10</v>
      </c>
      <c r="F98">
        <v>84</v>
      </c>
      <c r="G98" t="s">
        <v>308</v>
      </c>
      <c r="H98" s="6" t="str">
        <f>IFERROR(VLOOKUP(G98,キャラマスタ[],2,FALSE),"")</f>
        <v>ロロノア・ゾロ</v>
      </c>
      <c r="I98"/>
    </row>
    <row r="99" spans="1:9">
      <c r="A99" t="s">
        <v>1311</v>
      </c>
      <c r="B99" s="6" t="str">
        <f>VLOOKUP(A99,キャラマスタ[],2,FALSE)</f>
        <v>はっちゃん</v>
      </c>
      <c r="C99" t="s">
        <v>1660</v>
      </c>
      <c r="D99" s="6" t="str">
        <f>VLOOKUP(C99,技マスタ!$A$1:$J$605,2,FALSE)</f>
        <v>蛸・三・連・真・剣・白・刃・取り</v>
      </c>
      <c r="E99">
        <v>10</v>
      </c>
      <c r="F99">
        <v>84</v>
      </c>
      <c r="G99" t="s">
        <v>308</v>
      </c>
      <c r="H99" s="6" t="str">
        <f>IFERROR(VLOOKUP(G99,キャラマスタ[],2,FALSE),"")</f>
        <v>ロロノア・ゾロ</v>
      </c>
      <c r="I99"/>
    </row>
    <row r="100" spans="1:9">
      <c r="A100" t="s">
        <v>1311</v>
      </c>
      <c r="B100" s="6" t="str">
        <f>VLOOKUP(A100,キャラマスタ[],2,FALSE)</f>
        <v>はっちゃん</v>
      </c>
      <c r="C100" t="s">
        <v>1661</v>
      </c>
      <c r="D100" s="6" t="str">
        <f>VLOOKUP(C100,技マスタ!$A$1:$J$605,2,FALSE)</f>
        <v>タコハチ 吸盤 （ナンバーナイン）</v>
      </c>
      <c r="E100">
        <v>10</v>
      </c>
      <c r="F100">
        <v>84</v>
      </c>
      <c r="G100" t="s">
        <v>308</v>
      </c>
      <c r="H100" s="6" t="str">
        <f>IFERROR(VLOOKUP(G100,キャラマスタ[],2,FALSE),"")</f>
        <v>ロロノア・ゾロ</v>
      </c>
      <c r="I100"/>
    </row>
    <row r="101" spans="1:9">
      <c r="A101" t="s">
        <v>1311</v>
      </c>
      <c r="B101" s="6" t="str">
        <f>VLOOKUP(A101,キャラマスタ[],2,FALSE)</f>
        <v>はっちゃん</v>
      </c>
      <c r="C101" t="s">
        <v>1662</v>
      </c>
      <c r="D101" s="6" t="str">
        <f>VLOOKUP(C101,技マスタ!$A$1:$J$605,2,FALSE)</f>
        <v>タコ焼きパンチ</v>
      </c>
      <c r="E101">
        <v>10</v>
      </c>
      <c r="F101">
        <v>84</v>
      </c>
      <c r="G101" t="s">
        <v>308</v>
      </c>
      <c r="H101" s="6" t="str">
        <f>IFERROR(VLOOKUP(G101,キャラマスタ[],2,FALSE),"")</f>
        <v>ロロノア・ゾロ</v>
      </c>
      <c r="I101"/>
    </row>
    <row r="102" spans="1:9">
      <c r="A102" t="s">
        <v>1311</v>
      </c>
      <c r="B102" s="6" t="str">
        <f>VLOOKUP(A102,キャラマスタ[],2,FALSE)</f>
        <v>はっちゃん</v>
      </c>
      <c r="C102" t="s">
        <v>1663</v>
      </c>
      <c r="D102" s="6" t="str">
        <f>VLOOKUP(C102,技マスタ!$A$1:$J$605,2,FALSE)</f>
        <v xml:space="preserve">六刀流 蛸足奇剣 </v>
      </c>
      <c r="E102">
        <v>10</v>
      </c>
      <c r="F102">
        <v>85</v>
      </c>
      <c r="G102" t="s">
        <v>308</v>
      </c>
      <c r="H102" s="6" t="str">
        <f>IFERROR(VLOOKUP(G102,キャラマスタ[],2,FALSE),"")</f>
        <v>ロロノア・ゾロ</v>
      </c>
      <c r="I102"/>
    </row>
    <row r="103" spans="1:9">
      <c r="A103" t="s">
        <v>308</v>
      </c>
      <c r="B103" s="6" t="str">
        <f>VLOOKUP(A103,キャラマスタ[],2,FALSE)</f>
        <v>ロロノア・ゾロ</v>
      </c>
      <c r="C103" t="s">
        <v>1664</v>
      </c>
      <c r="D103" s="6" t="str">
        <f>VLOOKUP(C103,技マスタ!$A$1:$J$605,2,FALSE)</f>
        <v>三刀流 刀狼流し （とうろうながし）</v>
      </c>
      <c r="E103">
        <v>10</v>
      </c>
      <c r="F103">
        <v>85</v>
      </c>
      <c r="G103" t="s">
        <v>1311</v>
      </c>
      <c r="H103" s="6" t="str">
        <f>IFERROR(VLOOKUP(G103,キャラマスタ[],2,FALSE),"")</f>
        <v>はっちゃん</v>
      </c>
      <c r="I103"/>
    </row>
    <row r="104" spans="1:9">
      <c r="A104" t="s">
        <v>1311</v>
      </c>
      <c r="B104" s="6" t="str">
        <f>VLOOKUP(A104,キャラマスタ[],2,FALSE)</f>
        <v>はっちゃん</v>
      </c>
      <c r="C104" t="s">
        <v>1665</v>
      </c>
      <c r="D104" s="6" t="str">
        <f>VLOOKUP(C104,技マスタ!$A$1:$J$605,2,FALSE)</f>
        <v xml:space="preserve">六刀流「タコツボの構え」 新・春  蛸・開げ  体壊 </v>
      </c>
      <c r="E104">
        <v>10</v>
      </c>
      <c r="F104">
        <v>85</v>
      </c>
      <c r="G104" t="s">
        <v>308</v>
      </c>
      <c r="H104" s="6" t="str">
        <f>IFERROR(VLOOKUP(G104,キャラマスタ[],2,FALSE),"")</f>
        <v>ロロノア・ゾロ</v>
      </c>
      <c r="I104"/>
    </row>
    <row r="105" spans="1:9">
      <c r="A105" t="s">
        <v>1311</v>
      </c>
      <c r="B105" s="6" t="str">
        <f>VLOOKUP(A105,キャラマスタ[],2,FALSE)</f>
        <v>はっちゃん</v>
      </c>
      <c r="C105" t="s">
        <v>1666</v>
      </c>
      <c r="D105" s="6" t="str">
        <f>VLOOKUP(C105,技マスタ!$A$1:$J$605,2,FALSE)</f>
        <v xml:space="preserve">六刀流 奥義  六刀の円舞曲 </v>
      </c>
      <c r="E105">
        <v>10</v>
      </c>
      <c r="F105">
        <v>85</v>
      </c>
      <c r="G105" t="s">
        <v>308</v>
      </c>
      <c r="H105" s="6" t="str">
        <f>IFERROR(VLOOKUP(G105,キャラマスタ[],2,FALSE),"")</f>
        <v>ロロノア・ゾロ</v>
      </c>
      <c r="I105"/>
    </row>
    <row r="106" spans="1:9" customFormat="1">
      <c r="A106" t="s">
        <v>308</v>
      </c>
      <c r="B106" s="6" t="str">
        <f>VLOOKUP(A106,キャラマスタ[],2,FALSE)</f>
        <v>ロロノア・ゾロ</v>
      </c>
      <c r="C106" t="s">
        <v>636</v>
      </c>
      <c r="D106" s="6" t="str">
        <f>VLOOKUP(C106,技マスタ!$A$1:$J$605,2,FALSE)</f>
        <v>鬼斬り</v>
      </c>
      <c r="E106">
        <v>10</v>
      </c>
      <c r="F106">
        <v>85</v>
      </c>
      <c r="G106" t="s">
        <v>1311</v>
      </c>
      <c r="H106" s="6" t="str">
        <f>IFERROR(VLOOKUP(G106,キャラマスタ[],2,FALSE),"")</f>
        <v>はっちゃん</v>
      </c>
    </row>
    <row r="107" spans="1:9">
      <c r="A107" t="s">
        <v>308</v>
      </c>
      <c r="B107" s="6" t="str">
        <f>VLOOKUP(A107,キャラマスタ[],2,FALSE)</f>
        <v>ロロノア・ゾロ</v>
      </c>
      <c r="C107" t="s">
        <v>1667</v>
      </c>
      <c r="D107" s="6" t="str">
        <f>VLOOKUP(C107,技マスタ!$A$1:$J$605,2,FALSE)</f>
        <v>龍巻き</v>
      </c>
      <c r="E107">
        <v>10</v>
      </c>
      <c r="F107">
        <v>85</v>
      </c>
      <c r="G107" t="s">
        <v>1311</v>
      </c>
      <c r="H107" s="6" t="str">
        <f>IFERROR(VLOOKUP(G107,キャラマスタ[],2,FALSE),"")</f>
        <v>はっちゃん</v>
      </c>
      <c r="I107">
        <v>1</v>
      </c>
    </row>
    <row r="108" spans="1:9">
      <c r="A108" t="s">
        <v>1455</v>
      </c>
      <c r="B108" s="6" t="str">
        <f>VLOOKUP(A108,キャラマスタ[],2,FALSE)</f>
        <v>クロオビ</v>
      </c>
      <c r="C108" t="s">
        <v>1668</v>
      </c>
      <c r="D108" s="6" t="str">
        <f>VLOOKUP(C108,技マスタ!$A$1:$J$605,2,FALSE)</f>
        <v xml:space="preserve">魚人空手 腕刀切り </v>
      </c>
      <c r="E108">
        <v>10</v>
      </c>
      <c r="F108">
        <v>86</v>
      </c>
      <c r="G108" t="s">
        <v>942</v>
      </c>
      <c r="H108" s="6" t="str">
        <f>IFERROR(VLOOKUP(G108,キャラマスタ[],2,FALSE),"")</f>
        <v>サンジ</v>
      </c>
      <c r="I108"/>
    </row>
    <row r="109" spans="1:9">
      <c r="A109" t="s">
        <v>1455</v>
      </c>
      <c r="B109" s="6" t="str">
        <f>VLOOKUP(A109,キャラマスタ[],2,FALSE)</f>
        <v>クロオビ</v>
      </c>
      <c r="C109" t="s">
        <v>1674</v>
      </c>
      <c r="D109" s="6" t="str">
        <f>VLOOKUP(C109,技マスタ!$A$1:$J$605,2,FALSE)</f>
        <v>イトマキ組手</v>
      </c>
      <c r="E109">
        <v>10</v>
      </c>
      <c r="F109">
        <v>86</v>
      </c>
      <c r="G109" t="s">
        <v>942</v>
      </c>
      <c r="H109" s="6" t="str">
        <f>IFERROR(VLOOKUP(G109,キャラマスタ[],2,FALSE),"")</f>
        <v>サンジ</v>
      </c>
      <c r="I109"/>
    </row>
    <row r="110" spans="1:9">
      <c r="A110" t="s">
        <v>1455</v>
      </c>
      <c r="B110" s="6" t="str">
        <f>VLOOKUP(A110,キャラマスタ[],2,FALSE)</f>
        <v>クロオビ</v>
      </c>
      <c r="C110" t="s">
        <v>1675</v>
      </c>
      <c r="D110" s="6" t="str">
        <f>VLOOKUP(C110,技マスタ!$A$1:$J$605,2,FALSE)</f>
        <v xml:space="preserve">海速 腹下し蹴り </v>
      </c>
      <c r="E110">
        <v>10</v>
      </c>
      <c r="F110">
        <v>86</v>
      </c>
      <c r="G110" t="s">
        <v>942</v>
      </c>
      <c r="H110" s="6" t="str">
        <f>IFERROR(VLOOKUP(G110,キャラマスタ[],2,FALSE),"")</f>
        <v>サンジ</v>
      </c>
      <c r="I110"/>
    </row>
    <row r="111" spans="1:9">
      <c r="A111" t="s">
        <v>1455</v>
      </c>
      <c r="B111" s="6" t="str">
        <f>VLOOKUP(A111,キャラマスタ[],2,FALSE)</f>
        <v>クロオビ</v>
      </c>
      <c r="C111" t="s">
        <v>1676</v>
      </c>
      <c r="D111" s="6" t="str">
        <f>VLOOKUP(C111,技マスタ!$A$1:$J$605,2,FALSE)</f>
        <v>火華カカト落とし</v>
      </c>
      <c r="E111">
        <v>10</v>
      </c>
      <c r="F111">
        <v>86</v>
      </c>
      <c r="G111" t="s">
        <v>942</v>
      </c>
      <c r="H111" s="6" t="str">
        <f>IFERROR(VLOOKUP(G111,キャラマスタ[],2,FALSE),"")</f>
        <v>サンジ</v>
      </c>
      <c r="I111"/>
    </row>
    <row r="112" spans="1:9">
      <c r="A112" t="s">
        <v>1455</v>
      </c>
      <c r="B112" s="6" t="str">
        <f>VLOOKUP(A112,キャラマスタ[],2,FALSE)</f>
        <v>クロオビ</v>
      </c>
      <c r="C112" t="s">
        <v>1677</v>
      </c>
      <c r="D112" s="6" t="str">
        <f>VLOOKUP(C112,技マスタ!$A$1:$J$605,2,FALSE)</f>
        <v>カチ上げ背足</v>
      </c>
      <c r="E112">
        <v>10</v>
      </c>
      <c r="F112">
        <v>86</v>
      </c>
      <c r="G112" t="s">
        <v>942</v>
      </c>
      <c r="H112" s="6" t="str">
        <f>IFERROR(VLOOKUP(G112,キャラマスタ[],2,FALSE),"")</f>
        <v>サンジ</v>
      </c>
      <c r="I112"/>
    </row>
    <row r="113" spans="1:9">
      <c r="A113" t="s">
        <v>1455</v>
      </c>
      <c r="B113" s="6" t="str">
        <f>VLOOKUP(A113,キャラマスタ[],2,FALSE)</f>
        <v>クロオビ</v>
      </c>
      <c r="C113" t="s">
        <v>1678</v>
      </c>
      <c r="D113" s="6" t="str">
        <f>VLOOKUP(C113,技マスタ!$A$1:$J$605,2,FALSE)</f>
        <v>上段爆掌</v>
      </c>
      <c r="E113">
        <v>10</v>
      </c>
      <c r="F113">
        <v>86</v>
      </c>
      <c r="G113" t="s">
        <v>942</v>
      </c>
      <c r="H113" s="6" t="str">
        <f>IFERROR(VLOOKUP(G113,キャラマスタ[],2,FALSE),"")</f>
        <v>サンジ</v>
      </c>
      <c r="I113"/>
    </row>
    <row r="114" spans="1:9">
      <c r="A114" t="s">
        <v>1455</v>
      </c>
      <c r="B114" s="6" t="str">
        <f>VLOOKUP(A114,キャラマスタ[],2,FALSE)</f>
        <v>クロオビ</v>
      </c>
      <c r="C114" t="s">
        <v>1679</v>
      </c>
      <c r="D114" s="6" t="str">
        <f>VLOOKUP(C114,技マスタ!$A$1:$J$605,2,FALSE)</f>
        <v>圧迫死直下航路</v>
      </c>
      <c r="E114">
        <v>10</v>
      </c>
      <c r="F114">
        <v>86</v>
      </c>
      <c r="G114" t="s">
        <v>942</v>
      </c>
      <c r="H114" s="6" t="str">
        <f>IFERROR(VLOOKUP(G114,キャラマスタ[],2,FALSE),"")</f>
        <v>サンジ</v>
      </c>
      <c r="I114"/>
    </row>
    <row r="115" spans="1:9">
      <c r="A115" t="s">
        <v>942</v>
      </c>
      <c r="B115" s="6" t="str">
        <f>VLOOKUP(A115,キャラマスタ[],2,FALSE)</f>
        <v>サンジ</v>
      </c>
      <c r="C115" t="s">
        <v>1680</v>
      </c>
      <c r="D115" s="6" t="str">
        <f>VLOOKUP(C115,技マスタ!$A$1:$J$605,2,FALSE)</f>
        <v>首肉（コリエ）</v>
      </c>
      <c r="E115">
        <v>10</v>
      </c>
      <c r="F115">
        <v>86</v>
      </c>
      <c r="G115" t="s">
        <v>1455</v>
      </c>
      <c r="H115" s="6" t="str">
        <f>IFERROR(VLOOKUP(G115,キャラマスタ[],2,FALSE),"")</f>
        <v>クロオビ</v>
      </c>
      <c r="I115"/>
    </row>
    <row r="116" spans="1:9">
      <c r="A116" t="s">
        <v>942</v>
      </c>
      <c r="B116" s="6" t="str">
        <f>VLOOKUP(A116,キャラマスタ[],2,FALSE)</f>
        <v>サンジ</v>
      </c>
      <c r="C116" t="s">
        <v>1681</v>
      </c>
      <c r="D116" s="6" t="str">
        <f>VLOOKUP(C116,技マスタ!$A$1:$J$605,2,FALSE)</f>
        <v>肩肉（エポール）</v>
      </c>
      <c r="E116">
        <v>10</v>
      </c>
      <c r="F116">
        <v>86</v>
      </c>
      <c r="G116" t="s">
        <v>1455</v>
      </c>
      <c r="H116" s="6" t="str">
        <f>IFERROR(VLOOKUP(G116,キャラマスタ[],2,FALSE),"")</f>
        <v>クロオビ</v>
      </c>
      <c r="I116"/>
    </row>
    <row r="117" spans="1:9">
      <c r="A117" t="s">
        <v>942</v>
      </c>
      <c r="B117" s="6" t="str">
        <f>VLOOKUP(A117,キャラマスタ[],2,FALSE)</f>
        <v>サンジ</v>
      </c>
      <c r="C117" t="s">
        <v>1682</v>
      </c>
      <c r="D117" s="6" t="str">
        <f>VLOOKUP(C117,技マスタ!$A$1:$J$605,2,FALSE)</f>
        <v>背肉（コートレット）</v>
      </c>
      <c r="E117">
        <v>10</v>
      </c>
      <c r="F117">
        <v>86</v>
      </c>
      <c r="G117" t="s">
        <v>1455</v>
      </c>
      <c r="H117" s="6" t="str">
        <f>IFERROR(VLOOKUP(G117,キャラマスタ[],2,FALSE),"")</f>
        <v>クロオビ</v>
      </c>
      <c r="I117"/>
    </row>
    <row r="118" spans="1:9">
      <c r="A118" t="s">
        <v>942</v>
      </c>
      <c r="B118" s="6" t="str">
        <f>VLOOKUP(A118,キャラマスタ[],2,FALSE)</f>
        <v>サンジ</v>
      </c>
      <c r="C118" t="s">
        <v>1683</v>
      </c>
      <c r="D118" s="6" t="str">
        <f>VLOOKUP(C118,技マスタ!$A$1:$J$605,2,FALSE)</f>
        <v>鞍下肉（セル）</v>
      </c>
      <c r="E118">
        <v>10</v>
      </c>
      <c r="F118">
        <v>86</v>
      </c>
      <c r="G118" t="s">
        <v>1455</v>
      </c>
      <c r="H118" s="6" t="str">
        <f>IFERROR(VLOOKUP(G118,キャラマスタ[],2,FALSE),"")</f>
        <v>クロオビ</v>
      </c>
      <c r="I118"/>
    </row>
    <row r="119" spans="1:9">
      <c r="A119" t="s">
        <v>942</v>
      </c>
      <c r="B119" s="6" t="str">
        <f>VLOOKUP(A119,キャラマスタ[],2,FALSE)</f>
        <v>サンジ</v>
      </c>
      <c r="C119" t="s">
        <v>1685</v>
      </c>
      <c r="D119" s="6" t="str">
        <f>VLOOKUP(C119,技マスタ!$A$1:$J$605,2,FALSE)</f>
        <v>胸肉（ポワトリーヌ）</v>
      </c>
      <c r="E119">
        <v>10</v>
      </c>
      <c r="F119">
        <v>86</v>
      </c>
      <c r="G119" t="s">
        <v>1455</v>
      </c>
      <c r="H119" s="6" t="str">
        <f>IFERROR(VLOOKUP(G119,キャラマスタ[],2,FALSE),"")</f>
        <v>クロオビ</v>
      </c>
      <c r="I119"/>
    </row>
    <row r="120" spans="1:9">
      <c r="A120" t="s">
        <v>942</v>
      </c>
      <c r="B120" s="6" t="str">
        <f>VLOOKUP(A120,キャラマスタ[],2,FALSE)</f>
        <v>サンジ</v>
      </c>
      <c r="C120" t="s">
        <v>1686</v>
      </c>
      <c r="D120" s="6" t="str">
        <f>VLOOKUP(C120,技マスタ!$A$1:$J$605,2,FALSE)</f>
        <v>もも肉（ジゴー）</v>
      </c>
      <c r="E120">
        <v>10</v>
      </c>
      <c r="F120">
        <v>86</v>
      </c>
      <c r="G120" t="s">
        <v>1455</v>
      </c>
      <c r="H120" s="6" t="str">
        <f>IFERROR(VLOOKUP(G120,キャラマスタ[],2,FALSE),"")</f>
        <v>クロオビ</v>
      </c>
      <c r="I120"/>
    </row>
    <row r="121" spans="1:9">
      <c r="A121" t="s">
        <v>942</v>
      </c>
      <c r="B121" s="6" t="str">
        <f>VLOOKUP(A121,キャラマスタ[],2,FALSE)</f>
        <v>サンジ</v>
      </c>
      <c r="C121" t="s">
        <v>1687</v>
      </c>
      <c r="D121" s="6" t="str">
        <f>VLOOKUP(C121,技マスタ!$A$1:$J$605,2,FALSE)</f>
        <v>羊肉（ムートン）ショット</v>
      </c>
      <c r="E121">
        <v>10</v>
      </c>
      <c r="F121">
        <v>86</v>
      </c>
      <c r="G121" t="s">
        <v>1455</v>
      </c>
      <c r="H121" s="6" t="str">
        <f>IFERROR(VLOOKUP(G121,キャラマスタ[],2,FALSE),"")</f>
        <v>クロオビ</v>
      </c>
      <c r="I121">
        <v>1</v>
      </c>
    </row>
    <row r="122" spans="1:9">
      <c r="A122" t="s">
        <v>1455</v>
      </c>
      <c r="B122" s="6" t="str">
        <f>VLOOKUP(A122,キャラマスタ[],2,FALSE)</f>
        <v>クロオビ</v>
      </c>
      <c r="C122" t="s">
        <v>1688</v>
      </c>
      <c r="D122" s="6" t="str">
        <f>VLOOKUP(C122,技マスタ!$A$1:$J$605,2,FALSE)</f>
        <v>魚人空手 千枚瓦正拳</v>
      </c>
      <c r="E122">
        <v>10</v>
      </c>
      <c r="F122">
        <v>86</v>
      </c>
      <c r="G122" t="s">
        <v>942</v>
      </c>
      <c r="H122" s="6" t="str">
        <f>IFERROR(VLOOKUP(G122,キャラマスタ[],2,FALSE),"")</f>
        <v>サンジ</v>
      </c>
      <c r="I122"/>
    </row>
    <row r="123" spans="1:9">
      <c r="A123" t="s">
        <v>718</v>
      </c>
      <c r="B123" s="6" t="str">
        <f>VLOOKUP(A123,キャラマスタ[],2,FALSE)</f>
        <v>ウソップ</v>
      </c>
      <c r="C123" t="s">
        <v>1689</v>
      </c>
      <c r="D123" s="6" t="str">
        <f>VLOOKUP(C123,技マスタ!$A$1:$J$605,2,FALSE)</f>
        <v>ケチャップ星</v>
      </c>
      <c r="E123">
        <v>10</v>
      </c>
      <c r="F123">
        <v>87</v>
      </c>
      <c r="G123" t="s">
        <v>1454</v>
      </c>
      <c r="H123" s="6" t="str">
        <f>IFERROR(VLOOKUP(G123,キャラマスタ[],2,FALSE),"")</f>
        <v>チュウ</v>
      </c>
      <c r="I123"/>
    </row>
    <row r="124" spans="1:9">
      <c r="A124" t="s">
        <v>718</v>
      </c>
      <c r="B124" s="6" t="str">
        <f>VLOOKUP(A124,キャラマスタ[],2,FALSE)</f>
        <v>ウソップ</v>
      </c>
      <c r="C124" t="s">
        <v>1690</v>
      </c>
      <c r="D124" s="6" t="str">
        <f>VLOOKUP(C124,技マスタ!$A$1:$J$605,2,FALSE)</f>
        <v>ウソップハンマー</v>
      </c>
      <c r="E124">
        <v>10</v>
      </c>
      <c r="F124">
        <v>87</v>
      </c>
      <c r="G124" t="s">
        <v>1454</v>
      </c>
      <c r="H124" s="6" t="str">
        <f>IFERROR(VLOOKUP(G124,キャラマスタ[],2,FALSE),"")</f>
        <v>チュウ</v>
      </c>
      <c r="I124"/>
    </row>
    <row r="125" spans="1:9">
      <c r="A125" t="s">
        <v>718</v>
      </c>
      <c r="B125" s="6" t="str">
        <f>VLOOKUP(A125,キャラマスタ[],2,FALSE)</f>
        <v>ウソップ</v>
      </c>
      <c r="C125" t="s">
        <v>1691</v>
      </c>
      <c r="D125" s="6" t="str">
        <f>VLOOKUP(C125,技マスタ!$A$1:$J$605,2,FALSE)</f>
        <v>ウソップ輪ごーむ</v>
      </c>
      <c r="E125">
        <v>10</v>
      </c>
      <c r="F125">
        <v>87</v>
      </c>
      <c r="G125" t="s">
        <v>1454</v>
      </c>
      <c r="H125" s="6" t="str">
        <f>IFERROR(VLOOKUP(G125,キャラマスタ[],2,FALSE),"")</f>
        <v>チュウ</v>
      </c>
      <c r="I125"/>
    </row>
    <row r="126" spans="1:9" customFormat="1">
      <c r="A126" t="s">
        <v>718</v>
      </c>
      <c r="B126" s="6" t="str">
        <f>VLOOKUP(A126,キャラマスタ[],2,FALSE)</f>
        <v>ウソップ</v>
      </c>
      <c r="C126" t="s">
        <v>1005</v>
      </c>
      <c r="D126" s="6" t="str">
        <f>VLOOKUP(C126,技マスタ!$A$1:$J$605,2,FALSE)</f>
        <v>鉛星</v>
      </c>
      <c r="E126">
        <v>10</v>
      </c>
      <c r="F126">
        <v>87</v>
      </c>
      <c r="G126" t="s">
        <v>1454</v>
      </c>
      <c r="H126" s="6" t="str">
        <f>IFERROR(VLOOKUP(G126,キャラマスタ[],2,FALSE),"")</f>
        <v>チュウ</v>
      </c>
    </row>
    <row r="127" spans="1:9">
      <c r="A127" t="s">
        <v>1454</v>
      </c>
      <c r="B127" s="6" t="str">
        <f>VLOOKUP(A127,キャラマスタ[],2,FALSE)</f>
        <v>チュウ</v>
      </c>
      <c r="C127" t="s">
        <v>1692</v>
      </c>
      <c r="D127" s="6" t="str">
        <f>VLOOKUP(C127,技マスタ!$A$1:$J$605,2,FALSE)</f>
        <v>水大砲</v>
      </c>
      <c r="E127">
        <v>10</v>
      </c>
      <c r="F127">
        <v>87</v>
      </c>
      <c r="G127" t="s">
        <v>718</v>
      </c>
      <c r="H127" s="6" t="str">
        <f>IFERROR(VLOOKUP(G127,キャラマスタ[],2,FALSE),"")</f>
        <v>ウソップ</v>
      </c>
      <c r="I127"/>
    </row>
    <row r="128" spans="1:9">
      <c r="A128" t="s">
        <v>1454</v>
      </c>
      <c r="B128" s="6" t="str">
        <f>VLOOKUP(A128,キャラマスタ[],2,FALSE)</f>
        <v>チュウ</v>
      </c>
      <c r="C128" t="s">
        <v>1693</v>
      </c>
      <c r="D128" s="6" t="str">
        <f>VLOOKUP(C128,技マスタ!$A$1:$J$605,2,FALSE)</f>
        <v>百発水鉄砲</v>
      </c>
      <c r="E128">
        <v>10</v>
      </c>
      <c r="F128">
        <v>87</v>
      </c>
      <c r="G128" t="s">
        <v>718</v>
      </c>
      <c r="H128" s="6" t="str">
        <f>IFERROR(VLOOKUP(G128,キャラマスタ[],2,FALSE),"")</f>
        <v>ウソップ</v>
      </c>
      <c r="I128"/>
    </row>
    <row r="129" spans="1:9">
      <c r="A129" t="s">
        <v>718</v>
      </c>
      <c r="B129" s="6" t="str">
        <f>VLOOKUP(A129,キャラマスタ[],2,FALSE)</f>
        <v>ウソップ</v>
      </c>
      <c r="C129" t="s">
        <v>1659</v>
      </c>
      <c r="D129" s="6" t="str">
        <f>VLOOKUP(C129,技マスタ!$A$1:$J$605,2,FALSE)</f>
        <v>火炎星</v>
      </c>
      <c r="E129">
        <v>10</v>
      </c>
      <c r="F129">
        <v>87</v>
      </c>
      <c r="G129" t="s">
        <v>1454</v>
      </c>
      <c r="H129" s="6" t="str">
        <f>IFERROR(VLOOKUP(G129,キャラマスタ[],2,FALSE),"")</f>
        <v>チュウ</v>
      </c>
      <c r="I129"/>
    </row>
    <row r="130" spans="1:9">
      <c r="A130" t="s">
        <v>1310</v>
      </c>
      <c r="B130" s="6" t="str">
        <f>VLOOKUP(A130,キャラマスタ[],2,FALSE)</f>
        <v>アーロン</v>
      </c>
      <c r="C130" t="s">
        <v>1694</v>
      </c>
      <c r="D130" s="6" t="str">
        <f>VLOOKUP(C130,技マスタ!$A$1:$J$605,2,FALSE)</f>
        <v>打ち水</v>
      </c>
      <c r="E130">
        <v>10</v>
      </c>
      <c r="F130">
        <v>88</v>
      </c>
      <c r="G130" t="s">
        <v>942</v>
      </c>
      <c r="H130" s="6" t="str">
        <f>IFERROR(VLOOKUP(G130,キャラマスタ[],2,FALSE),"")</f>
        <v>サンジ</v>
      </c>
      <c r="I130"/>
    </row>
    <row r="131" spans="1:9">
      <c r="A131" t="s">
        <v>718</v>
      </c>
      <c r="B131" s="6" t="str">
        <f>VLOOKUP(A131,キャラマスタ[],2,FALSE)</f>
        <v>ウソップ</v>
      </c>
      <c r="C131" t="s">
        <v>1690</v>
      </c>
      <c r="D131" s="6" t="str">
        <f>VLOOKUP(C131,技マスタ!$A$1:$J$605,2,FALSE)</f>
        <v>ウソップハンマー</v>
      </c>
      <c r="E131">
        <v>10</v>
      </c>
      <c r="F131">
        <v>88</v>
      </c>
      <c r="G131" t="s">
        <v>1454</v>
      </c>
      <c r="H131" s="6" t="str">
        <f>IFERROR(VLOOKUP(G131,キャラマスタ[],2,FALSE),"")</f>
        <v>チュウ</v>
      </c>
      <c r="I131"/>
    </row>
    <row r="132" spans="1:9">
      <c r="A132" t="s">
        <v>718</v>
      </c>
      <c r="B132" s="6" t="str">
        <f>VLOOKUP(A132,キャラマスタ[],2,FALSE)</f>
        <v>ウソップ</v>
      </c>
      <c r="C132" t="s">
        <v>1690</v>
      </c>
      <c r="D132" s="6" t="str">
        <f>VLOOKUP(C132,技マスタ!$A$1:$J$605,2,FALSE)</f>
        <v>ウソップハンマー</v>
      </c>
      <c r="E132">
        <v>10</v>
      </c>
      <c r="F132">
        <v>88</v>
      </c>
      <c r="G132" t="s">
        <v>1454</v>
      </c>
      <c r="H132" s="6" t="str">
        <f>IFERROR(VLOOKUP(G132,キャラマスタ[],2,FALSE),"")</f>
        <v>チュウ</v>
      </c>
      <c r="I132"/>
    </row>
    <row r="133" spans="1:9">
      <c r="A133" t="s">
        <v>718</v>
      </c>
      <c r="B133" s="6" t="str">
        <f>VLOOKUP(A133,キャラマスタ[],2,FALSE)</f>
        <v>ウソップ</v>
      </c>
      <c r="C133" t="s">
        <v>1690</v>
      </c>
      <c r="D133" s="6" t="str">
        <f>VLOOKUP(C133,技マスタ!$A$1:$J$605,2,FALSE)</f>
        <v>ウソップハンマー</v>
      </c>
      <c r="E133">
        <v>10</v>
      </c>
      <c r="F133">
        <v>88</v>
      </c>
      <c r="G133" t="s">
        <v>1454</v>
      </c>
      <c r="H133" s="6" t="str">
        <f>IFERROR(VLOOKUP(G133,キャラマスタ[],2,FALSE),"")</f>
        <v>チュウ</v>
      </c>
      <c r="I133"/>
    </row>
    <row r="134" spans="1:9">
      <c r="A134" t="s">
        <v>718</v>
      </c>
      <c r="B134" s="6" t="str">
        <f>VLOOKUP(A134,キャラマスタ[],2,FALSE)</f>
        <v>ウソップ</v>
      </c>
      <c r="C134" t="s">
        <v>1690</v>
      </c>
      <c r="D134" s="6" t="str">
        <f>VLOOKUP(C134,技マスタ!$A$1:$J$605,2,FALSE)</f>
        <v>ウソップハンマー</v>
      </c>
      <c r="E134">
        <v>10</v>
      </c>
      <c r="F134">
        <v>88</v>
      </c>
      <c r="G134" t="s">
        <v>1454</v>
      </c>
      <c r="H134" s="6" t="str">
        <f>IFERROR(VLOOKUP(G134,キャラマスタ[],2,FALSE),"")</f>
        <v>チュウ</v>
      </c>
      <c r="I134"/>
    </row>
    <row r="135" spans="1:9">
      <c r="A135" t="s">
        <v>718</v>
      </c>
      <c r="B135" s="6" t="str">
        <f>VLOOKUP(A135,キャラマスタ[],2,FALSE)</f>
        <v>ウソップ</v>
      </c>
      <c r="C135" t="s">
        <v>1691</v>
      </c>
      <c r="D135" s="6" t="str">
        <f>VLOOKUP(C135,技マスタ!$A$1:$J$605,2,FALSE)</f>
        <v>ウソップ輪ごーむ</v>
      </c>
      <c r="E135">
        <v>10</v>
      </c>
      <c r="F135">
        <v>88</v>
      </c>
      <c r="G135" t="s">
        <v>1454</v>
      </c>
      <c r="H135" s="6" t="str">
        <f>IFERROR(VLOOKUP(G135,キャラマスタ[],2,FALSE),"")</f>
        <v>チュウ</v>
      </c>
      <c r="I135"/>
    </row>
    <row r="136" spans="1:9">
      <c r="A136" t="s">
        <v>718</v>
      </c>
      <c r="B136" s="6" t="str">
        <f>VLOOKUP(A136,キャラマスタ[],2,FALSE)</f>
        <v>ウソップ</v>
      </c>
      <c r="C136" t="s">
        <v>1690</v>
      </c>
      <c r="D136" s="6" t="str">
        <f>VLOOKUP(C136,技マスタ!$A$1:$J$605,2,FALSE)</f>
        <v>ウソップハンマー</v>
      </c>
      <c r="E136">
        <v>10</v>
      </c>
      <c r="F136">
        <v>88</v>
      </c>
      <c r="G136" t="s">
        <v>1454</v>
      </c>
      <c r="H136" s="6" t="str">
        <f>IFERROR(VLOOKUP(G136,キャラマスタ[],2,FALSE),"")</f>
        <v>チュウ</v>
      </c>
      <c r="I136">
        <v>1</v>
      </c>
    </row>
    <row r="137" spans="1:9">
      <c r="A137" t="s">
        <v>942</v>
      </c>
      <c r="B137" s="6" t="str">
        <f>VLOOKUP(A137,キャラマスタ[],2,FALSE)</f>
        <v>サンジ</v>
      </c>
      <c r="C137" t="s">
        <v>1695</v>
      </c>
      <c r="D137" s="6" t="str">
        <f>VLOOKUP(C137,技マスタ!$A$1:$J$605,2,FALSE)</f>
        <v>胸肉（ポワトリーヌ）シュート</v>
      </c>
      <c r="E137">
        <v>10</v>
      </c>
      <c r="F137">
        <v>88</v>
      </c>
      <c r="G137" t="s">
        <v>1310</v>
      </c>
      <c r="H137" s="6" t="str">
        <f>IFERROR(VLOOKUP(G137,キャラマスタ[],2,FALSE),"")</f>
        <v>アーロン</v>
      </c>
      <c r="I137"/>
    </row>
    <row r="138" spans="1:9">
      <c r="A138" t="s">
        <v>718</v>
      </c>
      <c r="B138" s="6" t="str">
        <f>VLOOKUP(A138,キャラマスタ[],2,FALSE)</f>
        <v>ウソップ</v>
      </c>
      <c r="C138" t="s">
        <v>1350</v>
      </c>
      <c r="D138" s="6" t="str">
        <f>VLOOKUP(C138,技マスタ!$A$1:$J$605,2,FALSE)</f>
        <v>卵星</v>
      </c>
      <c r="E138">
        <v>10</v>
      </c>
      <c r="F138">
        <v>88</v>
      </c>
      <c r="G138" t="s">
        <v>1310</v>
      </c>
      <c r="H138" s="6" t="str">
        <f>IFERROR(VLOOKUP(G138,キャラマスタ[],2,FALSE),"")</f>
        <v>アーロン</v>
      </c>
      <c r="I138"/>
    </row>
    <row r="139" spans="1:9">
      <c r="A139" t="s">
        <v>718</v>
      </c>
      <c r="B139" s="6" t="str">
        <f>VLOOKUP(A139,キャラマスタ[],2,FALSE)</f>
        <v>ウソップ</v>
      </c>
      <c r="C139" t="s">
        <v>1691</v>
      </c>
      <c r="D139" s="6" t="str">
        <f>VLOOKUP(C139,技マスタ!$A$1:$J$605,2,FALSE)</f>
        <v>ウソップ輪ごーむ</v>
      </c>
      <c r="E139">
        <v>10</v>
      </c>
      <c r="F139">
        <v>89</v>
      </c>
      <c r="G139" t="s">
        <v>1310</v>
      </c>
      <c r="H139" s="6" t="str">
        <f>IFERROR(VLOOKUP(G139,キャラマスタ[],2,FALSE),"")</f>
        <v>アーロン</v>
      </c>
      <c r="I139"/>
    </row>
    <row r="140" spans="1:9">
      <c r="A140" t="s">
        <v>1311</v>
      </c>
      <c r="B140" s="6" t="str">
        <f>VLOOKUP(A140,キャラマスタ[],2,FALSE)</f>
        <v>はっちゃん</v>
      </c>
      <c r="C140" t="s">
        <v>1662</v>
      </c>
      <c r="D140" s="6" t="str">
        <f>VLOOKUP(C140,技マスタ!$A$1:$J$605,2,FALSE)</f>
        <v>タコ焼きパンチ</v>
      </c>
      <c r="E140">
        <v>10</v>
      </c>
      <c r="F140">
        <v>89</v>
      </c>
      <c r="G140" t="s">
        <v>1313</v>
      </c>
      <c r="H140" s="6" t="str">
        <f>IFERROR(VLOOKUP(G140,キャラマスタ[],2,FALSE),"")</f>
        <v>ノジコ</v>
      </c>
      <c r="I140"/>
    </row>
    <row r="141" spans="1:9" customFormat="1">
      <c r="A141" t="s">
        <v>288</v>
      </c>
      <c r="B141" s="6" t="str">
        <f>VLOOKUP(A141,キャラマスタ[],2,FALSE)</f>
        <v>モンキー・D・ルフィ</v>
      </c>
      <c r="C141" t="s">
        <v>973</v>
      </c>
      <c r="D141" s="6" t="str">
        <f>VLOOKUP(C141,技マスタ!$A$1:$J$605,2,FALSE)</f>
        <v>ゴムゴムの鐘（カネ）</v>
      </c>
      <c r="E141">
        <v>10</v>
      </c>
      <c r="F141">
        <v>89</v>
      </c>
      <c r="G141" t="s">
        <v>1310</v>
      </c>
      <c r="H141" s="6" t="str">
        <f>IFERROR(VLOOKUP(G141,キャラマスタ[],2,FALSE),"")</f>
        <v>アーロン</v>
      </c>
    </row>
    <row r="142" spans="1:9" customFormat="1">
      <c r="A142" t="s">
        <v>411</v>
      </c>
      <c r="B142" s="6" t="str">
        <f>VLOOKUP(A142,キャラマスタ[],2,FALSE)</f>
        <v>モンキー・D・ルフィ</v>
      </c>
      <c r="C142" t="s">
        <v>984</v>
      </c>
      <c r="D142" s="6" t="str">
        <f>VLOOKUP(C142,技マスタ!$A$1:$J$605,2,FALSE)</f>
        <v>ゴムゴムの鞭（ムチ）</v>
      </c>
      <c r="E142">
        <v>10</v>
      </c>
      <c r="F142">
        <v>89</v>
      </c>
      <c r="G142" t="s">
        <v>1310</v>
      </c>
      <c r="H142" s="6" t="str">
        <f>IFERROR(VLOOKUP(G142,キャラマスタ[],2,FALSE),"")</f>
        <v>アーロン</v>
      </c>
    </row>
    <row r="143" spans="1:9">
      <c r="A143" t="s">
        <v>288</v>
      </c>
      <c r="B143" s="6" t="str">
        <f>VLOOKUP(A143,キャラマスタ[],2,FALSE)</f>
        <v>モンキー・D・ルフィ</v>
      </c>
      <c r="C143" t="s">
        <v>1347</v>
      </c>
      <c r="D143" s="6" t="str">
        <f>VLOOKUP(C143,技マスタ!$A$1:$J$605,2,FALSE)</f>
        <v>ゴムゴムの銃弾（ブレット）</v>
      </c>
      <c r="E143">
        <v>10</v>
      </c>
      <c r="F143">
        <v>89</v>
      </c>
      <c r="G143" t="s">
        <v>1310</v>
      </c>
      <c r="H143" s="6" t="str">
        <f>IFERROR(VLOOKUP(G143,キャラマスタ[],2,FALSE),"")</f>
        <v>アーロン</v>
      </c>
      <c r="I143"/>
    </row>
    <row r="144" spans="1:9">
      <c r="A144" t="s">
        <v>288</v>
      </c>
      <c r="B144" s="6" t="str">
        <f>VLOOKUP(A144,キャラマスタ[],2,FALSE)</f>
        <v>モンキー・D・ルフィ</v>
      </c>
      <c r="C144" t="s">
        <v>851</v>
      </c>
      <c r="D144" s="6" t="str">
        <f>VLOOKUP(C144,技マスタ!$A$1:$J$605,2,FALSE)</f>
        <v>ゴムゴムの銃乱打（ガトリング）</v>
      </c>
      <c r="E144">
        <v>10</v>
      </c>
      <c r="F144">
        <v>89</v>
      </c>
      <c r="G144" t="s">
        <v>1310</v>
      </c>
      <c r="H144" s="6" t="str">
        <f>IFERROR(VLOOKUP(G144,キャラマスタ[],2,FALSE),"")</f>
        <v>アーロン</v>
      </c>
      <c r="I144"/>
    </row>
    <row r="145" spans="1:9">
      <c r="A145" t="s">
        <v>1310</v>
      </c>
      <c r="B145" s="6" t="str">
        <f>VLOOKUP(A145,キャラマスタ[],2,FALSE)</f>
        <v>アーロン</v>
      </c>
      <c r="C145" t="s">
        <v>1696</v>
      </c>
      <c r="D145" s="6" t="str">
        <f>VLOOKUP(C145,技マスタ!$A$1:$J$605,2,FALSE)</f>
        <v>歯（トゥース）ガム</v>
      </c>
      <c r="E145">
        <v>10</v>
      </c>
      <c r="F145">
        <v>90</v>
      </c>
      <c r="G145" t="s">
        <v>288</v>
      </c>
      <c r="H145" s="6" t="str">
        <f>IFERROR(VLOOKUP(G145,キャラマスタ[],2,FALSE),"")</f>
        <v>モンキー・D・ルフィ</v>
      </c>
      <c r="I145"/>
    </row>
    <row r="146" spans="1:9">
      <c r="A146" t="s">
        <v>1310</v>
      </c>
      <c r="B146" s="6" t="str">
        <f>VLOOKUP(A146,キャラマスタ[],2,FALSE)</f>
        <v>アーロン</v>
      </c>
      <c r="C146" t="s">
        <v>1696</v>
      </c>
      <c r="D146" s="6" t="str">
        <f>VLOOKUP(C146,技マスタ!$A$1:$J$605,2,FALSE)</f>
        <v>歯（トゥース）ガム</v>
      </c>
      <c r="E146">
        <v>11</v>
      </c>
      <c r="F146">
        <v>91</v>
      </c>
      <c r="G146" t="s">
        <v>288</v>
      </c>
      <c r="H146" s="6" t="str">
        <f>IFERROR(VLOOKUP(G146,キャラマスタ[],2,FALSE),"")</f>
        <v>モンキー・D・ルフィ</v>
      </c>
      <c r="I146"/>
    </row>
    <row r="147" spans="1:9">
      <c r="A147" t="s">
        <v>1310</v>
      </c>
      <c r="B147" s="6" t="str">
        <f>VLOOKUP(A147,キャラマスタ[],2,FALSE)</f>
        <v>アーロン</v>
      </c>
      <c r="C147" t="s">
        <v>1696</v>
      </c>
      <c r="D147" s="6" t="str">
        <f>VLOOKUP(C147,技マスタ!$A$1:$J$605,2,FALSE)</f>
        <v>歯（トゥース）ガム</v>
      </c>
      <c r="E147">
        <v>11</v>
      </c>
      <c r="F147">
        <v>91</v>
      </c>
      <c r="G147" t="s">
        <v>288</v>
      </c>
      <c r="H147" s="6" t="str">
        <f>IFERROR(VLOOKUP(G147,キャラマスタ[],2,FALSE),"")</f>
        <v>モンキー・D・ルフィ</v>
      </c>
      <c r="I147"/>
    </row>
    <row r="148" spans="1:9">
      <c r="A148" t="s">
        <v>1310</v>
      </c>
      <c r="B148" s="6" t="str">
        <f>VLOOKUP(A148,キャラマスタ[],2,FALSE)</f>
        <v>アーロン</v>
      </c>
      <c r="C148" t="s">
        <v>1697</v>
      </c>
      <c r="D148" s="6" t="str">
        <f>VLOOKUP(C148,技マスタ!$A$1:$J$605,2,FALSE)</f>
        <v>鮫（シャーク）・ON・DARTS</v>
      </c>
      <c r="E148">
        <v>11</v>
      </c>
      <c r="F148">
        <v>91</v>
      </c>
      <c r="G148" t="s">
        <v>288</v>
      </c>
      <c r="H148" s="6" t="str">
        <f>IFERROR(VLOOKUP(G148,キャラマスタ[],2,FALSE),"")</f>
        <v>モンキー・D・ルフィ</v>
      </c>
      <c r="I148"/>
    </row>
    <row r="149" spans="1:9">
      <c r="A149" t="s">
        <v>1310</v>
      </c>
      <c r="B149" s="6" t="str">
        <f>VLOOKUP(A149,キャラマスタ[],2,FALSE)</f>
        <v>アーロン</v>
      </c>
      <c r="C149" t="s">
        <v>1697</v>
      </c>
      <c r="D149" s="6" t="str">
        <f>VLOOKUP(C149,技マスタ!$A$1:$J$605,2,FALSE)</f>
        <v>鮫（シャーク）・ON・DARTS</v>
      </c>
      <c r="E149">
        <v>11</v>
      </c>
      <c r="F149">
        <v>91</v>
      </c>
      <c r="G149" t="s">
        <v>288</v>
      </c>
      <c r="H149" s="6" t="str">
        <f>IFERROR(VLOOKUP(G149,キャラマスタ[],2,FALSE),"")</f>
        <v>モンキー・D・ルフィ</v>
      </c>
      <c r="I149"/>
    </row>
    <row r="150" spans="1:9">
      <c r="A150" t="s">
        <v>1310</v>
      </c>
      <c r="B150" s="6" t="str">
        <f>VLOOKUP(A150,キャラマスタ[],2,FALSE)</f>
        <v>アーロン</v>
      </c>
      <c r="C150" t="s">
        <v>1697</v>
      </c>
      <c r="D150" s="6" t="str">
        <f>VLOOKUP(C150,技マスタ!$A$1:$J$605,2,FALSE)</f>
        <v>鮫（シャーク）・ON・DARTS</v>
      </c>
      <c r="E150">
        <v>11</v>
      </c>
      <c r="F150">
        <v>91</v>
      </c>
      <c r="G150" t="s">
        <v>288</v>
      </c>
      <c r="H150" s="6" t="str">
        <f>IFERROR(VLOOKUP(G150,キャラマスタ[],2,FALSE),"")</f>
        <v>モンキー・D・ルフィ</v>
      </c>
      <c r="I150"/>
    </row>
    <row r="151" spans="1:9">
      <c r="A151" t="s">
        <v>288</v>
      </c>
      <c r="B151" s="6" t="str">
        <f>VLOOKUP(A151,キャラマスタ[],2,FALSE)</f>
        <v>モンキー・D・ルフィ</v>
      </c>
      <c r="C151" t="s">
        <v>1698</v>
      </c>
      <c r="D151" s="6" t="str">
        <f>VLOOKUP(C151,技マスタ!$A$1:$J$605,2,FALSE)</f>
        <v>ゴムゴムの盾</v>
      </c>
      <c r="E151">
        <v>11</v>
      </c>
      <c r="F151">
        <v>92</v>
      </c>
      <c r="G151" t="s">
        <v>1310</v>
      </c>
      <c r="H151" s="6" t="str">
        <f>IFERROR(VLOOKUP(G151,キャラマスタ[],2,FALSE),"")</f>
        <v>アーロン</v>
      </c>
      <c r="I151"/>
    </row>
    <row r="152" spans="1:9">
      <c r="A152" t="s">
        <v>1310</v>
      </c>
      <c r="B152" s="6" t="str">
        <f>VLOOKUP(A152,キャラマスタ[],2,FALSE)</f>
        <v>アーロン</v>
      </c>
      <c r="C152" t="s">
        <v>1697</v>
      </c>
      <c r="D152" s="6" t="str">
        <f>VLOOKUP(C152,技マスタ!$A$1:$J$605,2,FALSE)</f>
        <v>鮫（シャーク）・ON・DARTS</v>
      </c>
      <c r="E152">
        <v>11</v>
      </c>
      <c r="F152">
        <v>92</v>
      </c>
      <c r="G152" t="s">
        <v>288</v>
      </c>
      <c r="H152" s="6" t="str">
        <f>IFERROR(VLOOKUP(G152,キャラマスタ[],2,FALSE),"")</f>
        <v>モンキー・D・ルフィ</v>
      </c>
      <c r="I152"/>
    </row>
    <row r="153" spans="1:9">
      <c r="A153" t="s">
        <v>1310</v>
      </c>
      <c r="B153" s="6" t="str">
        <f>VLOOKUP(A153,キャラマスタ[],2,FALSE)</f>
        <v>アーロン</v>
      </c>
      <c r="C153" t="s">
        <v>1697</v>
      </c>
      <c r="D153" s="6" t="str">
        <f>VLOOKUP(C153,技マスタ!$A$1:$J$605,2,FALSE)</f>
        <v>鮫（シャーク）・ON・DARTS</v>
      </c>
      <c r="E153">
        <v>11</v>
      </c>
      <c r="F153">
        <v>92</v>
      </c>
      <c r="G153" t="s">
        <v>288</v>
      </c>
      <c r="H153" s="6" t="str">
        <f>IFERROR(VLOOKUP(G153,キャラマスタ[],2,FALSE),"")</f>
        <v>モンキー・D・ルフィ</v>
      </c>
      <c r="I153"/>
    </row>
    <row r="154" spans="1:9">
      <c r="A154" t="s">
        <v>288</v>
      </c>
      <c r="B154" s="6" t="str">
        <f>VLOOKUP(A154,キャラマスタ[],2,FALSE)</f>
        <v>モンキー・D・ルフィ</v>
      </c>
      <c r="C154" t="s">
        <v>1699</v>
      </c>
      <c r="D154" s="6" t="str">
        <f>VLOOKUP(C154,技マスタ!$A$1:$J$605,2,FALSE)</f>
        <v>ゴムゴムの網</v>
      </c>
      <c r="E154">
        <v>11</v>
      </c>
      <c r="F154">
        <v>92</v>
      </c>
      <c r="G154" t="s">
        <v>1310</v>
      </c>
      <c r="H154" s="6" t="str">
        <f>IFERROR(VLOOKUP(G154,キャラマスタ[],2,FALSE),"")</f>
        <v>アーロン</v>
      </c>
      <c r="I154"/>
    </row>
    <row r="155" spans="1:9">
      <c r="A155" t="s">
        <v>288</v>
      </c>
      <c r="B155" s="6" t="str">
        <f>VLOOKUP(A155,キャラマスタ[],2,FALSE)</f>
        <v>モンキー・D・ルフィ</v>
      </c>
      <c r="C155" t="s">
        <v>1700</v>
      </c>
      <c r="D155" s="6" t="str">
        <f>VLOOKUP(C155,技マスタ!$A$1:$J$605,2,FALSE)</f>
        <v>ゴムゴムの槍</v>
      </c>
      <c r="E155">
        <v>11</v>
      </c>
      <c r="F155">
        <v>92</v>
      </c>
      <c r="G155" t="s">
        <v>1310</v>
      </c>
      <c r="H155" s="6" t="str">
        <f>IFERROR(VLOOKUP(G155,キャラマスタ[],2,FALSE),"")</f>
        <v>アーロン</v>
      </c>
      <c r="I155"/>
    </row>
    <row r="156" spans="1:9">
      <c r="A156" t="s">
        <v>1310</v>
      </c>
      <c r="B156" s="6" t="str">
        <f>VLOOKUP(A156,キャラマスタ[],2,FALSE)</f>
        <v>アーロン</v>
      </c>
      <c r="C156" t="s">
        <v>1701</v>
      </c>
      <c r="D156" s="6" t="str">
        <f>VLOOKUP(C156,技マスタ!$A$1:$J$605,2,FALSE)</f>
        <v>鮫・ON・歯車（シャーク・オン・トゥース）</v>
      </c>
      <c r="E156">
        <v>11</v>
      </c>
      <c r="F156">
        <v>93</v>
      </c>
      <c r="G156" t="s">
        <v>288</v>
      </c>
      <c r="H156" s="6" t="str">
        <f>IFERROR(VLOOKUP(G156,キャラマスタ[],2,FALSE),"")</f>
        <v>モンキー・D・ルフィ</v>
      </c>
      <c r="I156"/>
    </row>
    <row r="157" spans="1:9">
      <c r="A157" t="s">
        <v>288</v>
      </c>
      <c r="B157" s="6" t="str">
        <f>VLOOKUP(A157,キャラマスタ[],2,FALSE)</f>
        <v>モンキー・D・ルフィ</v>
      </c>
      <c r="C157" t="s">
        <v>1262</v>
      </c>
      <c r="D157" s="6" t="str">
        <f>VLOOKUP(C157,技マスタ!$A$1:$J$605,2,FALSE)</f>
        <v>ゴムゴムの戦斧（オノ）</v>
      </c>
      <c r="E157">
        <v>11</v>
      </c>
      <c r="F157">
        <v>93</v>
      </c>
      <c r="G157" t="s">
        <v>1310</v>
      </c>
      <c r="H157" s="6" t="str">
        <f>IFERROR(VLOOKUP(G157,キャラマスタ[],2,FALSE),"")</f>
        <v>アーロン</v>
      </c>
      <c r="I157">
        <v>1</v>
      </c>
    </row>
    <row r="158" spans="1:9">
      <c r="A158" s="29" t="s">
        <v>570</v>
      </c>
      <c r="B158" s="6" t="str">
        <f>VLOOKUP(A158,キャラマスタ[],2,FALSE)</f>
        <v>バギー</v>
      </c>
      <c r="C158" s="29" t="s">
        <v>1702</v>
      </c>
      <c r="D158" s="6" t="str">
        <f>VLOOKUP(C158,技マスタ!$A$1:$J$605,2,FALSE)</f>
        <v>バラバラカー</v>
      </c>
      <c r="E158">
        <v>12</v>
      </c>
      <c r="F158">
        <v>100</v>
      </c>
      <c r="G158"/>
      <c r="H158" s="6" t="str">
        <f>IFERROR(VLOOKUP(G158,キャラマスタ[],2,FALSE),"")</f>
        <v/>
      </c>
      <c r="I158"/>
    </row>
    <row r="159" spans="1:9">
      <c r="A159" s="29" t="s">
        <v>570</v>
      </c>
      <c r="B159" s="6" t="str">
        <f>VLOOKUP(A159,キャラマスタ[],2,FALSE)</f>
        <v>バギー</v>
      </c>
      <c r="C159" s="29" t="s">
        <v>1703</v>
      </c>
      <c r="D159" s="6" t="str">
        <f>VLOOKUP(C159,技マスタ!$A$1:$J$605,2,FALSE)</f>
        <v>爆弾エンジン</v>
      </c>
      <c r="E159" s="29">
        <v>12</v>
      </c>
      <c r="F159" s="29">
        <v>100</v>
      </c>
      <c r="G159"/>
      <c r="H159" s="6" t="str">
        <f>IFERROR(VLOOKUP(G159,キャラマスタ[],2,FALSE),"")</f>
        <v/>
      </c>
      <c r="I159"/>
    </row>
    <row r="160" spans="1:9">
      <c r="A160" s="29" t="s">
        <v>433</v>
      </c>
      <c r="B160" s="6" t="str">
        <f>VLOOKUP(A160,キャラマスタ[],2,FALSE)</f>
        <v>アルビダ</v>
      </c>
      <c r="C160" s="29" t="s">
        <v>1704</v>
      </c>
      <c r="D160" s="6" t="str">
        <f>VLOOKUP(C160,技マスタ!$A$1:$J$605,2,FALSE)</f>
        <v>スベスベシュプール</v>
      </c>
      <c r="E160" s="29">
        <v>12</v>
      </c>
      <c r="F160" s="29">
        <v>100</v>
      </c>
      <c r="G160"/>
      <c r="H160" s="6" t="str">
        <f>IFERROR(VLOOKUP(G160,キャラマスタ[],2,FALSE),"")</f>
        <v/>
      </c>
      <c r="I160"/>
    </row>
    <row r="161" spans="1:9">
      <c r="A161" s="29" t="s">
        <v>1806</v>
      </c>
      <c r="B161" s="6" t="str">
        <f>VLOOKUP(A161,キャラマスタ[],2,FALSE)</f>
        <v>スモーカー</v>
      </c>
      <c r="C161" s="29" t="s">
        <v>1970</v>
      </c>
      <c r="D161" s="6" t="str">
        <f>VLOOKUP(C161,技マスタ!$A$1:$J$605,2,FALSE)</f>
        <v>ホワイト・アウト</v>
      </c>
      <c r="E161" s="29">
        <v>12</v>
      </c>
      <c r="F161" s="29">
        <v>100</v>
      </c>
      <c r="G161" s="29" t="s">
        <v>570</v>
      </c>
      <c r="H161" s="6" t="str">
        <f>IFERROR(VLOOKUP(G161,キャラマスタ[],2,FALSE),"")</f>
        <v>バギー</v>
      </c>
      <c r="I161"/>
    </row>
    <row r="162" spans="1:9">
      <c r="A162" s="29" t="s">
        <v>1806</v>
      </c>
      <c r="B162" s="6" t="str">
        <f>VLOOKUP(A162,キャラマスタ[],2,FALSE)</f>
        <v>スモーカー</v>
      </c>
      <c r="C162" s="29" t="s">
        <v>1970</v>
      </c>
      <c r="D162" s="6" t="str">
        <f>VLOOKUP(C162,技マスタ!$A$1:$J$605,2,FALSE)</f>
        <v>ホワイト・アウト</v>
      </c>
      <c r="E162" s="29">
        <v>12</v>
      </c>
      <c r="F162" s="29">
        <v>100</v>
      </c>
      <c r="G162" s="29" t="s">
        <v>433</v>
      </c>
      <c r="H162" s="6" t="str">
        <f>IFERROR(VLOOKUP(G162,キャラマスタ[],2,FALSE),"")</f>
        <v>アルビダ</v>
      </c>
      <c r="I162" s="29"/>
    </row>
    <row r="163" spans="1:9">
      <c r="A163" s="29" t="s">
        <v>718</v>
      </c>
      <c r="B163" s="6" t="str">
        <f>VLOOKUP(A163,キャラマスタ[],2,FALSE)</f>
        <v>ウソップ</v>
      </c>
      <c r="C163" s="29" t="s">
        <v>1971</v>
      </c>
      <c r="D163" s="6" t="str">
        <f>VLOOKUP(C163,技マスタ!$A$1:$J$605,2,FALSE)</f>
        <v>新鮮卵星</v>
      </c>
      <c r="E163" s="29">
        <v>12</v>
      </c>
      <c r="F163" s="29">
        <v>100</v>
      </c>
      <c r="G163" s="29" t="s">
        <v>575</v>
      </c>
      <c r="H163" s="6" t="str">
        <f>IFERROR(VLOOKUP(G163,キャラマスタ[],2,FALSE),"")</f>
        <v>リッチー</v>
      </c>
      <c r="I163" s="29"/>
    </row>
    <row r="164" spans="1:9">
      <c r="A164" s="29" t="s">
        <v>1806</v>
      </c>
      <c r="B164" s="6" t="str">
        <f>VLOOKUP(A164,キャラマスタ[],2,FALSE)</f>
        <v>スモーカー</v>
      </c>
      <c r="C164" s="29" t="s">
        <v>1972</v>
      </c>
      <c r="D164" s="6" t="str">
        <f>VLOOKUP(C164,技マスタ!$A$1:$J$605,2,FALSE)</f>
        <v>ホワイト・ブロー</v>
      </c>
      <c r="E164" s="29">
        <v>12</v>
      </c>
      <c r="F164" s="29">
        <v>100</v>
      </c>
      <c r="G164" s="29" t="s">
        <v>942</v>
      </c>
      <c r="H164" s="6" t="str">
        <f>IFERROR(VLOOKUP(G164,キャラマスタ[],2,FALSE),"")</f>
        <v>サンジ</v>
      </c>
      <c r="I164" s="29"/>
    </row>
    <row r="165" spans="1:9">
      <c r="A165" s="29" t="s">
        <v>288</v>
      </c>
      <c r="B165" s="6" t="str">
        <f>VLOOKUP(A165,キャラマスタ[],2,FALSE)</f>
        <v>モンキー・D・ルフィ</v>
      </c>
      <c r="C165" s="29" t="s">
        <v>2067</v>
      </c>
      <c r="D165" s="6" t="str">
        <f>VLOOKUP(C165,技マスタ!$A$1:$J$605,2,FALSE)</f>
        <v>ゴムゴムの銃（ピストル）</v>
      </c>
      <c r="E165" s="29">
        <v>12</v>
      </c>
      <c r="F165" s="29">
        <v>100</v>
      </c>
      <c r="G165" s="29" t="s">
        <v>1806</v>
      </c>
      <c r="H165" s="6" t="str">
        <f>IFERROR(VLOOKUP(G165,キャラマスタ[],2,FALSE),"")</f>
        <v>スモーカー</v>
      </c>
      <c r="I165" s="29"/>
    </row>
    <row r="166" spans="1:9">
      <c r="A166" s="29" t="s">
        <v>288</v>
      </c>
      <c r="B166" s="6" t="str">
        <f>VLOOKUP(A166,キャラマスタ[],2,FALSE)</f>
        <v>モンキー・D・ルフィ</v>
      </c>
      <c r="C166" s="29" t="s">
        <v>2068</v>
      </c>
      <c r="D166" s="6" t="str">
        <f>VLOOKUP(C166,技マスタ!$A$1:$J$605,2,FALSE)</f>
        <v>ゴムゴムの風船</v>
      </c>
      <c r="E166" s="29">
        <v>12</v>
      </c>
      <c r="F166" s="29">
        <v>101</v>
      </c>
      <c r="G166" s="29"/>
      <c r="H166" s="6"/>
      <c r="I166" s="29"/>
    </row>
    <row r="167" spans="1:9">
      <c r="A167" s="29" t="s">
        <v>288</v>
      </c>
      <c r="B167" s="6" t="str">
        <f>VLOOKUP(A167,キャラマスタ[],2,FALSE)</f>
        <v>モンキー・D・ルフィ</v>
      </c>
      <c r="C167" s="29" t="s">
        <v>1973</v>
      </c>
      <c r="D167" s="6" t="str">
        <f>VLOOKUP(C167,技マスタ!$A$1:$J$605,2,FALSE)</f>
        <v>ゴムゴムの生け花</v>
      </c>
      <c r="E167" s="29">
        <v>12</v>
      </c>
      <c r="F167" s="29">
        <v>104</v>
      </c>
      <c r="G167" s="29" t="s">
        <v>1908</v>
      </c>
      <c r="H167" s="6" t="str">
        <f>IFERROR(VLOOKUP(G167,キャラマスタ[],2,FALSE),"")</f>
        <v>ラブーン</v>
      </c>
      <c r="I167" s="29"/>
    </row>
    <row r="168" spans="1:9">
      <c r="A168" s="29" t="s">
        <v>1914</v>
      </c>
      <c r="B168" s="6" t="str">
        <f>VLOOKUP(A168,キャラマスタ[],2,FALSE)</f>
        <v>雪だるさん</v>
      </c>
      <c r="C168" s="29" t="s">
        <v>1974</v>
      </c>
      <c r="D168" s="6" t="str">
        <f>VLOOKUP(C168,技マスタ!$A$1:$J$605,2,FALSE)</f>
        <v>雪だるパンチ</v>
      </c>
      <c r="E168" s="29">
        <v>12</v>
      </c>
      <c r="F168" s="29">
        <v>106</v>
      </c>
      <c r="G168" s="29" t="s">
        <v>1915</v>
      </c>
      <c r="H168" s="6" t="str">
        <f>IFERROR(VLOOKUP(G168,キャラマスタ[],2,FALSE),"")</f>
        <v>スノウクイーン</v>
      </c>
      <c r="I168" s="29"/>
    </row>
    <row r="169" spans="1:9">
      <c r="A169" s="29" t="s">
        <v>1918</v>
      </c>
      <c r="B169" s="6" t="str">
        <f>VLOOKUP(A169,キャラマスタ[],2,FALSE)</f>
        <v>Mr.8</v>
      </c>
      <c r="C169" s="29" t="s">
        <v>1975</v>
      </c>
      <c r="D169" s="6" t="str">
        <f>VLOOKUP(C169,技マスタ!$A$1:$J$605,2,FALSE)</f>
        <v>イガラッパ</v>
      </c>
      <c r="E169" s="29">
        <v>12</v>
      </c>
      <c r="F169" s="29">
        <v>107</v>
      </c>
      <c r="G169" s="29" t="s">
        <v>308</v>
      </c>
      <c r="H169" s="6" t="str">
        <f>IFERROR(VLOOKUP(G169,キャラマスタ[],2,FALSE),"")</f>
        <v>ロロノア・ゾロ</v>
      </c>
      <c r="I169" s="29"/>
    </row>
    <row r="170" spans="1:9">
      <c r="A170" s="29" t="s">
        <v>1916</v>
      </c>
      <c r="B170" s="6" t="str">
        <f>VLOOKUP(A170,キャラマスタ[],2,FALSE)</f>
        <v>ミス・キャサリーナ</v>
      </c>
      <c r="C170" s="29" t="s">
        <v>1976</v>
      </c>
      <c r="D170" s="6" t="str">
        <f>VLOOKUP(C170,技マスタ!$A$1:$J$605,2,FALSE)</f>
        <v>神のご加護目潰し</v>
      </c>
      <c r="E170" s="29">
        <v>12</v>
      </c>
      <c r="F170" s="29">
        <v>108</v>
      </c>
      <c r="G170" s="29" t="s">
        <v>308</v>
      </c>
      <c r="H170" s="6" t="str">
        <f>IFERROR(VLOOKUP(G170,キャラマスタ[],2,FALSE),"")</f>
        <v>ロロノア・ゾロ</v>
      </c>
      <c r="I170" s="29"/>
    </row>
    <row r="171" spans="1:9">
      <c r="A171" s="29" t="s">
        <v>308</v>
      </c>
      <c r="B171" s="6" t="str">
        <f>VLOOKUP(A171,キャラマスタ[],2,FALSE)</f>
        <v>ロロノア・ゾロ</v>
      </c>
      <c r="C171" s="29" t="s">
        <v>1977</v>
      </c>
      <c r="D171" s="6" t="str">
        <f>VLOOKUP(C171,技マスタ!$A$1:$J$605,2,FALSE)</f>
        <v>二刀流”鷹波”</v>
      </c>
      <c r="E171" s="29">
        <v>12</v>
      </c>
      <c r="F171" s="29">
        <v>108</v>
      </c>
      <c r="G171" s="29"/>
      <c r="H171" s="6" t="str">
        <f>IFERROR(VLOOKUP(G171,キャラマスタ[],2,FALSE),"")</f>
        <v/>
      </c>
      <c r="I171" s="29"/>
    </row>
    <row r="172" spans="1:9">
      <c r="A172" s="29" t="s">
        <v>1920</v>
      </c>
      <c r="B172" s="6" t="str">
        <f>VLOOKUP(A172,キャラマスタ[],2,FALSE)</f>
        <v>ミス・マンデー</v>
      </c>
      <c r="C172" s="29" t="s">
        <v>1978</v>
      </c>
      <c r="D172" s="6" t="str">
        <f>VLOOKUP(C172,技マスタ!$A$1:$J$605,2,FALSE)</f>
        <v>カ・イ・リ・キ　メリケン</v>
      </c>
      <c r="E172" s="29">
        <v>12</v>
      </c>
      <c r="F172" s="29">
        <v>108</v>
      </c>
      <c r="G172" s="29" t="s">
        <v>308</v>
      </c>
      <c r="H172" s="6" t="str">
        <f>IFERROR(VLOOKUP(G172,キャラマスタ[],2,FALSE),"")</f>
        <v>ロロノア・ゾロ</v>
      </c>
      <c r="I172" s="29"/>
    </row>
    <row r="173" spans="1:9">
      <c r="A173" s="29" t="s">
        <v>1918</v>
      </c>
      <c r="B173" s="6" t="str">
        <f>VLOOKUP(A173,キャラマスタ[],2,FALSE)</f>
        <v>Mr.8</v>
      </c>
      <c r="C173" s="29" t="s">
        <v>1975</v>
      </c>
      <c r="D173" s="6" t="str">
        <f>VLOOKUP(C173,技マスタ!$A$1:$J$605,2,FALSE)</f>
        <v>イガラッパ</v>
      </c>
      <c r="E173" s="29">
        <v>13</v>
      </c>
      <c r="F173" s="29">
        <v>109</v>
      </c>
      <c r="G173" s="29" t="s">
        <v>308</v>
      </c>
      <c r="H173" s="6" t="str">
        <f>IFERROR(VLOOKUP(G173,キャラマスタ[],2,FALSE),"")</f>
        <v>ロロノア・ゾロ</v>
      </c>
      <c r="I173" s="29"/>
    </row>
    <row r="174" spans="1:9">
      <c r="A174" s="29" t="s">
        <v>1911</v>
      </c>
      <c r="B174" s="6" t="str">
        <f>VLOOKUP(A174,キャラマスタ[],2,FALSE)</f>
        <v>Mr.9</v>
      </c>
      <c r="C174" s="29" t="s">
        <v>1979</v>
      </c>
      <c r="D174" s="6" t="str">
        <f>VLOOKUP(C174,技マスタ!$A$1:$J$605,2,FALSE)</f>
        <v>熱血ナイン根性バット</v>
      </c>
      <c r="E174" s="29">
        <v>13</v>
      </c>
      <c r="F174" s="29">
        <v>109</v>
      </c>
      <c r="G174" s="29" t="s">
        <v>308</v>
      </c>
      <c r="H174" s="6" t="str">
        <f>IFERROR(VLOOKUP(G174,キャラマスタ[],2,FALSE),"")</f>
        <v>ロロノア・ゾロ</v>
      </c>
      <c r="I174" s="29"/>
    </row>
    <row r="175" spans="1:9">
      <c r="A175" s="29" t="s">
        <v>1910</v>
      </c>
      <c r="B175" s="6" t="str">
        <f>VLOOKUP(A175,キャラマスタ[],2,FALSE)</f>
        <v>ミス・ウェンズデー</v>
      </c>
      <c r="C175" s="29" t="s">
        <v>2162</v>
      </c>
      <c r="D175" s="6" t="str">
        <f>VLOOKUP(C175,技マスタ!$A$1:$J$605,2,FALSE)</f>
        <v>魅惑のメマーイダンス</v>
      </c>
      <c r="E175" s="29">
        <v>13</v>
      </c>
      <c r="F175" s="29">
        <v>109</v>
      </c>
      <c r="G175" s="29" t="s">
        <v>308</v>
      </c>
      <c r="H175" s="6" t="str">
        <f>IFERROR(VLOOKUP(G175,キャラマスタ[],2,FALSE),"")</f>
        <v>ロロノア・ゾロ</v>
      </c>
      <c r="I175" s="29"/>
    </row>
    <row r="176" spans="1:9">
      <c r="A176" s="29" t="s">
        <v>1910</v>
      </c>
      <c r="B176" s="6" t="str">
        <f>VLOOKUP(A176,キャラマスタ[],2,FALSE)</f>
        <v>ミス・ウェンズデー</v>
      </c>
      <c r="C176" s="29" t="s">
        <v>2163</v>
      </c>
      <c r="D176" s="6" t="str">
        <f>VLOOKUP(C176,技マスタ!$A$1:$J$605,2,FALSE)</f>
        <v>孔雀スラッシャー（クジャッキースラッシャー）</v>
      </c>
      <c r="E176" s="29">
        <v>13</v>
      </c>
      <c r="F176" s="29">
        <v>109</v>
      </c>
      <c r="G176" s="29" t="s">
        <v>308</v>
      </c>
      <c r="H176" s="6" t="str">
        <f>IFERROR(VLOOKUP(G176,キャラマスタ[],2,FALSE),"")</f>
        <v>ロロノア・ゾロ</v>
      </c>
      <c r="I176" s="29"/>
    </row>
    <row r="177" spans="1:9">
      <c r="A177" s="29" t="s">
        <v>1918</v>
      </c>
      <c r="B177" s="6" t="str">
        <f>VLOOKUP(A177,キャラマスタ[],2,FALSE)</f>
        <v>Mr.8</v>
      </c>
      <c r="C177" s="29" t="s">
        <v>1975</v>
      </c>
      <c r="D177" s="6" t="str">
        <f>VLOOKUP(C177,技マスタ!$A$1:$J$605,2,FALSE)</f>
        <v>イガラッパ</v>
      </c>
      <c r="E177" s="29">
        <v>13</v>
      </c>
      <c r="F177" s="29">
        <v>109</v>
      </c>
      <c r="G177" s="29" t="s">
        <v>308</v>
      </c>
      <c r="H177" s="6" t="str">
        <f>IFERROR(VLOOKUP(G177,キャラマスタ[],2,FALSE),"")</f>
        <v>ロロノア・ゾロ</v>
      </c>
      <c r="I177" s="29"/>
    </row>
    <row r="178" spans="1:9">
      <c r="A178" s="29" t="s">
        <v>1911</v>
      </c>
      <c r="B178" s="6" t="str">
        <f>VLOOKUP(A178,キャラマスタ[],2,FALSE)</f>
        <v>Mr.9</v>
      </c>
      <c r="C178" s="29" t="s">
        <v>2164</v>
      </c>
      <c r="D178" s="6" t="str">
        <f>VLOOKUP(C178,技マスタ!$A$1:$J$605,2,FALSE)</f>
        <v>カッ飛ばせ仕込みバット</v>
      </c>
      <c r="E178" s="29">
        <v>13</v>
      </c>
      <c r="F178" s="29">
        <v>109</v>
      </c>
      <c r="G178" s="29" t="s">
        <v>308</v>
      </c>
      <c r="H178" s="6" t="str">
        <f>IFERROR(VLOOKUP(G178,キャラマスタ[],2,FALSE),"")</f>
        <v>ロロノア・ゾロ</v>
      </c>
      <c r="I178" s="29"/>
    </row>
    <row r="179" spans="1:9">
      <c r="A179" s="29" t="s">
        <v>1918</v>
      </c>
      <c r="B179" s="6" t="str">
        <f>VLOOKUP(A179,キャラマスタ[],2,FALSE)</f>
        <v>Mr.8</v>
      </c>
      <c r="C179" s="29" t="s">
        <v>2165</v>
      </c>
      <c r="D179" s="6" t="str">
        <f>VLOOKUP(C179,技マスタ!$A$1:$J$605,2,FALSE)</f>
        <v>イガラッパッパ</v>
      </c>
      <c r="E179" s="29">
        <v>13</v>
      </c>
      <c r="F179" s="29">
        <v>109</v>
      </c>
      <c r="G179" s="29" t="s">
        <v>308</v>
      </c>
      <c r="H179" s="6" t="str">
        <f>IFERROR(VLOOKUP(G179,キャラマスタ[],2,FALSE),"")</f>
        <v>ロロノア・ゾロ</v>
      </c>
      <c r="I179" s="29"/>
    </row>
    <row r="180" spans="1:9">
      <c r="A180" s="29" t="s">
        <v>1918</v>
      </c>
      <c r="B180" s="6" t="str">
        <f>VLOOKUP(A180,キャラマスタ[],2,FALSE)</f>
        <v>Mr.8</v>
      </c>
      <c r="C180" s="29" t="s">
        <v>2165</v>
      </c>
      <c r="D180" s="6" t="str">
        <f>VLOOKUP(C180,技マスタ!$A$1:$J$605,2,FALSE)</f>
        <v>イガラッパッパ</v>
      </c>
      <c r="E180" s="29">
        <v>13</v>
      </c>
      <c r="F180" s="29">
        <v>110</v>
      </c>
      <c r="G180" s="29" t="s">
        <v>2072</v>
      </c>
      <c r="H180" s="6" t="str">
        <f>IFERROR(VLOOKUP(G180,キャラマスタ[],2,FALSE),"")</f>
        <v>Mr.5</v>
      </c>
      <c r="I180" s="29"/>
    </row>
    <row r="181" spans="1:9">
      <c r="A181" s="29" t="s">
        <v>1911</v>
      </c>
      <c r="B181" s="6" t="str">
        <f>VLOOKUP(A181,キャラマスタ[],2,FALSE)</f>
        <v>Mr.9</v>
      </c>
      <c r="C181" s="29" t="s">
        <v>1979</v>
      </c>
      <c r="D181" s="6" t="str">
        <f>VLOOKUP(C181,技マスタ!$A$1:$J$605,2,FALSE)</f>
        <v>熱血ナイン根性バット</v>
      </c>
      <c r="E181" s="29">
        <v>13</v>
      </c>
      <c r="F181" s="29">
        <v>110</v>
      </c>
      <c r="G181" s="29" t="s">
        <v>2072</v>
      </c>
      <c r="H181" s="6" t="str">
        <f>IFERROR(VLOOKUP(G181,キャラマスタ[],2,FALSE),"")</f>
        <v>Mr.5</v>
      </c>
      <c r="I181" s="29"/>
    </row>
    <row r="182" spans="1:9">
      <c r="A182" s="29" t="s">
        <v>2072</v>
      </c>
      <c r="B182" s="6" t="str">
        <f>VLOOKUP(A182,キャラマスタ[],2,FALSE)</f>
        <v>Mr.5</v>
      </c>
      <c r="C182" s="29" t="s">
        <v>2166</v>
      </c>
      <c r="D182" s="6" t="str">
        <f>VLOOKUP(C182,技マスタ!$A$1:$J$605,2,FALSE)</f>
        <v>鼻空想砲（ノーズファンシーキャノン）</v>
      </c>
      <c r="E182" s="29">
        <v>13</v>
      </c>
      <c r="F182" s="29">
        <v>110</v>
      </c>
      <c r="G182" s="29" t="s">
        <v>1911</v>
      </c>
      <c r="H182" s="6" t="str">
        <f>IFERROR(VLOOKUP(G182,キャラマスタ[],2,FALSE),"")</f>
        <v>Mr.9</v>
      </c>
      <c r="I182" s="29">
        <v>1</v>
      </c>
    </row>
    <row r="183" spans="1:9">
      <c r="A183" s="29" t="s">
        <v>2072</v>
      </c>
      <c r="B183" s="6" t="str">
        <f>VLOOKUP(A183,キャラマスタ[],2,FALSE)</f>
        <v>Mr.5</v>
      </c>
      <c r="C183" s="29" t="s">
        <v>2166</v>
      </c>
      <c r="D183" s="6" t="str">
        <f>VLOOKUP(C183,技マスタ!$A$1:$J$605,2,FALSE)</f>
        <v>鼻空想砲（ノーズファンシーキャノン）</v>
      </c>
      <c r="E183" s="29">
        <v>13</v>
      </c>
      <c r="F183" s="29">
        <v>111</v>
      </c>
      <c r="G183" s="29" t="s">
        <v>308</v>
      </c>
      <c r="H183" s="6" t="str">
        <f>IFERROR(VLOOKUP(G183,キャラマスタ[],2,FALSE),"")</f>
        <v>ロロノア・ゾロ</v>
      </c>
      <c r="I183" s="29"/>
    </row>
    <row r="184" spans="1:9">
      <c r="A184" s="29" t="s">
        <v>2073</v>
      </c>
      <c r="B184" s="6" t="str">
        <f>VLOOKUP(A184,キャラマスタ[],2,FALSE)</f>
        <v>ミス・バレンタイン</v>
      </c>
      <c r="C184" s="29" t="s">
        <v>2167</v>
      </c>
      <c r="D184" s="6" t="str">
        <f>VLOOKUP(C184,技マスタ!$A$1:$J$605,2,FALSE)</f>
        <v>1万kgプレス</v>
      </c>
      <c r="E184" s="29">
        <v>13</v>
      </c>
      <c r="F184" s="29">
        <v>112</v>
      </c>
      <c r="G184" s="29" t="s">
        <v>308</v>
      </c>
      <c r="H184" s="6" t="str">
        <f>IFERROR(VLOOKUP(G184,キャラマスタ[],2,FALSE),"")</f>
        <v>ロロノア・ゾロ</v>
      </c>
      <c r="I184" s="29"/>
    </row>
    <row r="185" spans="1:9">
      <c r="A185" s="29" t="s">
        <v>288</v>
      </c>
      <c r="B185" s="6" t="str">
        <f>VLOOKUP(A185,キャラマスタ[],2,FALSE)</f>
        <v>モンキー・D・ルフィ</v>
      </c>
      <c r="C185" s="29" t="s">
        <v>766</v>
      </c>
      <c r="D185" s="6" t="str">
        <f>VLOOKUP(C185,技マスタ!$A$1:$J$605,2,FALSE)</f>
        <v>ゴムゴムのバズーカ</v>
      </c>
      <c r="E185" s="29">
        <v>13</v>
      </c>
      <c r="F185" s="29">
        <v>112</v>
      </c>
      <c r="G185" s="29" t="s">
        <v>308</v>
      </c>
      <c r="H185" s="6" t="str">
        <f>IFERROR(VLOOKUP(G185,キャラマスタ[],2,FALSE),"")</f>
        <v>ロロノア・ゾロ</v>
      </c>
      <c r="I185" s="29"/>
    </row>
    <row r="186" spans="1:9">
      <c r="A186" s="29" t="s">
        <v>308</v>
      </c>
      <c r="B186" s="6" t="str">
        <f>VLOOKUP(A186,キャラマスタ[],2,FALSE)</f>
        <v>ロロノア・ゾロ</v>
      </c>
      <c r="C186" s="29" t="s">
        <v>636</v>
      </c>
      <c r="D186" s="6" t="str">
        <f>VLOOKUP(C186,技マスタ!$A$1:$J$605,2,FALSE)</f>
        <v>鬼斬り</v>
      </c>
      <c r="E186" s="29">
        <v>13</v>
      </c>
      <c r="F186" s="29">
        <v>112</v>
      </c>
      <c r="G186" s="29" t="s">
        <v>411</v>
      </c>
      <c r="H186" s="6" t="str">
        <f>IFERROR(VLOOKUP(G186,キャラマスタ[],2,FALSE),"")</f>
        <v>モンキー・D・ルフィ</v>
      </c>
      <c r="I186" s="29"/>
    </row>
    <row r="187" spans="1:9">
      <c r="A187" s="29"/>
      <c r="B187" s="6" t="e">
        <f>VLOOKUP(A187,キャラマスタ[],2,FALSE)</f>
        <v>#N/A</v>
      </c>
      <c r="C187" s="29"/>
      <c r="D187" s="6" t="e">
        <f>VLOOKUP(C187,技マスタ!$A$1:$J$605,2,FALSE)</f>
        <v>#N/A</v>
      </c>
      <c r="E187" s="29"/>
      <c r="F187" s="29"/>
      <c r="G187" s="29"/>
      <c r="H187" s="6" t="str">
        <f>IFERROR(VLOOKUP(G187,キャラマスタ[],2,FALSE),"")</f>
        <v/>
      </c>
      <c r="I187" s="29"/>
    </row>
    <row r="188" spans="1:9">
      <c r="A188" s="29"/>
      <c r="B188" s="6" t="e">
        <f>VLOOKUP(A188,キャラマスタ[],2,FALSE)</f>
        <v>#N/A</v>
      </c>
      <c r="C188" s="29"/>
      <c r="D188" s="6" t="e">
        <f>VLOOKUP(C188,技マスタ!$A$1:$J$605,2,FALSE)</f>
        <v>#N/A</v>
      </c>
      <c r="E188" s="29"/>
      <c r="F188" s="29"/>
      <c r="G188" s="29"/>
      <c r="H188" s="6" t="str">
        <f>IFERROR(VLOOKUP(G188,キャラマスタ[],2,FALSE),"")</f>
        <v/>
      </c>
      <c r="I188" s="29"/>
    </row>
    <row r="189" spans="1:9">
      <c r="A189" s="29"/>
      <c r="B189" s="6" t="e">
        <f>VLOOKUP(A189,キャラマスタ[],2,FALSE)</f>
        <v>#N/A</v>
      </c>
      <c r="C189" s="29"/>
      <c r="D189" s="6" t="e">
        <f>VLOOKUP(C189,技マスタ!$A$1:$J$605,2,FALSE)</f>
        <v>#N/A</v>
      </c>
      <c r="E189" s="29"/>
      <c r="F189" s="29"/>
      <c r="G189" s="29"/>
      <c r="H189" s="6" t="str">
        <f>IFERROR(VLOOKUP(G189,キャラマスタ[],2,FALSE),"")</f>
        <v/>
      </c>
      <c r="I189" s="29"/>
    </row>
    <row r="190" spans="1:9">
      <c r="A190" s="29"/>
      <c r="B190" s="6" t="e">
        <f>VLOOKUP(A190,キャラマスタ[],2,FALSE)</f>
        <v>#N/A</v>
      </c>
      <c r="C190" s="29"/>
      <c r="D190" s="6" t="e">
        <f>VLOOKUP(C190,技マスタ!$A$1:$J$605,2,FALSE)</f>
        <v>#N/A</v>
      </c>
      <c r="E190" s="29"/>
      <c r="F190" s="29"/>
      <c r="G190" s="29"/>
      <c r="H190" s="6" t="str">
        <f>IFERROR(VLOOKUP(G190,キャラマスタ[],2,FALSE),"")</f>
        <v/>
      </c>
      <c r="I190" s="29"/>
    </row>
    <row r="191" spans="1:9">
      <c r="A191" s="29"/>
      <c r="B191" s="6" t="e">
        <f>VLOOKUP(A191,キャラマスタ[],2,FALSE)</f>
        <v>#N/A</v>
      </c>
      <c r="C191" s="29"/>
      <c r="D191" s="6" t="e">
        <f>VLOOKUP(C191,技マスタ!$A$1:$J$605,2,FALSE)</f>
        <v>#N/A</v>
      </c>
      <c r="E191" s="29"/>
      <c r="F191" s="29"/>
      <c r="G191" s="29"/>
      <c r="H191" s="6" t="str">
        <f>IFERROR(VLOOKUP(G191,キャラマスタ[],2,FALSE),"")</f>
        <v/>
      </c>
      <c r="I191" s="29"/>
    </row>
  </sheetData>
  <phoneticPr fontId="1"/>
  <dataValidations count="1">
    <dataValidation type="list" allowBlank="1" showInputMessage="1" showErrorMessage="1" sqref="G68 A143:A191 G76:G87 G164:G166 G141:G162 G90 G94:G96 A66:A105 A107:A125 G98:G126 G129:G139 A127:A140 G169:G191" xr:uid="{F57E8DEB-3EA2-49B7-9328-A8AC03D91DA6}">
      <formula1>$A$2:$A$1056</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8F85343-EBFD-43E9-AA95-FB555F7F01C3}">
          <x14:formula1>
            <xm:f>キャラクターマスタ!$A$2:$A$1051</xm:f>
          </x14:formula1>
          <xm:sqref>A2:A7</xm:sqref>
        </x14:dataValidation>
        <x14:dataValidation type="list" allowBlank="1" showInputMessage="1" showErrorMessage="1" xr:uid="{54203FF5-B510-4924-AFAF-C04A5B39ECBB}">
          <x14:formula1>
            <xm:f>キャラクターマスタ!$A:$A</xm:f>
          </x14:formula1>
          <xm:sqref>A8:A65 G1:G67 G69:G75 G192:G1048576 A106 A126 G127:G128 A141:A142</xm:sqref>
        </x14:dataValidation>
        <x14:dataValidation type="list" allowBlank="1" showInputMessage="1" showErrorMessage="1" xr:uid="{6AC153F0-5431-4343-934E-270188C07E5E}">
          <x14:formula1>
            <xm:f>技マスタ!$A:$A</xm:f>
          </x14:formula1>
          <xm:sqref>C1:C1048576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32B8B-BE5D-45DD-9DC3-95EC70A6E1DE}">
  <sheetPr>
    <tabColor theme="4" tint="0.59999389629810485"/>
  </sheetPr>
  <dimension ref="A1:T77"/>
  <sheetViews>
    <sheetView workbookViewId="0"/>
  </sheetViews>
  <sheetFormatPr defaultColWidth="8.875" defaultRowHeight="18.75"/>
  <cols>
    <col min="1" max="1" width="11" customWidth="1"/>
    <col min="2" max="2" width="20.625" style="6" bestFit="1" customWidth="1"/>
    <col min="3" max="3" width="10" bestFit="1" customWidth="1"/>
    <col min="4" max="4" width="15.125" style="6" bestFit="1" customWidth="1"/>
    <col min="5" max="5" width="18.5" bestFit="1" customWidth="1"/>
    <col min="6" max="11" width="10.875" customWidth="1"/>
    <col min="12" max="13" width="9" customWidth="1"/>
    <col min="14" max="15" width="10.875" customWidth="1"/>
    <col min="16" max="18" width="12.625" customWidth="1"/>
  </cols>
  <sheetData>
    <row r="1" spans="1:20">
      <c r="A1" t="s">
        <v>491</v>
      </c>
      <c r="B1" s="6" t="s">
        <v>14</v>
      </c>
      <c r="C1" t="s">
        <v>435</v>
      </c>
      <c r="D1" s="6" t="s">
        <v>191</v>
      </c>
      <c r="E1" t="s">
        <v>246</v>
      </c>
      <c r="F1" t="s">
        <v>370</v>
      </c>
      <c r="G1" s="3" t="s">
        <v>366</v>
      </c>
      <c r="H1" s="3" t="s">
        <v>367</v>
      </c>
      <c r="I1" s="3" t="s">
        <v>368</v>
      </c>
      <c r="J1" s="3" t="s">
        <v>369</v>
      </c>
      <c r="K1" s="1" t="s">
        <v>226</v>
      </c>
      <c r="L1" t="s">
        <v>192</v>
      </c>
      <c r="M1" t="s">
        <v>521</v>
      </c>
      <c r="N1" t="s">
        <v>238</v>
      </c>
      <c r="O1" t="s">
        <v>509</v>
      </c>
      <c r="P1" t="s">
        <v>247</v>
      </c>
      <c r="Q1" t="s">
        <v>242</v>
      </c>
      <c r="R1" t="s">
        <v>243</v>
      </c>
      <c r="S1" t="s">
        <v>244</v>
      </c>
      <c r="T1" t="s">
        <v>235</v>
      </c>
    </row>
    <row r="2" spans="1:20">
      <c r="A2" t="s">
        <v>288</v>
      </c>
      <c r="B2" s="8" t="str">
        <f>VLOOKUP(A2,キャラマスタ[],2,FALSE)</f>
        <v>モンキー・D・ルフィ</v>
      </c>
      <c r="C2" s="3" t="s">
        <v>507</v>
      </c>
      <c r="D2" s="6" t="str">
        <f>VLOOKUP(テーブル7[[#This Row],[勢力ID]],勢力マスタ[],2,FALSE)</f>
        <v>麦わらの一味</v>
      </c>
      <c r="E2" t="s">
        <v>287</v>
      </c>
      <c r="F2" t="s">
        <v>390</v>
      </c>
      <c r="G2">
        <v>1</v>
      </c>
      <c r="H2">
        <v>1</v>
      </c>
      <c r="K2">
        <f>IF(テーブル7[[#This Row],[加入年]]="","",1539+テーブル7[[#This Row],[加入年]])</f>
        <v>1539</v>
      </c>
      <c r="L2">
        <v>0</v>
      </c>
      <c r="M2">
        <v>1.4</v>
      </c>
      <c r="N2">
        <v>0</v>
      </c>
      <c r="O2">
        <v>5</v>
      </c>
      <c r="P2" t="s">
        <v>248</v>
      </c>
    </row>
    <row r="3" spans="1:20">
      <c r="A3" t="s">
        <v>288</v>
      </c>
      <c r="B3" s="8" t="str">
        <f>VLOOKUP(A3,キャラマスタ[],2,FALSE)</f>
        <v>モンキー・D・ルフィ</v>
      </c>
      <c r="C3" s="3" t="s">
        <v>448</v>
      </c>
      <c r="D3" s="6" t="str">
        <f>VLOOKUP(テーブル7[[#This Row],[勢力ID]],勢力マスタ[],2,FALSE)</f>
        <v>無所属</v>
      </c>
      <c r="G3">
        <v>1</v>
      </c>
      <c r="H3">
        <v>1</v>
      </c>
      <c r="I3">
        <v>1</v>
      </c>
      <c r="J3">
        <v>1</v>
      </c>
      <c r="K3">
        <f>IF(テーブル7[[#This Row],[加入年]]="","",1539+テーブル7[[#This Row],[加入年]])</f>
        <v>1529</v>
      </c>
      <c r="L3">
        <v>-10</v>
      </c>
      <c r="M3">
        <v>-3650</v>
      </c>
      <c r="N3">
        <v>0</v>
      </c>
      <c r="O3">
        <v>1.4</v>
      </c>
      <c r="P3" t="s">
        <v>525</v>
      </c>
    </row>
    <row r="4" spans="1:20">
      <c r="A4" t="s">
        <v>289</v>
      </c>
      <c r="B4" s="8" t="str">
        <f>VLOOKUP(A4,キャラマスタ[],2,FALSE)</f>
        <v>ゴール・D・ロジャー</v>
      </c>
      <c r="C4" s="3" t="s">
        <v>440</v>
      </c>
      <c r="D4" s="6" t="str">
        <f>VLOOKUP(テーブル7[[#This Row],[勢力ID]],勢力マスタ[],2,FALSE)</f>
        <v>ロジャー海賊団</v>
      </c>
      <c r="E4" t="s">
        <v>287</v>
      </c>
      <c r="F4" t="s">
        <v>390</v>
      </c>
      <c r="G4">
        <v>1</v>
      </c>
      <c r="I4">
        <v>1</v>
      </c>
      <c r="K4" t="str">
        <f>IF(テーブル7[[#This Row],[加入年]]="","",1539+テーブル7[[#This Row],[加入年]])</f>
        <v/>
      </c>
      <c r="M4">
        <v>-8030</v>
      </c>
      <c r="N4">
        <v>-22</v>
      </c>
      <c r="O4">
        <v>-8030</v>
      </c>
      <c r="P4" t="s">
        <v>326</v>
      </c>
      <c r="R4">
        <v>-22</v>
      </c>
      <c r="S4" t="s">
        <v>327</v>
      </c>
      <c r="T4" t="s">
        <v>522</v>
      </c>
    </row>
    <row r="5" spans="1:20">
      <c r="A5" t="s">
        <v>292</v>
      </c>
      <c r="B5" s="8" t="str">
        <f>VLOOKUP(A5,キャラマスタ[],2,FALSE)</f>
        <v>シャンクス</v>
      </c>
      <c r="C5" s="3" t="s">
        <v>441</v>
      </c>
      <c r="D5" s="6" t="str">
        <f>VLOOKUP(テーブル7[[#This Row],[勢力ID]],勢力マスタ[],2,FALSE)</f>
        <v>赤髪海賊団</v>
      </c>
      <c r="E5" t="s">
        <v>286</v>
      </c>
      <c r="F5" t="s">
        <v>390</v>
      </c>
      <c r="G5">
        <v>1</v>
      </c>
      <c r="H5">
        <v>1</v>
      </c>
      <c r="K5">
        <f>IF(テーブル7[[#This Row],[加入年]]="","",1539+テーブル7[[#This Row],[加入年]])</f>
        <v>1517</v>
      </c>
      <c r="L5">
        <v>-22</v>
      </c>
      <c r="M5">
        <v>-8030</v>
      </c>
      <c r="P5" t="s">
        <v>248</v>
      </c>
      <c r="Q5">
        <v>-22</v>
      </c>
      <c r="R5">
        <v>-11</v>
      </c>
      <c r="S5" t="s">
        <v>245</v>
      </c>
    </row>
    <row r="6" spans="1:20">
      <c r="A6" t="s">
        <v>293</v>
      </c>
      <c r="B6" s="8" t="str">
        <f>VLOOKUP(A6,キャラマスタ[],2,FALSE)</f>
        <v>ラッキー・ルウ</v>
      </c>
      <c r="C6" s="3" t="s">
        <v>441</v>
      </c>
      <c r="D6" s="6" t="str">
        <f>VLOOKUP(テーブル7[[#This Row],[勢力ID]],勢力マスタ[],2,FALSE)</f>
        <v>赤髪海賊団</v>
      </c>
      <c r="E6" t="s">
        <v>328</v>
      </c>
      <c r="F6" t="s">
        <v>390</v>
      </c>
      <c r="G6">
        <v>1</v>
      </c>
      <c r="H6">
        <v>1</v>
      </c>
      <c r="K6">
        <f>IF(テーブル7[[#This Row],[加入年]]="","",1539+テーブル7[[#This Row],[加入年]])</f>
        <v>1528</v>
      </c>
      <c r="L6">
        <v>-11</v>
      </c>
      <c r="M6" s="4">
        <v>-4015</v>
      </c>
      <c r="P6" t="s">
        <v>249</v>
      </c>
      <c r="Q6">
        <v>-22</v>
      </c>
      <c r="R6">
        <v>-11</v>
      </c>
    </row>
    <row r="7" spans="1:20">
      <c r="A7" t="s">
        <v>294</v>
      </c>
      <c r="B7" s="8" t="str">
        <f>VLOOKUP(A7,キャラマスタ[],2,FALSE)</f>
        <v>ヤソップ</v>
      </c>
      <c r="C7" s="3" t="s">
        <v>441</v>
      </c>
      <c r="D7" s="6" t="str">
        <f>VLOOKUP(テーブル7[[#This Row],[勢力ID]],勢力マスタ[],2,FALSE)</f>
        <v>赤髪海賊団</v>
      </c>
      <c r="E7" t="s">
        <v>329</v>
      </c>
      <c r="F7" t="s">
        <v>390</v>
      </c>
      <c r="G7">
        <v>1</v>
      </c>
      <c r="H7">
        <v>1</v>
      </c>
      <c r="K7">
        <f>IF(テーブル7[[#This Row],[加入年]]="","",1539+テーブル7[[#This Row],[加入年]])</f>
        <v>1527</v>
      </c>
      <c r="L7">
        <v>-12</v>
      </c>
      <c r="M7">
        <v>-4200</v>
      </c>
      <c r="P7" t="s">
        <v>249</v>
      </c>
      <c r="Q7">
        <v>-22</v>
      </c>
      <c r="R7">
        <v>-11</v>
      </c>
    </row>
    <row r="8" spans="1:20">
      <c r="A8" t="s">
        <v>295</v>
      </c>
      <c r="B8" s="8" t="str">
        <f>VLOOKUP(A8,キャラマスタ[],2,FALSE)</f>
        <v>ベン・ベックマン</v>
      </c>
      <c r="C8" s="3" t="s">
        <v>441</v>
      </c>
      <c r="D8" s="6" t="str">
        <f>VLOOKUP(テーブル7[[#This Row],[勢力ID]],勢力マスタ[],2,FALSE)</f>
        <v>赤髪海賊団</v>
      </c>
      <c r="E8" t="s">
        <v>330</v>
      </c>
      <c r="F8" t="s">
        <v>390</v>
      </c>
      <c r="G8">
        <v>1</v>
      </c>
      <c r="H8">
        <v>1</v>
      </c>
      <c r="K8">
        <f>IF(テーブル7[[#This Row],[加入年]]="","",1539+テーブル7[[#This Row],[加入年]])</f>
        <v>1528</v>
      </c>
      <c r="L8">
        <v>-11</v>
      </c>
      <c r="M8" s="4">
        <v>-4015</v>
      </c>
      <c r="P8" t="s">
        <v>249</v>
      </c>
      <c r="Q8">
        <v>-22</v>
      </c>
      <c r="R8">
        <v>-11</v>
      </c>
    </row>
    <row r="9" spans="1:20">
      <c r="A9" t="s">
        <v>298</v>
      </c>
      <c r="B9" s="8" t="str">
        <f>VLOOKUP(A9,キャラマスタ[],2,FALSE)</f>
        <v>ヒグマ</v>
      </c>
      <c r="C9" s="3" t="s">
        <v>442</v>
      </c>
      <c r="D9" s="6" t="str">
        <f>VLOOKUP(テーブル7[[#This Row],[勢力ID]],勢力マスタ[],2,FALSE)</f>
        <v>ヒグマ山賊団</v>
      </c>
      <c r="E9" t="s">
        <v>333</v>
      </c>
      <c r="F9" t="s">
        <v>391</v>
      </c>
      <c r="G9">
        <v>1</v>
      </c>
      <c r="I9">
        <v>1</v>
      </c>
      <c r="J9">
        <v>1</v>
      </c>
      <c r="K9" t="str">
        <f>IF(テーブル7[[#This Row],[加入年]]="","",1539+テーブル7[[#This Row],[加入年]])</f>
        <v/>
      </c>
      <c r="M9">
        <v>-3645</v>
      </c>
      <c r="N9">
        <v>-10</v>
      </c>
      <c r="O9">
        <v>-3645</v>
      </c>
      <c r="P9" t="s">
        <v>334</v>
      </c>
      <c r="T9" t="s">
        <v>522</v>
      </c>
    </row>
    <row r="10" spans="1:20">
      <c r="A10" t="s">
        <v>413</v>
      </c>
      <c r="B10" s="8" t="str">
        <f>VLOOKUP(A10,キャラマスタ[],2,FALSE)</f>
        <v>コビー</v>
      </c>
      <c r="C10" s="3" t="s">
        <v>443</v>
      </c>
      <c r="D10" s="6" t="str">
        <f>VLOOKUP(テーブル7[[#This Row],[勢力ID]],勢力マスタ[],2,FALSE)</f>
        <v>アルビダ海賊団</v>
      </c>
      <c r="E10" t="s">
        <v>380</v>
      </c>
      <c r="F10" t="s">
        <v>390</v>
      </c>
      <c r="G10">
        <v>1</v>
      </c>
      <c r="H10">
        <v>2</v>
      </c>
      <c r="I10">
        <v>1</v>
      </c>
      <c r="J10">
        <v>2</v>
      </c>
      <c r="K10">
        <f>IF(テーブル7[[#This Row],[加入年]]="","",1539+テーブル7[[#This Row],[加入年]])</f>
        <v>1537</v>
      </c>
      <c r="L10">
        <v>-2</v>
      </c>
      <c r="M10">
        <f>-2*365</f>
        <v>-730</v>
      </c>
      <c r="N10">
        <v>0</v>
      </c>
      <c r="O10">
        <v>1.2</v>
      </c>
      <c r="P10" t="s">
        <v>250</v>
      </c>
    </row>
    <row r="11" spans="1:20">
      <c r="A11" t="s">
        <v>413</v>
      </c>
      <c r="B11" s="8" t="str">
        <f>VLOOKUP(A11,キャラマスタ[],2,FALSE)</f>
        <v>コビー</v>
      </c>
      <c r="C11" s="3" t="s">
        <v>448</v>
      </c>
      <c r="D11" s="6" t="str">
        <f>VLOOKUP(テーブル7[[#This Row],[勢力ID]],勢力マスタ[],2,FALSE)</f>
        <v>無所属</v>
      </c>
      <c r="G11">
        <v>1</v>
      </c>
      <c r="H11">
        <v>2</v>
      </c>
      <c r="I11">
        <v>1</v>
      </c>
      <c r="J11">
        <v>7</v>
      </c>
      <c r="K11">
        <v>1539</v>
      </c>
      <c r="L11">
        <v>0</v>
      </c>
      <c r="M11">
        <v>1.2</v>
      </c>
      <c r="N11">
        <v>0</v>
      </c>
      <c r="O11">
        <v>1.5</v>
      </c>
      <c r="P11" t="s">
        <v>524</v>
      </c>
    </row>
    <row r="12" spans="1:20">
      <c r="A12" t="s">
        <v>413</v>
      </c>
      <c r="B12" s="8" t="str">
        <f>VLOOKUP(A12,キャラマスタ[],2,FALSE)</f>
        <v>コビー</v>
      </c>
      <c r="C12" s="3" t="s">
        <v>446</v>
      </c>
      <c r="D12" s="6" t="str">
        <f>VLOOKUP(テーブル7[[#This Row],[勢力ID]],勢力マスタ[],2,FALSE)</f>
        <v>海軍</v>
      </c>
      <c r="E12" t="s">
        <v>381</v>
      </c>
      <c r="F12" t="s">
        <v>392</v>
      </c>
      <c r="G12">
        <v>1</v>
      </c>
      <c r="H12">
        <v>7</v>
      </c>
      <c r="K12">
        <f>IF(テーブル7[[#This Row],[加入年]]="","",1539+テーブル7[[#This Row],[加入年]])</f>
        <v>1539</v>
      </c>
      <c r="L12">
        <v>0</v>
      </c>
      <c r="M12">
        <v>1.5</v>
      </c>
      <c r="P12" t="s">
        <v>249</v>
      </c>
    </row>
    <row r="13" spans="1:20">
      <c r="A13" t="s">
        <v>304</v>
      </c>
      <c r="B13" s="8" t="str">
        <f>VLOOKUP(A13,キャラマスタ[],2,FALSE)</f>
        <v>アルビダ</v>
      </c>
      <c r="C13" s="3" t="s">
        <v>443</v>
      </c>
      <c r="D13" s="6" t="str">
        <f>VLOOKUP(テーブル7[[#This Row],[勢力ID]],勢力マスタ[],2,FALSE)</f>
        <v>アルビダ海賊団</v>
      </c>
      <c r="E13" t="s">
        <v>287</v>
      </c>
      <c r="F13" t="s">
        <v>390</v>
      </c>
      <c r="G13">
        <v>1</v>
      </c>
      <c r="K13">
        <f>IF(テーブル7[[#This Row],[加入年]]="","",1539+テーブル7[[#This Row],[加入年]])</f>
        <v>1537</v>
      </c>
      <c r="L13">
        <v>-2</v>
      </c>
      <c r="M13">
        <f>-2*365</f>
        <v>-730</v>
      </c>
      <c r="P13" t="s">
        <v>248</v>
      </c>
      <c r="R13">
        <v>-2</v>
      </c>
      <c r="S13" t="s">
        <v>335</v>
      </c>
    </row>
    <row r="14" spans="1:20">
      <c r="A14" t="s">
        <v>414</v>
      </c>
      <c r="B14" s="8" t="str">
        <f>VLOOKUP(A14,キャラマスタ[],2,FALSE)</f>
        <v>ロロノア・ゾロ</v>
      </c>
      <c r="C14" s="3" t="s">
        <v>448</v>
      </c>
      <c r="D14" s="6" t="str">
        <f>VLOOKUP(テーブル7[[#This Row],[勢力ID]],勢力マスタ[],2,FALSE)</f>
        <v>無所属</v>
      </c>
      <c r="G14">
        <v>1</v>
      </c>
      <c r="H14">
        <v>5</v>
      </c>
      <c r="I14">
        <v>1</v>
      </c>
      <c r="J14">
        <v>6</v>
      </c>
      <c r="K14">
        <f>IF(テーブル7[[#This Row],[加入年]]="","",1539+テーブル7[[#This Row],[加入年]])</f>
        <v>1528</v>
      </c>
      <c r="L14">
        <v>-11</v>
      </c>
      <c r="M14">
        <v>-4000</v>
      </c>
      <c r="P14" t="s">
        <v>250</v>
      </c>
    </row>
    <row r="15" spans="1:20">
      <c r="A15" t="s">
        <v>414</v>
      </c>
      <c r="B15" s="8" t="str">
        <f>VLOOKUP(A15,キャラマスタ[],2,FALSE)</f>
        <v>ロロノア・ゾロ</v>
      </c>
      <c r="C15" s="3" t="s">
        <v>447</v>
      </c>
      <c r="D15" s="6" t="str">
        <f>VLOOKUP(テーブル7[[#This Row],[勢力ID]],勢力マスタ[],2,FALSE)</f>
        <v>賞金稼ぎ</v>
      </c>
      <c r="F15" t="s">
        <v>393</v>
      </c>
      <c r="I15">
        <v>1</v>
      </c>
      <c r="J15">
        <v>6</v>
      </c>
      <c r="K15" t="str">
        <f>IF(テーブル7[[#This Row],[加入年]]="","",1539+テーブル7[[#This Row],[加入年]])</f>
        <v/>
      </c>
      <c r="M15">
        <v>-3500</v>
      </c>
      <c r="O15">
        <v>1.4</v>
      </c>
      <c r="P15" t="s">
        <v>526</v>
      </c>
    </row>
    <row r="16" spans="1:20">
      <c r="A16" t="s">
        <v>414</v>
      </c>
      <c r="B16" s="8" t="str">
        <f>VLOOKUP(A16,キャラマスタ[],2,FALSE)</f>
        <v>ロロノア・ゾロ</v>
      </c>
      <c r="C16" s="3" t="s">
        <v>507</v>
      </c>
      <c r="D16" s="6" t="str">
        <f>VLOOKUP(テーブル7[[#This Row],[勢力ID]],勢力マスタ[],2,FALSE)</f>
        <v>麦わらの一味</v>
      </c>
      <c r="E16" t="s">
        <v>331</v>
      </c>
      <c r="F16" t="s">
        <v>390</v>
      </c>
      <c r="G16">
        <v>1</v>
      </c>
      <c r="H16">
        <v>6</v>
      </c>
      <c r="K16">
        <f>IF(テーブル7[[#This Row],[加入年]]="","",1539+テーブル7[[#This Row],[加入年]])</f>
        <v>1539</v>
      </c>
      <c r="L16">
        <v>0</v>
      </c>
      <c r="M16">
        <v>1.4</v>
      </c>
      <c r="P16" t="s">
        <v>249</v>
      </c>
    </row>
    <row r="17" spans="1:20">
      <c r="A17" t="s">
        <v>415</v>
      </c>
      <c r="B17" s="8" t="str">
        <f>VLOOKUP(A17,キャラマスタ[],2,FALSE)</f>
        <v>ヘルメッポ</v>
      </c>
      <c r="C17" s="3" t="s">
        <v>446</v>
      </c>
      <c r="D17" s="6" t="str">
        <f>VLOOKUP(テーブル7[[#This Row],[勢力ID]],勢力マスタ[],2,FALSE)</f>
        <v>海軍</v>
      </c>
      <c r="E17" t="s">
        <v>381</v>
      </c>
      <c r="F17" t="s">
        <v>392</v>
      </c>
      <c r="G17">
        <v>1</v>
      </c>
      <c r="K17">
        <f>IF(テーブル7[[#This Row],[加入年]]="","",1539+テーブル7[[#This Row],[加入年]])</f>
        <v>1539</v>
      </c>
      <c r="L17">
        <v>0</v>
      </c>
      <c r="M17">
        <v>1.5</v>
      </c>
      <c r="P17" t="s">
        <v>249</v>
      </c>
    </row>
    <row r="18" spans="1:20">
      <c r="A18" t="s">
        <v>408</v>
      </c>
      <c r="B18" s="8" t="str">
        <f>VLOOKUP(A18,キャラマスタ[],2,FALSE)</f>
        <v>モーガン</v>
      </c>
      <c r="C18" s="3" t="s">
        <v>446</v>
      </c>
      <c r="D18" s="6" t="str">
        <f>VLOOKUP(テーブル7[[#This Row],[勢力ID]],勢力マスタ[],2,FALSE)</f>
        <v>海軍</v>
      </c>
      <c r="E18" t="s">
        <v>383</v>
      </c>
      <c r="F18" t="s">
        <v>382</v>
      </c>
      <c r="G18">
        <v>1</v>
      </c>
      <c r="K18">
        <f>IF(テーブル7[[#This Row],[加入年]]="","",1539+テーブル7[[#This Row],[加入年]])</f>
        <v>1536</v>
      </c>
      <c r="L18">
        <v>-3</v>
      </c>
      <c r="M18">
        <v>-1095</v>
      </c>
      <c r="O18">
        <v>1.9</v>
      </c>
      <c r="P18" t="s">
        <v>249</v>
      </c>
      <c r="R18">
        <v>-3</v>
      </c>
      <c r="S18" t="s">
        <v>336</v>
      </c>
    </row>
    <row r="19" spans="1:20">
      <c r="A19" t="s">
        <v>416</v>
      </c>
      <c r="B19" s="8" t="str">
        <f>VLOOKUP(A19,キャラマスタ[],2,FALSE)</f>
        <v>ナミ</v>
      </c>
      <c r="C19" s="3" t="s">
        <v>448</v>
      </c>
      <c r="D19" s="6" t="str">
        <f>VLOOKUP(テーブル7[[#This Row],[勢力ID]],勢力マスタ[],2,FALSE)</f>
        <v>無所属</v>
      </c>
      <c r="E19" t="s">
        <v>653</v>
      </c>
      <c r="G19">
        <v>2</v>
      </c>
      <c r="H19">
        <v>9</v>
      </c>
      <c r="K19">
        <f>IF(テーブル7[[#This Row],[加入年]]="","",1539+テーブル7[[#This Row],[加入年]])</f>
        <v>1539</v>
      </c>
      <c r="L19">
        <v>0</v>
      </c>
      <c r="M19">
        <v>1.2</v>
      </c>
    </row>
    <row r="20" spans="1:20">
      <c r="A20" t="s">
        <v>416</v>
      </c>
      <c r="B20" s="8" t="str">
        <f>VLOOKUP(A20,キャラマスタ[],2,FALSE)</f>
        <v>ナミ</v>
      </c>
      <c r="C20" s="3" t="s">
        <v>507</v>
      </c>
      <c r="D20" s="6" t="str">
        <f>VLOOKUP(テーブル7[[#This Row],[勢力ID]],勢力マスタ[],2,FALSE)</f>
        <v>麦わらの一味</v>
      </c>
      <c r="E20" t="s">
        <v>337</v>
      </c>
      <c r="G20">
        <v>2</v>
      </c>
      <c r="H20">
        <v>14</v>
      </c>
      <c r="K20">
        <f>IF(テーブル7[[#This Row],[加入年]]="","",1539+テーブル7[[#This Row],[加入年]])</f>
        <v>1539</v>
      </c>
      <c r="L20">
        <v>0</v>
      </c>
      <c r="M20">
        <v>1.8</v>
      </c>
      <c r="N20">
        <v>0</v>
      </c>
      <c r="O20">
        <v>8.1</v>
      </c>
      <c r="P20" t="s">
        <v>249</v>
      </c>
    </row>
    <row r="21" spans="1:20">
      <c r="A21" t="s">
        <v>570</v>
      </c>
      <c r="B21" s="8" t="str">
        <f>VLOOKUP(A21,キャラマスタ[],2,FALSE)</f>
        <v>バギー</v>
      </c>
      <c r="C21" s="3" t="s">
        <v>449</v>
      </c>
      <c r="D21" s="6" t="str">
        <f>VLOOKUP(テーブル7[[#This Row],[勢力ID]],勢力マスタ[],2,FALSE)</f>
        <v>バギー海賊団</v>
      </c>
      <c r="E21" t="s">
        <v>654</v>
      </c>
      <c r="G21">
        <v>2</v>
      </c>
      <c r="H21">
        <v>9</v>
      </c>
      <c r="K21">
        <f>IF(テーブル7[[#This Row],[加入年]]="","",1539+テーブル7[[#This Row],[加入年]])</f>
        <v>1517</v>
      </c>
      <c r="L21">
        <v>-22</v>
      </c>
      <c r="M21">
        <v>-8030</v>
      </c>
      <c r="P21" t="s">
        <v>248</v>
      </c>
      <c r="Q21">
        <v>-22</v>
      </c>
      <c r="T21" t="s">
        <v>522</v>
      </c>
    </row>
    <row r="22" spans="1:20">
      <c r="A22" t="s">
        <v>574</v>
      </c>
      <c r="B22" s="8" t="str">
        <f>VLOOKUP(A22,キャラマスタ[],2,FALSE)</f>
        <v>モージ</v>
      </c>
      <c r="C22" s="3" t="s">
        <v>449</v>
      </c>
      <c r="D22" s="6" t="str">
        <f>VLOOKUP(テーブル7[[#This Row],[勢力ID]],勢力マスタ[],2,FALSE)</f>
        <v>バギー海賊団</v>
      </c>
      <c r="E22" t="s">
        <v>55</v>
      </c>
      <c r="G22">
        <v>2</v>
      </c>
      <c r="H22">
        <v>12</v>
      </c>
      <c r="K22">
        <f>IF(テーブル7[[#This Row],[加入年]]="","",1539+テーブル7[[#This Row],[加入年]])</f>
        <v>1528</v>
      </c>
      <c r="L22">
        <v>-11</v>
      </c>
      <c r="M22">
        <v>-4000</v>
      </c>
      <c r="P22" t="s">
        <v>249</v>
      </c>
      <c r="Q22">
        <v>-12</v>
      </c>
      <c r="R22">
        <v>-5</v>
      </c>
    </row>
    <row r="23" spans="1:20">
      <c r="A23" t="s">
        <v>576</v>
      </c>
      <c r="B23" s="8" t="str">
        <f>VLOOKUP(A23,キャラマスタ[],2,FALSE)</f>
        <v>シュシュ</v>
      </c>
      <c r="C23" s="3" t="s">
        <v>448</v>
      </c>
      <c r="D23" s="6" t="str">
        <f>VLOOKUP(テーブル7[[#This Row],[勢力ID]],勢力マスタ[],2,FALSE)</f>
        <v>無所属</v>
      </c>
      <c r="G23">
        <v>2</v>
      </c>
      <c r="H23">
        <v>12</v>
      </c>
      <c r="K23">
        <f>IF(テーブル7[[#This Row],[加入年]]="","",1539+テーブル7[[#This Row],[加入年]])</f>
        <v>1529</v>
      </c>
      <c r="L23">
        <v>-10</v>
      </c>
      <c r="M23">
        <v>-3640</v>
      </c>
      <c r="P23" t="s">
        <v>249</v>
      </c>
    </row>
    <row r="24" spans="1:20">
      <c r="A24" t="s">
        <v>580</v>
      </c>
      <c r="B24" s="8" t="str">
        <f>VLOOKUP(A24,キャラマスタ[],2,FALSE)</f>
        <v>カバジ</v>
      </c>
      <c r="C24" s="3" t="s">
        <v>449</v>
      </c>
      <c r="D24" s="6" t="str">
        <f>VLOOKUP(テーブル7[[#This Row],[勢力ID]],勢力マスタ[],2,FALSE)</f>
        <v>バギー海賊団</v>
      </c>
      <c r="E24" t="s">
        <v>554</v>
      </c>
      <c r="G24">
        <v>2</v>
      </c>
      <c r="H24">
        <v>15</v>
      </c>
      <c r="K24">
        <f>IF(テーブル7[[#This Row],[加入年]]="","",1539+テーブル7[[#This Row],[加入年]])</f>
        <v>1528</v>
      </c>
      <c r="L24">
        <v>-11</v>
      </c>
      <c r="M24">
        <v>-4000</v>
      </c>
      <c r="P24" t="s">
        <v>249</v>
      </c>
      <c r="Q24">
        <v>-13</v>
      </c>
      <c r="R24">
        <v>-4</v>
      </c>
    </row>
    <row r="25" spans="1:20">
      <c r="A25" t="s">
        <v>577</v>
      </c>
      <c r="B25" s="8" t="str">
        <f>VLOOKUP(A25,キャラマスタ[],2,FALSE)</f>
        <v>ブードル</v>
      </c>
      <c r="C25" s="3" t="s">
        <v>448</v>
      </c>
      <c r="D25" s="6" t="str">
        <f>VLOOKUP(テーブル7[[#This Row],[勢力ID]],勢力マスタ[],2,FALSE)</f>
        <v>無所属</v>
      </c>
      <c r="G25">
        <v>2</v>
      </c>
      <c r="H25">
        <v>12</v>
      </c>
      <c r="K25">
        <f>IF(テーブル7[[#This Row],[加入年]]="","",1539+テーブル7[[#This Row],[加入年]])</f>
        <v>1499</v>
      </c>
      <c r="L25">
        <v>-40</v>
      </c>
      <c r="M25">
        <v>-14600</v>
      </c>
      <c r="P25" t="s">
        <v>249</v>
      </c>
    </row>
    <row r="26" spans="1:20">
      <c r="A26" t="s">
        <v>292</v>
      </c>
      <c r="B26" s="8" t="str">
        <f>VLOOKUP(A26,キャラマスタ[],2,FALSE)</f>
        <v>シャンクス</v>
      </c>
      <c r="C26" s="3" t="s">
        <v>440</v>
      </c>
      <c r="D26" s="6" t="str">
        <f>VLOOKUP(テーブル7[[#This Row],[勢力ID]],勢力マスタ[],2,FALSE)</f>
        <v>ロジャー海賊団</v>
      </c>
      <c r="E26" t="s">
        <v>376</v>
      </c>
      <c r="G26">
        <v>3</v>
      </c>
      <c r="H26">
        <v>19</v>
      </c>
      <c r="K26">
        <f>IF(テーブル7[[#This Row],[加入年]]="","",1539+テーブル7[[#This Row],[加入年]])</f>
        <v>1514</v>
      </c>
      <c r="L26">
        <v>-25</v>
      </c>
      <c r="M26">
        <v>-9125</v>
      </c>
      <c r="N26">
        <v>-22</v>
      </c>
      <c r="O26">
        <v>-8030</v>
      </c>
      <c r="P26" t="s">
        <v>249</v>
      </c>
      <c r="Q26">
        <v>-37</v>
      </c>
      <c r="R26">
        <v>-25</v>
      </c>
    </row>
    <row r="27" spans="1:20">
      <c r="A27" t="s">
        <v>570</v>
      </c>
      <c r="B27" s="8" t="str">
        <f>VLOOKUP(A27,キャラマスタ[],2,FALSE)</f>
        <v>バギー</v>
      </c>
      <c r="C27" s="3" t="s">
        <v>440</v>
      </c>
      <c r="D27" s="6" t="str">
        <f>VLOOKUP(テーブル7[[#This Row],[勢力ID]],勢力マスタ[],2,FALSE)</f>
        <v>ロジャー海賊団</v>
      </c>
      <c r="E27" t="s">
        <v>376</v>
      </c>
      <c r="G27">
        <v>3</v>
      </c>
      <c r="H27">
        <v>19</v>
      </c>
      <c r="K27">
        <f>IF(テーブル7[[#This Row],[加入年]]="","",1539+テーブル7[[#This Row],[加入年]])</f>
        <v>1514</v>
      </c>
      <c r="L27">
        <v>-25</v>
      </c>
      <c r="M27">
        <v>-9125</v>
      </c>
      <c r="N27">
        <v>-22</v>
      </c>
      <c r="O27">
        <v>-8030</v>
      </c>
      <c r="P27" t="s">
        <v>249</v>
      </c>
      <c r="Q27">
        <v>-37</v>
      </c>
      <c r="R27">
        <v>-25</v>
      </c>
    </row>
    <row r="28" spans="1:20">
      <c r="A28" t="s">
        <v>723</v>
      </c>
      <c r="B28" s="8" t="str">
        <f>VLOOKUP(A28,キャラマスタ[],2,FALSE)</f>
        <v>クロ</v>
      </c>
      <c r="C28" s="3" t="s">
        <v>737</v>
      </c>
      <c r="D28" s="6" t="str">
        <f>VLOOKUP(テーブル7[[#This Row],[勢力ID]],勢力マスタ[],2,FALSE)</f>
        <v>クロネコ海賊団</v>
      </c>
      <c r="E28" t="s">
        <v>734</v>
      </c>
      <c r="I28">
        <v>3</v>
      </c>
      <c r="J28">
        <v>26</v>
      </c>
      <c r="K28">
        <f>IF(テーブル7[[#This Row],[加入年]]="","",1539+テーブル7[[#This Row],[加入年]])</f>
        <v>1531</v>
      </c>
      <c r="L28">
        <v>-8</v>
      </c>
      <c r="M28">
        <v>-2920</v>
      </c>
      <c r="N28">
        <v>-3</v>
      </c>
      <c r="O28">
        <v>-1095</v>
      </c>
      <c r="P28" t="s">
        <v>810</v>
      </c>
    </row>
    <row r="29" spans="1:20">
      <c r="A29" t="s">
        <v>723</v>
      </c>
      <c r="B29" s="8" t="str">
        <f>VLOOKUP(A29,キャラマスタ[],2,FALSE)</f>
        <v>クロ</v>
      </c>
      <c r="C29" s="3" t="s">
        <v>448</v>
      </c>
      <c r="D29" s="6" t="str">
        <f>VLOOKUP(テーブル7[[#This Row],[勢力ID]],勢力マスタ[],2,FALSE)</f>
        <v>無所属</v>
      </c>
      <c r="G29">
        <v>3</v>
      </c>
      <c r="H29">
        <v>25</v>
      </c>
      <c r="K29">
        <f>IF(テーブル7[[#This Row],[加入年]]="","",1539+テーブル7[[#This Row],[加入年]])</f>
        <v>1536</v>
      </c>
      <c r="L29">
        <v>-3</v>
      </c>
      <c r="M29">
        <v>-1095</v>
      </c>
      <c r="P29" t="s">
        <v>249</v>
      </c>
    </row>
    <row r="30" spans="1:20">
      <c r="A30" t="s">
        <v>718</v>
      </c>
      <c r="B30" s="8" t="str">
        <f>VLOOKUP(A30,キャラマスタ[],2,FALSE)</f>
        <v>ウソップ</v>
      </c>
      <c r="C30" s="3" t="s">
        <v>450</v>
      </c>
      <c r="D30" s="6" t="str">
        <f>VLOOKUP(テーブル7[[#This Row],[勢力ID]],勢力マスタ[],2,FALSE)</f>
        <v>ウソップ海賊団</v>
      </c>
      <c r="E30" t="s">
        <v>734</v>
      </c>
      <c r="G30">
        <v>5</v>
      </c>
      <c r="H30">
        <v>40</v>
      </c>
      <c r="I30">
        <v>5</v>
      </c>
      <c r="J30">
        <v>40</v>
      </c>
      <c r="K30">
        <f>IF(テーブル7[[#This Row],[加入年]]="","",1539+テーブル7[[#This Row],[加入年]])</f>
        <v>1534</v>
      </c>
      <c r="L30">
        <v>-5</v>
      </c>
      <c r="M30">
        <v>-1825</v>
      </c>
      <c r="N30">
        <v>0</v>
      </c>
      <c r="O30">
        <v>3.2</v>
      </c>
      <c r="P30" t="s">
        <v>524</v>
      </c>
    </row>
    <row r="31" spans="1:20">
      <c r="A31" t="s">
        <v>718</v>
      </c>
      <c r="B31" s="8" t="str">
        <f>VLOOKUP(A31,キャラマスタ[],2,FALSE)</f>
        <v>ウソップ</v>
      </c>
      <c r="C31" s="3" t="s">
        <v>448</v>
      </c>
      <c r="D31" s="6" t="str">
        <f>VLOOKUP(テーブル7[[#This Row],[勢力ID]],勢力マスタ[],2,FALSE)</f>
        <v>無所属</v>
      </c>
      <c r="K31">
        <f>IF(テーブル7[[#This Row],[加入年]]="","",1539+テーブル7[[#This Row],[加入年]])</f>
        <v>1527</v>
      </c>
      <c r="L31">
        <v>-12</v>
      </c>
      <c r="M31">
        <v>-4200</v>
      </c>
    </row>
    <row r="32" spans="1:20">
      <c r="A32" t="s">
        <v>717</v>
      </c>
      <c r="B32" s="8" t="str">
        <f>VLOOKUP(A32,キャラマスタ[],2,FALSE)</f>
        <v>ガイモン</v>
      </c>
      <c r="C32" s="3" t="s">
        <v>448</v>
      </c>
      <c r="D32" s="6" t="str">
        <f>VLOOKUP(テーブル7[[#This Row],[勢力ID]],勢力マスタ[],2,FALSE)</f>
        <v>無所属</v>
      </c>
      <c r="K32">
        <f>IF(テーブル7[[#This Row],[加入年]]="","",1539+テーブル7[[#This Row],[加入年]])</f>
        <v>1519</v>
      </c>
      <c r="L32">
        <v>-20</v>
      </c>
      <c r="M32">
        <v>-7300</v>
      </c>
    </row>
    <row r="33" spans="1:18">
      <c r="A33" t="s">
        <v>819</v>
      </c>
      <c r="B33" s="8" t="str">
        <f>VLOOKUP(A33,キャラマスタ[],2,FALSE)</f>
        <v>シャム</v>
      </c>
      <c r="C33" s="3" t="s">
        <v>737</v>
      </c>
      <c r="D33" s="6" t="str">
        <f>VLOOKUP(テーブル7[[#This Row],[勢力ID]],勢力マスタ[],2,FALSE)</f>
        <v>クロネコ海賊団</v>
      </c>
      <c r="E33" t="s">
        <v>823</v>
      </c>
      <c r="G33">
        <v>4</v>
      </c>
      <c r="H33">
        <v>31</v>
      </c>
      <c r="K33">
        <f>IF(テーブル7[[#This Row],[加入年]]="","",1539+テーブル7[[#This Row],[加入年]])</f>
        <v>1536</v>
      </c>
      <c r="L33">
        <v>-3</v>
      </c>
      <c r="M33">
        <v>-1095</v>
      </c>
      <c r="P33" t="s">
        <v>249</v>
      </c>
      <c r="Q33">
        <v>-5</v>
      </c>
      <c r="R33">
        <v>-3</v>
      </c>
    </row>
    <row r="34" spans="1:18">
      <c r="A34" t="s">
        <v>821</v>
      </c>
      <c r="B34" s="8" t="str">
        <f>VLOOKUP(A34,キャラマスタ[],2,FALSE)</f>
        <v>ブチ</v>
      </c>
      <c r="C34" s="3" t="s">
        <v>737</v>
      </c>
      <c r="D34" s="6" t="str">
        <f>VLOOKUP(テーブル7[[#This Row],[勢力ID]],勢力マスタ[],2,FALSE)</f>
        <v>クロネコ海賊団</v>
      </c>
      <c r="E34" t="s">
        <v>823</v>
      </c>
      <c r="G34">
        <v>4</v>
      </c>
      <c r="H34">
        <v>31</v>
      </c>
      <c r="K34">
        <f>IF(テーブル7[[#This Row],[加入年]]="","",1539+テーブル7[[#This Row],[加入年]])</f>
        <v>1536</v>
      </c>
      <c r="L34">
        <v>-3</v>
      </c>
      <c r="M34">
        <v>-1095</v>
      </c>
      <c r="P34" t="s">
        <v>249</v>
      </c>
      <c r="Q34">
        <v>-5</v>
      </c>
      <c r="R34">
        <v>-3</v>
      </c>
    </row>
    <row r="35" spans="1:18">
      <c r="A35" t="s">
        <v>727</v>
      </c>
      <c r="B35" s="8" t="str">
        <f>VLOOKUP(A35,キャラマスタ[],2,FALSE)</f>
        <v>ジャンゴ</v>
      </c>
      <c r="C35" s="3" t="s">
        <v>737</v>
      </c>
      <c r="D35" s="6" t="str">
        <f>VLOOKUP(テーブル7[[#This Row],[勢力ID]],勢力マスタ[],2,FALSE)</f>
        <v>クロネコ海賊団</v>
      </c>
      <c r="E35" t="s">
        <v>39</v>
      </c>
      <c r="G35">
        <v>4</v>
      </c>
      <c r="H35">
        <v>28</v>
      </c>
      <c r="K35">
        <f>IF(テーブル7[[#This Row],[加入年]]="","",1539+テーブル7[[#This Row],[加入年]])</f>
        <v>1536</v>
      </c>
      <c r="L35">
        <v>-3</v>
      </c>
      <c r="M35">
        <v>-1095</v>
      </c>
      <c r="P35" t="s">
        <v>249</v>
      </c>
      <c r="Q35">
        <v>-7</v>
      </c>
      <c r="R35">
        <v>-3</v>
      </c>
    </row>
    <row r="36" spans="1:18">
      <c r="A36" t="s">
        <v>718</v>
      </c>
      <c r="B36" s="8" t="str">
        <f>VLOOKUP(A36,キャラマスタ[],2,FALSE)</f>
        <v>ウソップ</v>
      </c>
      <c r="C36" s="3" t="s">
        <v>507</v>
      </c>
      <c r="D36" s="6" t="str">
        <f>VLOOKUP(テーブル7[[#This Row],[勢力ID]],勢力マスタ[],2,FALSE)</f>
        <v>麦わらの一味</v>
      </c>
      <c r="E36" t="s">
        <v>956</v>
      </c>
      <c r="G36">
        <v>5</v>
      </c>
      <c r="H36">
        <v>41</v>
      </c>
      <c r="K36">
        <f>IF(テーブル7[[#This Row],[加入年]]="","",1539+テーブル7[[#This Row],[加入年]])</f>
        <v>1539</v>
      </c>
      <c r="L36">
        <v>0</v>
      </c>
      <c r="M36">
        <v>3.3</v>
      </c>
      <c r="P36" t="s">
        <v>249</v>
      </c>
    </row>
    <row r="37" spans="1:18">
      <c r="A37" t="s">
        <v>1088</v>
      </c>
      <c r="B37" s="8" t="str">
        <f>VLOOKUP(A37,キャラマスタ[],2,FALSE)</f>
        <v>ヨサク</v>
      </c>
      <c r="C37" s="3" t="s">
        <v>447</v>
      </c>
      <c r="D37" s="6" t="str">
        <f>VLOOKUP(テーブル7[[#This Row],[勢力ID]],勢力マスタ[],2,FALSE)</f>
        <v>賞金稼ぎ</v>
      </c>
      <c r="G37">
        <v>5</v>
      </c>
      <c r="H37">
        <v>42</v>
      </c>
      <c r="K37">
        <f>IF(テーブル7[[#This Row],[加入年]]="","",1539+テーブル7[[#This Row],[加入年]])</f>
        <v>1539</v>
      </c>
      <c r="L37">
        <v>0</v>
      </c>
      <c r="M37">
        <v>3.5</v>
      </c>
      <c r="P37" t="s">
        <v>249</v>
      </c>
    </row>
    <row r="38" spans="1:18">
      <c r="A38" t="s">
        <v>1089</v>
      </c>
      <c r="B38" s="8" t="str">
        <f>VLOOKUP(A38,キャラマスタ[],2,FALSE)</f>
        <v>ジョニー</v>
      </c>
      <c r="C38" s="3" t="s">
        <v>447</v>
      </c>
      <c r="D38" s="6" t="str">
        <f>VLOOKUP(テーブル7[[#This Row],[勢力ID]],勢力マスタ[],2,FALSE)</f>
        <v>賞金稼ぎ</v>
      </c>
      <c r="G38">
        <v>5</v>
      </c>
      <c r="H38">
        <v>42</v>
      </c>
      <c r="K38">
        <f>IF(テーブル7[[#This Row],[加入年]]="","",1539+テーブル7[[#This Row],[加入年]])</f>
        <v>1539</v>
      </c>
      <c r="L38">
        <v>0</v>
      </c>
      <c r="M38">
        <v>3.5</v>
      </c>
      <c r="P38" t="s">
        <v>249</v>
      </c>
    </row>
    <row r="39" spans="1:18">
      <c r="A39" t="s">
        <v>1087</v>
      </c>
      <c r="B39" s="8" t="str">
        <f>VLOOKUP(A39,キャラマスタ[],2,FALSE)</f>
        <v>フルボディ</v>
      </c>
      <c r="C39" s="3" t="s">
        <v>446</v>
      </c>
      <c r="D39" s="6" t="str">
        <f>VLOOKUP(テーブル7[[#This Row],[勢力ID]],勢力マスタ[],2,FALSE)</f>
        <v>海軍</v>
      </c>
      <c r="E39" t="s">
        <v>898</v>
      </c>
      <c r="F39" t="s">
        <v>1074</v>
      </c>
      <c r="G39">
        <v>5</v>
      </c>
      <c r="H39">
        <v>43</v>
      </c>
      <c r="K39">
        <f>IF(テーブル7[[#This Row],[加入年]]="","",1539+テーブル7[[#This Row],[加入年]])</f>
        <v>1539</v>
      </c>
      <c r="L39">
        <v>0</v>
      </c>
      <c r="M39">
        <v>5</v>
      </c>
      <c r="P39" t="s">
        <v>249</v>
      </c>
    </row>
    <row r="40" spans="1:18">
      <c r="A40" t="s">
        <v>1092</v>
      </c>
      <c r="B40" s="8" t="str">
        <f>VLOOKUP(A40,キャラマスタ[],2,FALSE)</f>
        <v>サンジ</v>
      </c>
      <c r="C40" s="3" t="s">
        <v>959</v>
      </c>
      <c r="D40" s="6" t="str">
        <f>VLOOKUP(テーブル7[[#This Row],[勢力ID]],勢力マスタ[],2,FALSE)</f>
        <v>海上レストランバラティエ</v>
      </c>
      <c r="E40" t="s">
        <v>1075</v>
      </c>
      <c r="G40">
        <v>5</v>
      </c>
      <c r="H40">
        <v>43</v>
      </c>
      <c r="K40">
        <f>IF(テーブル7[[#This Row],[加入年]]="","",1539+テーブル7[[#This Row],[加入年]])</f>
        <v>1530</v>
      </c>
      <c r="L40">
        <v>-9</v>
      </c>
      <c r="M40">
        <v>-3200</v>
      </c>
      <c r="N40">
        <v>0</v>
      </c>
      <c r="O40">
        <v>7.5</v>
      </c>
      <c r="P40" t="s">
        <v>249</v>
      </c>
    </row>
    <row r="41" spans="1:18">
      <c r="A41" t="s">
        <v>1086</v>
      </c>
      <c r="B41" s="8" t="str">
        <f>VLOOKUP(A41,キャラマスタ[],2,FALSE)</f>
        <v>ゼフ</v>
      </c>
      <c r="C41" s="3" t="s">
        <v>959</v>
      </c>
      <c r="D41" s="6" t="str">
        <f>VLOOKUP(テーブル7[[#This Row],[勢力ID]],勢力マスタ[],2,FALSE)</f>
        <v>海上レストランバラティエ</v>
      </c>
      <c r="E41" t="s">
        <v>909</v>
      </c>
      <c r="G41">
        <v>5</v>
      </c>
      <c r="H41">
        <v>43</v>
      </c>
      <c r="K41">
        <f>IF(テーブル7[[#This Row],[加入年]]="","",1539+テーブル7[[#This Row],[加入年]])</f>
        <v>1530</v>
      </c>
      <c r="L41">
        <v>-9</v>
      </c>
      <c r="M41">
        <v>-3200</v>
      </c>
      <c r="P41" t="s">
        <v>249</v>
      </c>
    </row>
    <row r="42" spans="1:18">
      <c r="A42" t="s">
        <v>1091</v>
      </c>
      <c r="B42" s="8" t="str">
        <f>VLOOKUP(A42,キャラマスタ[],2,FALSE)</f>
        <v>ギン</v>
      </c>
      <c r="C42" s="3" t="s">
        <v>960</v>
      </c>
      <c r="D42" s="6" t="str">
        <f>VLOOKUP(テーブル7[[#This Row],[勢力ID]],勢力マスタ[],2,FALSE)</f>
        <v>クリーク海賊団</v>
      </c>
      <c r="E42" t="s">
        <v>1302</v>
      </c>
      <c r="G42">
        <v>6</v>
      </c>
      <c r="H42">
        <v>45</v>
      </c>
      <c r="K42">
        <f>IF(テーブル7[[#This Row],[加入年]]="","",1539+テーブル7[[#This Row],[加入年]])</f>
        <v>1539</v>
      </c>
      <c r="L42">
        <v>0</v>
      </c>
      <c r="M42">
        <v>-5</v>
      </c>
      <c r="P42" t="s">
        <v>249</v>
      </c>
    </row>
    <row r="43" spans="1:18">
      <c r="A43" t="s">
        <v>288</v>
      </c>
      <c r="B43" s="8" t="str">
        <f>VLOOKUP(A43,キャラマスタ[],2,FALSE)</f>
        <v>モンキー・D・ルフィ</v>
      </c>
      <c r="C43" s="3" t="s">
        <v>959</v>
      </c>
      <c r="D43" s="6" t="str">
        <f>VLOOKUP(テーブル7[[#This Row],[勢力ID]],勢力マスタ[],2,FALSE)</f>
        <v>海上レストランバラティエ</v>
      </c>
      <c r="E43" t="s">
        <v>1170</v>
      </c>
      <c r="G43">
        <v>6</v>
      </c>
      <c r="H43">
        <v>45</v>
      </c>
      <c r="K43">
        <f>IF(テーブル7[[#This Row],[加入年]]="","",1539+テーブル7[[#This Row],[加入年]])</f>
        <v>1539</v>
      </c>
      <c r="L43">
        <v>0</v>
      </c>
      <c r="M43">
        <v>5</v>
      </c>
      <c r="N43">
        <v>0</v>
      </c>
      <c r="O43">
        <v>8</v>
      </c>
      <c r="P43" t="s">
        <v>249</v>
      </c>
    </row>
    <row r="44" spans="1:18">
      <c r="A44" t="s">
        <v>1099</v>
      </c>
      <c r="B44" s="8" t="str">
        <f>VLOOKUP(A44,キャラマスタ[],2,FALSE)</f>
        <v>クリーク</v>
      </c>
      <c r="C44" s="3" t="s">
        <v>960</v>
      </c>
      <c r="D44" s="6" t="str">
        <f>VLOOKUP(テーブル7[[#This Row],[勢力ID]],勢力マスタ[],2,FALSE)</f>
        <v>クリーク海賊団</v>
      </c>
      <c r="E44" t="s">
        <v>1171</v>
      </c>
      <c r="G44">
        <v>6</v>
      </c>
      <c r="H44">
        <v>46</v>
      </c>
      <c r="K44">
        <f>IF(テーブル7[[#This Row],[加入年]]="","",1539+テーブル7[[#This Row],[加入年]])</f>
        <v>1539</v>
      </c>
      <c r="L44">
        <v>0</v>
      </c>
      <c r="M44">
        <v>-5</v>
      </c>
      <c r="P44" t="s">
        <v>249</v>
      </c>
    </row>
    <row r="45" spans="1:18">
      <c r="A45" t="s">
        <v>1086</v>
      </c>
      <c r="B45" s="8" t="str">
        <f>VLOOKUP(A45,キャラマスタ[],2,FALSE)</f>
        <v>ゼフ</v>
      </c>
      <c r="C45" s="3" t="s">
        <v>1145</v>
      </c>
      <c r="D45" s="6" t="str">
        <f>VLOOKUP(テーブル7[[#This Row],[勢力ID]],勢力マスタ[],2,FALSE)</f>
        <v>クック海賊団</v>
      </c>
      <c r="E45" t="s">
        <v>1176</v>
      </c>
      <c r="G45">
        <v>6</v>
      </c>
      <c r="H45">
        <v>48</v>
      </c>
      <c r="K45">
        <f>IF(テーブル7[[#This Row],[加入年]]="","",1539+テーブル7[[#This Row],[加入年]])</f>
        <v>1529</v>
      </c>
      <c r="L45">
        <v>-10</v>
      </c>
      <c r="M45">
        <v>-3650</v>
      </c>
      <c r="P45" t="s">
        <v>249</v>
      </c>
    </row>
    <row r="46" spans="1:18">
      <c r="A46" t="s">
        <v>1100</v>
      </c>
      <c r="B46" s="8" t="str">
        <f>VLOOKUP(A46,キャラマスタ[],2,FALSE)</f>
        <v>ジュラキュール・ミホーク</v>
      </c>
      <c r="C46" t="s">
        <v>1144</v>
      </c>
      <c r="D46" s="6" t="str">
        <f>VLOOKUP(テーブル7[[#This Row],[勢力ID]],勢力マスタ[],2,FALSE)</f>
        <v>王下七武海</v>
      </c>
      <c r="G46">
        <v>6</v>
      </c>
      <c r="H46">
        <v>51</v>
      </c>
      <c r="K46">
        <f>IF(テーブル7[[#This Row],[加入年]]="","",1539+テーブル7[[#This Row],[加入年]])</f>
        <v>1539</v>
      </c>
      <c r="L46">
        <v>0</v>
      </c>
      <c r="M46">
        <v>7</v>
      </c>
      <c r="P46" t="s">
        <v>249</v>
      </c>
    </row>
    <row r="47" spans="1:18">
      <c r="A47" t="s">
        <v>1236</v>
      </c>
      <c r="B47" s="8" t="str">
        <f>VLOOKUP(A47,キャラマスタ[],2,FALSE)</f>
        <v>パール</v>
      </c>
      <c r="C47" s="3" t="s">
        <v>960</v>
      </c>
      <c r="D47" s="6" t="str">
        <f>VLOOKUP(テーブル7[[#This Row],[勢力ID]],勢力マスタ[],2,FALSE)</f>
        <v>クリーク海賊団</v>
      </c>
      <c r="E47" t="s">
        <v>1421</v>
      </c>
      <c r="G47">
        <v>7</v>
      </c>
      <c r="H47">
        <v>54</v>
      </c>
      <c r="K47">
        <f>IF(テーブル7[[#This Row],[加入年]]="","",1539+テーブル7[[#This Row],[加入年]])</f>
        <v>1539</v>
      </c>
      <c r="L47">
        <v>0</v>
      </c>
      <c r="M47">
        <v>7.2</v>
      </c>
      <c r="P47" t="s">
        <v>249</v>
      </c>
    </row>
    <row r="48" spans="1:18">
      <c r="A48" t="s">
        <v>1090</v>
      </c>
      <c r="B48" s="8" t="str">
        <f>VLOOKUP(A48,キャラマスタ[],2,FALSE)</f>
        <v>サンジ</v>
      </c>
      <c r="C48" s="3" t="s">
        <v>1291</v>
      </c>
      <c r="D48" s="6" t="str">
        <f>VLOOKUP(テーブル7[[#This Row],[勢力ID]],勢力マスタ[],2,FALSE)</f>
        <v>客船</v>
      </c>
      <c r="E48" t="s">
        <v>1298</v>
      </c>
      <c r="G48">
        <v>7</v>
      </c>
      <c r="H48">
        <v>56</v>
      </c>
      <c r="K48">
        <f>IF(テーブル7[[#This Row],[加入年]]="","",1539+テーブル7[[#This Row],[加入年]])</f>
        <v>1530</v>
      </c>
      <c r="L48">
        <v>-9</v>
      </c>
      <c r="M48">
        <v>-3285</v>
      </c>
      <c r="N48">
        <v>-9</v>
      </c>
      <c r="O48">
        <v>-3200</v>
      </c>
      <c r="P48" t="s">
        <v>249</v>
      </c>
    </row>
    <row r="49" spans="1:16">
      <c r="A49" t="s">
        <v>288</v>
      </c>
      <c r="B49" s="8" t="str">
        <f>VLOOKUP(A49,キャラマスタ[],2,FALSE)</f>
        <v>モンキー・D・ルフィ</v>
      </c>
      <c r="C49" s="3" t="s">
        <v>507</v>
      </c>
      <c r="D49" s="6" t="str">
        <f>VLOOKUP(テーブル7[[#This Row],[勢力ID]],勢力マスタ[],2,FALSE)</f>
        <v>麦わらの一味</v>
      </c>
      <c r="E49" t="s">
        <v>1414</v>
      </c>
      <c r="G49">
        <v>8</v>
      </c>
      <c r="H49">
        <v>67</v>
      </c>
      <c r="K49">
        <f>IF(テーブル7[[#This Row],[加入年]]="","",1539+テーブル7[[#This Row],[加入年]])</f>
        <v>1539</v>
      </c>
      <c r="L49">
        <v>0</v>
      </c>
      <c r="M49">
        <v>8</v>
      </c>
      <c r="P49" t="s">
        <v>249</v>
      </c>
    </row>
    <row r="50" spans="1:16">
      <c r="A50" t="s">
        <v>1090</v>
      </c>
      <c r="B50" s="8" t="str">
        <f>VLOOKUP(A50,キャラマスタ[],2,FALSE)</f>
        <v>サンジ</v>
      </c>
      <c r="C50" s="3" t="s">
        <v>507</v>
      </c>
      <c r="D50" s="6" t="str">
        <f>VLOOKUP(テーブル7[[#This Row],[勢力ID]],勢力マスタ[],2,FALSE)</f>
        <v>麦わらの一味</v>
      </c>
      <c r="E50" t="s">
        <v>1417</v>
      </c>
      <c r="G50">
        <v>8</v>
      </c>
      <c r="H50">
        <v>68</v>
      </c>
      <c r="K50">
        <f>IF(テーブル7[[#This Row],[加入年]]="","",1539+テーブル7[[#This Row],[加入年]])</f>
        <v>1539</v>
      </c>
      <c r="L50">
        <v>0</v>
      </c>
      <c r="M50">
        <v>8.1</v>
      </c>
      <c r="P50" t="s">
        <v>249</v>
      </c>
    </row>
    <row r="51" spans="1:16">
      <c r="A51" t="s">
        <v>1418</v>
      </c>
      <c r="B51" s="8" t="str">
        <f>VLOOKUP(A51,キャラマスタ[],2,FALSE)</f>
        <v>ネズミ</v>
      </c>
      <c r="C51" s="3" t="s">
        <v>446</v>
      </c>
      <c r="D51" s="6" t="str">
        <f>VLOOKUP(テーブル7[[#This Row],[勢力ID]],勢力マスタ[],2,FALSE)</f>
        <v>海軍</v>
      </c>
      <c r="E51" t="s">
        <v>1419</v>
      </c>
      <c r="F51" t="s">
        <v>1420</v>
      </c>
      <c r="G51">
        <v>8</v>
      </c>
      <c r="H51">
        <v>69</v>
      </c>
      <c r="K51">
        <f>IF(テーブル7[[#This Row],[加入年]]="","",1539+テーブル7[[#This Row],[加入年]])</f>
        <v>1539</v>
      </c>
      <c r="L51">
        <v>0</v>
      </c>
      <c r="M51">
        <v>8.1</v>
      </c>
      <c r="P51" t="s">
        <v>249</v>
      </c>
    </row>
    <row r="52" spans="1:16">
      <c r="A52" t="s">
        <v>1422</v>
      </c>
      <c r="B52" s="8" t="str">
        <f>VLOOKUP(A52,キャラマスタ[],2,FALSE)</f>
        <v>アーロン</v>
      </c>
      <c r="C52" t="s">
        <v>1292</v>
      </c>
      <c r="D52" s="6" t="str">
        <f>VLOOKUP(テーブル7[[#This Row],[勢力ID]],勢力マスタ[],2,FALSE)</f>
        <v>アーロン一味</v>
      </c>
      <c r="E52" t="s">
        <v>1414</v>
      </c>
      <c r="G52">
        <v>8</v>
      </c>
      <c r="H52">
        <v>69</v>
      </c>
      <c r="K52">
        <f>IF(テーブル7[[#This Row],[加入年]]="","",1539+テーブル7[[#This Row],[加入年]])</f>
        <v>1531</v>
      </c>
      <c r="L52">
        <v>-8</v>
      </c>
      <c r="M52">
        <v>-2920</v>
      </c>
      <c r="P52" t="s">
        <v>249</v>
      </c>
    </row>
    <row r="53" spans="1:16">
      <c r="A53" t="s">
        <v>1424</v>
      </c>
      <c r="B53" s="8" t="str">
        <f>VLOOKUP(A53,キャラマスタ[],2,FALSE)</f>
        <v>はっちゃん</v>
      </c>
      <c r="C53" t="s">
        <v>1292</v>
      </c>
      <c r="D53" s="6" t="str">
        <f>VLOOKUP(テーブル7[[#This Row],[勢力ID]],勢力マスタ[],2,FALSE)</f>
        <v>アーロン一味</v>
      </c>
      <c r="E53" t="s">
        <v>1425</v>
      </c>
      <c r="G53">
        <v>8</v>
      </c>
      <c r="H53">
        <v>69</v>
      </c>
      <c r="K53">
        <f>IF(テーブル7[[#This Row],[加入年]]="","",1539+テーブル7[[#This Row],[加入年]])</f>
        <v>1531</v>
      </c>
      <c r="L53">
        <v>-8</v>
      </c>
      <c r="M53">
        <v>-2920</v>
      </c>
      <c r="P53" t="s">
        <v>249</v>
      </c>
    </row>
    <row r="54" spans="1:16">
      <c r="A54" t="s">
        <v>321</v>
      </c>
      <c r="B54" s="8" t="str">
        <f>VLOOKUP(A54,キャラマスタ[],2,FALSE)</f>
        <v>ナミ</v>
      </c>
      <c r="C54" t="s">
        <v>1292</v>
      </c>
      <c r="D54" s="6" t="str">
        <f>VLOOKUP(テーブル7[[#This Row],[勢力ID]],勢力マスタ[],2,FALSE)</f>
        <v>アーロン一味</v>
      </c>
      <c r="E54" t="s">
        <v>1425</v>
      </c>
      <c r="G54">
        <v>8</v>
      </c>
      <c r="H54">
        <v>69</v>
      </c>
      <c r="K54">
        <f>IF(テーブル7[[#This Row],[加入年]]="","",1539+テーブル7[[#This Row],[加入年]])</f>
        <v>1531</v>
      </c>
      <c r="L54">
        <v>-8</v>
      </c>
      <c r="M54">
        <v>-2919</v>
      </c>
      <c r="P54" t="s">
        <v>249</v>
      </c>
    </row>
    <row r="55" spans="1:16">
      <c r="A55" t="s">
        <v>1453</v>
      </c>
      <c r="B55" s="8" t="str">
        <f>VLOOKUP(A55,キャラマスタ[],2,FALSE)</f>
        <v>モーム</v>
      </c>
      <c r="C55" t="s">
        <v>1292</v>
      </c>
      <c r="D55" s="6" t="str">
        <f>VLOOKUP(テーブル7[[#This Row],[勢力ID]],勢力マスタ[],2,FALSE)</f>
        <v>アーロン一味</v>
      </c>
      <c r="E55" t="s">
        <v>1519</v>
      </c>
      <c r="G55">
        <v>9</v>
      </c>
      <c r="H55">
        <v>73</v>
      </c>
      <c r="K55">
        <f>IF(テーブル7[[#This Row],[加入年]]="","",1539+テーブル7[[#This Row],[加入年]])</f>
        <v>1531</v>
      </c>
      <c r="L55">
        <v>-8</v>
      </c>
      <c r="M55">
        <v>-2920</v>
      </c>
      <c r="P55" t="s">
        <v>249</v>
      </c>
    </row>
    <row r="56" spans="1:16">
      <c r="A56" t="s">
        <v>321</v>
      </c>
      <c r="B56" s="8" t="str">
        <f>VLOOKUP(A56,キャラマスタ[],2,FALSE)</f>
        <v>ナミ</v>
      </c>
      <c r="C56" s="3" t="s">
        <v>448</v>
      </c>
      <c r="D56" s="6" t="str">
        <f>VLOOKUP(テーブル7[[#This Row],[勢力ID]],勢力マスタ[],2,FALSE)</f>
        <v>無所属</v>
      </c>
      <c r="G56">
        <v>9</v>
      </c>
      <c r="H56">
        <v>77</v>
      </c>
      <c r="K56">
        <f>IF(テーブル7[[#This Row],[加入年]]="","",1539+テーブル7[[#This Row],[加入年]])</f>
        <v>1531</v>
      </c>
      <c r="L56">
        <v>-8</v>
      </c>
      <c r="M56">
        <v>-2920</v>
      </c>
      <c r="P56" t="s">
        <v>249</v>
      </c>
    </row>
    <row r="57" spans="1:16">
      <c r="A57" t="s">
        <v>321</v>
      </c>
      <c r="B57" s="8" t="str">
        <f>VLOOKUP(A57,キャラマスタ[],2,FALSE)</f>
        <v>ナミ</v>
      </c>
      <c r="C57" t="s">
        <v>1292</v>
      </c>
      <c r="D57" s="6" t="str">
        <f>VLOOKUP(テーブル7[[#This Row],[勢力ID]],勢力マスタ[],2,FALSE)</f>
        <v>アーロン一味</v>
      </c>
      <c r="E57" t="s">
        <v>1340</v>
      </c>
      <c r="G57">
        <v>8</v>
      </c>
      <c r="H57">
        <v>69</v>
      </c>
      <c r="I57">
        <v>11</v>
      </c>
      <c r="J57">
        <v>94</v>
      </c>
      <c r="K57">
        <f>IF(テーブル7[[#This Row],[加入年]]="","",1539+テーブル7[[#This Row],[加入年]])</f>
        <v>1539</v>
      </c>
      <c r="L57">
        <v>0</v>
      </c>
      <c r="M57">
        <v>8.1</v>
      </c>
      <c r="N57">
        <v>0</v>
      </c>
      <c r="O57">
        <v>8.6999999999999993</v>
      </c>
      <c r="P57" t="s">
        <v>250</v>
      </c>
    </row>
    <row r="58" spans="1:16">
      <c r="A58" t="s">
        <v>321</v>
      </c>
      <c r="B58" s="8" t="str">
        <f>VLOOKUP(A58,キャラマスタ[],2,FALSE)</f>
        <v>ナミ</v>
      </c>
      <c r="C58" s="22" t="s">
        <v>507</v>
      </c>
      <c r="D58" s="6" t="str">
        <f>VLOOKUP(テーブル7[[#This Row],[勢力ID]],勢力マスタ[],2,FALSE)</f>
        <v>麦わらの一味</v>
      </c>
      <c r="E58" t="s">
        <v>1833</v>
      </c>
      <c r="G58">
        <v>11</v>
      </c>
      <c r="H58">
        <v>94</v>
      </c>
      <c r="K58">
        <f>IF(テーブル7[[#This Row],[加入年]]="","",1539+テーブル7[[#This Row],[加入年]])</f>
        <v>1539</v>
      </c>
      <c r="L58">
        <v>0</v>
      </c>
      <c r="M58">
        <v>8.6999999999999993</v>
      </c>
      <c r="P58" t="s">
        <v>249</v>
      </c>
    </row>
    <row r="59" spans="1:16">
      <c r="A59" t="s">
        <v>1797</v>
      </c>
      <c r="B59" s="8" t="str">
        <f>VLOOKUP(A59,キャラマスタ[],2,FALSE)</f>
        <v>ブランニュー</v>
      </c>
      <c r="C59" s="3" t="s">
        <v>446</v>
      </c>
      <c r="D59" s="6" t="str">
        <f>VLOOKUP(テーブル7[[#This Row],[勢力ID]],勢力マスタ[],2,FALSE)</f>
        <v>海軍</v>
      </c>
      <c r="E59" t="s">
        <v>898</v>
      </c>
      <c r="F59" t="s">
        <v>1834</v>
      </c>
      <c r="G59">
        <v>11</v>
      </c>
      <c r="H59">
        <v>96</v>
      </c>
      <c r="K59">
        <f>IF(テーブル7[[#This Row],[加入年]]="","",1539+テーブル7[[#This Row],[加入年]])</f>
        <v>1539</v>
      </c>
      <c r="L59">
        <v>0</v>
      </c>
      <c r="M59">
        <v>11</v>
      </c>
      <c r="P59" t="s">
        <v>249</v>
      </c>
    </row>
    <row r="60" spans="1:16">
      <c r="A60" t="s">
        <v>292</v>
      </c>
      <c r="B60" s="8" t="str">
        <f>VLOOKUP(A60,キャラマスタ[],2,FALSE)</f>
        <v>シャンクス</v>
      </c>
      <c r="C60" s="3" t="s">
        <v>441</v>
      </c>
      <c r="D60" s="6" t="str">
        <f>VLOOKUP(テーブル7[[#This Row],[勢力ID]],勢力マスタ[],2,FALSE)</f>
        <v>赤髪海賊団</v>
      </c>
      <c r="E60" t="s">
        <v>1850</v>
      </c>
      <c r="F60" t="s">
        <v>372</v>
      </c>
      <c r="G60">
        <v>11</v>
      </c>
      <c r="H60">
        <v>96</v>
      </c>
      <c r="K60">
        <f>IF(テーブル7[[#This Row],[加入年]]="","",1539+テーブル7[[#This Row],[加入年]])</f>
        <v>1539</v>
      </c>
      <c r="L60">
        <v>0</v>
      </c>
      <c r="M60">
        <v>11</v>
      </c>
      <c r="P60" t="s">
        <v>249</v>
      </c>
    </row>
    <row r="61" spans="1:16">
      <c r="A61" t="s">
        <v>1806</v>
      </c>
      <c r="B61" s="8" t="str">
        <f>VLOOKUP(A61,キャラマスタ[],2,FALSE)</f>
        <v>スモーカー</v>
      </c>
      <c r="C61" s="3" t="s">
        <v>446</v>
      </c>
      <c r="D61" s="6" t="str">
        <f>VLOOKUP(テーブル7[[#This Row],[勢力ID]],勢力マスタ[],2,FALSE)</f>
        <v>海軍</v>
      </c>
      <c r="E61" t="s">
        <v>898</v>
      </c>
      <c r="F61" t="s">
        <v>83</v>
      </c>
      <c r="G61">
        <v>11</v>
      </c>
      <c r="H61">
        <v>98</v>
      </c>
      <c r="K61">
        <f>IF(テーブル7[[#This Row],[加入年]]="","",1539+テーブル7[[#This Row],[加入年]])</f>
        <v>1539</v>
      </c>
      <c r="L61">
        <v>0</v>
      </c>
      <c r="M61">
        <v>11.2</v>
      </c>
      <c r="P61" t="s">
        <v>249</v>
      </c>
    </row>
    <row r="62" spans="1:16">
      <c r="A62" t="s">
        <v>1869</v>
      </c>
      <c r="B62" s="8" t="str">
        <f>VLOOKUP(A62,キャラマスタ[],2,FALSE)</f>
        <v>たしぎ</v>
      </c>
      <c r="C62" s="3" t="s">
        <v>446</v>
      </c>
      <c r="D62" s="6" t="str">
        <f>VLOOKUP(テーブル7[[#This Row],[勢力ID]],勢力マスタ[],2,FALSE)</f>
        <v>海軍</v>
      </c>
      <c r="E62" t="s">
        <v>898</v>
      </c>
      <c r="F62" t="s">
        <v>1870</v>
      </c>
      <c r="G62">
        <v>11</v>
      </c>
      <c r="H62">
        <v>98</v>
      </c>
      <c r="K62">
        <f>IF(テーブル7[[#This Row],[加入年]]="","",1539+テーブル7[[#This Row],[加入年]])</f>
        <v>1539</v>
      </c>
      <c r="L62">
        <v>0</v>
      </c>
      <c r="M62">
        <v>11.2</v>
      </c>
      <c r="P62" t="s">
        <v>249</v>
      </c>
    </row>
    <row r="63" spans="1:16">
      <c r="A63" t="s">
        <v>1891</v>
      </c>
      <c r="B63" s="8" t="str">
        <f>VLOOKUP(A63,キャラマスタ[],2,FALSE)</f>
        <v>モンキー・D・ガープ</v>
      </c>
      <c r="C63" s="3" t="s">
        <v>446</v>
      </c>
      <c r="D63" s="6" t="str">
        <f>VLOOKUP(テーブル7[[#This Row],[勢力ID]],勢力マスタ[],2,FALSE)</f>
        <v>海軍</v>
      </c>
      <c r="E63" t="s">
        <v>898</v>
      </c>
      <c r="F63" t="s">
        <v>1902</v>
      </c>
      <c r="G63">
        <v>11</v>
      </c>
      <c r="H63">
        <v>92</v>
      </c>
      <c r="K63">
        <f>IF(テーブル7[[#This Row],[加入年]]="","",1539+テーブル7[[#This Row],[加入年]])</f>
        <v>1539</v>
      </c>
      <c r="L63">
        <v>0</v>
      </c>
      <c r="M63">
        <v>3</v>
      </c>
      <c r="P63" t="s">
        <v>249</v>
      </c>
    </row>
    <row r="64" spans="1:16">
      <c r="A64" s="29" t="s">
        <v>1909</v>
      </c>
      <c r="B64" s="8" t="str">
        <f>VLOOKUP(A64,キャラマスタ[],2,FALSE)</f>
        <v>クロッカス</v>
      </c>
      <c r="C64" s="29" t="s">
        <v>448</v>
      </c>
      <c r="D64" s="6" t="str">
        <f>VLOOKUP(テーブル7[[#This Row],[勢力ID]],勢力マスタ[],2,FALSE)</f>
        <v>無所属</v>
      </c>
      <c r="E64" t="s">
        <v>2050</v>
      </c>
      <c r="F64" t="s">
        <v>2051</v>
      </c>
      <c r="G64">
        <v>12</v>
      </c>
      <c r="H64">
        <v>103</v>
      </c>
      <c r="K64" s="29">
        <f>IF(テーブル7[[#This Row],[加入年]]="","",1539+テーブル7[[#This Row],[加入年]])</f>
        <v>1489</v>
      </c>
      <c r="L64">
        <v>-50</v>
      </c>
      <c r="M64" s="33">
        <v>-18250</v>
      </c>
      <c r="P64" s="29" t="s">
        <v>249</v>
      </c>
    </row>
    <row r="65" spans="1:16">
      <c r="A65" s="29" t="s">
        <v>1907</v>
      </c>
      <c r="B65" s="8" t="str">
        <f>VLOOKUP(A65,キャラマスタ[],2,FALSE)</f>
        <v>モンキー・D・ドラゴン</v>
      </c>
      <c r="C65" s="29" t="s">
        <v>1293</v>
      </c>
      <c r="D65" s="6" t="str">
        <f>VLOOKUP(テーブル7[[#This Row],[勢力ID]],勢力マスタ[],2,FALSE)</f>
        <v>革命軍</v>
      </c>
      <c r="E65" s="29" t="s">
        <v>1924</v>
      </c>
      <c r="G65">
        <v>12</v>
      </c>
      <c r="H65">
        <v>100</v>
      </c>
      <c r="K65" s="29">
        <f>IF(テーブル7[[#This Row],[加入年]]="","",1539+テーブル7[[#This Row],[加入年]])</f>
        <v>1539</v>
      </c>
      <c r="L65">
        <v>0</v>
      </c>
      <c r="M65">
        <v>11.2</v>
      </c>
      <c r="P65" s="29" t="s">
        <v>249</v>
      </c>
    </row>
    <row r="66" spans="1:16">
      <c r="A66" s="29" t="s">
        <v>1910</v>
      </c>
      <c r="B66" s="8" t="str">
        <f>VLOOKUP(A66,キャラマスタ[],2,FALSE)</f>
        <v>ミス・ウェンズデー</v>
      </c>
      <c r="C66" s="29" t="s">
        <v>2156</v>
      </c>
      <c r="D66" s="6" t="str">
        <f>VLOOKUP(テーブル7[[#This Row],[勢力ID]],勢力マスタ[],2,FALSE)</f>
        <v>バロック・ワークス</v>
      </c>
      <c r="E66" t="s">
        <v>2069</v>
      </c>
      <c r="G66" s="29">
        <v>12</v>
      </c>
      <c r="H66">
        <v>107</v>
      </c>
      <c r="K66" s="29">
        <f>IF(テーブル7[[#This Row],[加入年]]="","",1539+テーブル7[[#This Row],[加入年]])</f>
        <v>1539</v>
      </c>
      <c r="L66">
        <v>0</v>
      </c>
      <c r="M66">
        <v>11.5</v>
      </c>
      <c r="P66" s="29" t="s">
        <v>249</v>
      </c>
    </row>
    <row r="67" spans="1:16">
      <c r="A67" s="29" t="s">
        <v>1918</v>
      </c>
      <c r="B67" s="8" t="str">
        <f>VLOOKUP(A67,キャラマスタ[],2,FALSE)</f>
        <v>Mr.8</v>
      </c>
      <c r="C67" s="29" t="s">
        <v>2156</v>
      </c>
      <c r="D67" s="6" t="str">
        <f>VLOOKUP(テーブル7[[#This Row],[勢力ID]],勢力マスタ[],2,FALSE)</f>
        <v>バロック・ワークス</v>
      </c>
      <c r="E67" s="29" t="s">
        <v>2069</v>
      </c>
      <c r="G67" s="29">
        <v>12</v>
      </c>
      <c r="H67" s="29">
        <v>107</v>
      </c>
      <c r="K67" s="29">
        <f>IF(テーブル7[[#This Row],[加入年]]="","",1539+テーブル7[[#This Row],[加入年]])</f>
        <v>1539</v>
      </c>
      <c r="L67" s="29">
        <v>0</v>
      </c>
      <c r="M67" s="29">
        <v>11.5</v>
      </c>
      <c r="P67" s="29" t="s">
        <v>249</v>
      </c>
    </row>
    <row r="68" spans="1:16">
      <c r="A68" s="29" t="s">
        <v>2072</v>
      </c>
      <c r="B68" s="8" t="str">
        <f>VLOOKUP(A68,キャラマスタ[],2,FALSE)</f>
        <v>Mr.5</v>
      </c>
      <c r="C68" s="29" t="s">
        <v>2156</v>
      </c>
      <c r="D68" s="6" t="str">
        <f>VLOOKUP(テーブル7[[#This Row],[勢力ID]],勢力マスタ[],2,FALSE)</f>
        <v>バロック・ワークス</v>
      </c>
      <c r="E68" t="s">
        <v>2187</v>
      </c>
      <c r="G68">
        <v>13</v>
      </c>
      <c r="H68">
        <v>110</v>
      </c>
      <c r="K68" s="29">
        <f>IF(テーブル7[[#This Row],[加入年]]="","",1539+テーブル7[[#This Row],[加入年]])</f>
        <v>1539</v>
      </c>
      <c r="L68" s="29">
        <v>0</v>
      </c>
      <c r="M68">
        <v>11.8</v>
      </c>
      <c r="P68" s="29" t="s">
        <v>249</v>
      </c>
    </row>
    <row r="69" spans="1:16">
      <c r="A69" s="29" t="s">
        <v>2073</v>
      </c>
      <c r="B69" s="8" t="str">
        <f>VLOOKUP(A69,キャラマスタ[],2,FALSE)</f>
        <v>ミス・バレンタイン</v>
      </c>
      <c r="C69" s="29" t="s">
        <v>2156</v>
      </c>
      <c r="D69" s="6" t="str">
        <f>VLOOKUP(テーブル7[[#This Row],[勢力ID]],勢力マスタ[],2,FALSE)</f>
        <v>バロック・ワークス</v>
      </c>
      <c r="E69" s="29" t="s">
        <v>2187</v>
      </c>
      <c r="G69" s="29">
        <v>13</v>
      </c>
      <c r="H69" s="29">
        <v>110</v>
      </c>
      <c r="K69" s="29">
        <f>IF(テーブル7[[#This Row],[加入年]]="","",1539+テーブル7[[#This Row],[加入年]])</f>
        <v>1539</v>
      </c>
      <c r="L69" s="29">
        <v>0</v>
      </c>
      <c r="M69" s="29">
        <v>11.8</v>
      </c>
      <c r="P69" s="29" t="s">
        <v>249</v>
      </c>
    </row>
    <row r="70" spans="1:16">
      <c r="A70" s="29" t="s">
        <v>2075</v>
      </c>
      <c r="B70" s="8" t="str">
        <f>VLOOKUP(A70,キャラマスタ[],2,FALSE)</f>
        <v>ミス・オールサンデー</v>
      </c>
      <c r="C70" s="29" t="s">
        <v>2156</v>
      </c>
      <c r="D70" s="6" t="str">
        <f>VLOOKUP(テーブル7[[#This Row],[勢力ID]],勢力マスタ[],2,FALSE)</f>
        <v>バロック・ワークス</v>
      </c>
      <c r="E70" t="s">
        <v>2188</v>
      </c>
      <c r="F70" t="s">
        <v>2189</v>
      </c>
      <c r="G70">
        <v>13</v>
      </c>
      <c r="H70">
        <v>114</v>
      </c>
      <c r="K70" s="29">
        <f>IF(テーブル7[[#This Row],[加入年]]="","",1539+テーブル7[[#This Row],[加入年]])</f>
        <v>1539</v>
      </c>
      <c r="L70" s="29">
        <v>0</v>
      </c>
      <c r="M70" s="29">
        <v>11.8</v>
      </c>
      <c r="P70" s="29" t="s">
        <v>249</v>
      </c>
    </row>
    <row r="71" spans="1:16">
      <c r="A71" s="29" t="s">
        <v>2081</v>
      </c>
      <c r="B71" s="8" t="str">
        <f>VLOOKUP(A71,キャラマスタ[],2,FALSE)</f>
        <v>Mr.3</v>
      </c>
      <c r="C71" s="29" t="s">
        <v>2156</v>
      </c>
      <c r="D71" s="6" t="str">
        <f>VLOOKUP(テーブル7[[#This Row],[勢力ID]],勢力マスタ[],2,FALSE)</f>
        <v>バロック・ワークス</v>
      </c>
      <c r="E71" s="29" t="s">
        <v>2187</v>
      </c>
      <c r="G71">
        <v>13</v>
      </c>
      <c r="H71">
        <v>117</v>
      </c>
      <c r="K71" s="29">
        <f>IF(テーブル7[[#This Row],[加入年]]="","",1539+テーブル7[[#This Row],[加入年]])</f>
        <v>1539</v>
      </c>
      <c r="L71" s="29">
        <v>0</v>
      </c>
      <c r="M71">
        <v>12</v>
      </c>
      <c r="P71" s="29" t="s">
        <v>249</v>
      </c>
    </row>
    <row r="72" spans="1:16">
      <c r="A72" s="29" t="s">
        <v>2133</v>
      </c>
      <c r="B72" s="8" t="str">
        <f>VLOOKUP(A72,キャラマスタ[],2,FALSE)</f>
        <v>ミス・ゴールデンウィーク</v>
      </c>
      <c r="C72" s="29" t="s">
        <v>2156</v>
      </c>
      <c r="D72" s="6" t="str">
        <f>VLOOKUP(テーブル7[[#This Row],[勢力ID]],勢力マスタ[],2,FALSE)</f>
        <v>バロック・ワークス</v>
      </c>
      <c r="E72" s="29" t="s">
        <v>2187</v>
      </c>
      <c r="G72">
        <v>13</v>
      </c>
      <c r="H72" s="29">
        <v>117</v>
      </c>
      <c r="K72" s="29">
        <f>IF(テーブル7[[#This Row],[加入年]]="","",1539+テーブル7[[#This Row],[加入年]])</f>
        <v>1539</v>
      </c>
      <c r="L72" s="29">
        <v>0</v>
      </c>
      <c r="M72">
        <v>12</v>
      </c>
      <c r="P72" s="29" t="s">
        <v>249</v>
      </c>
    </row>
    <row r="73" spans="1:16">
      <c r="A73" s="29"/>
      <c r="B73" s="8" t="e">
        <f>VLOOKUP(A73,キャラマスタ[],2,FALSE)</f>
        <v>#N/A</v>
      </c>
      <c r="C73" s="22"/>
      <c r="D73" s="6" t="e">
        <f>VLOOKUP(テーブル7[[#This Row],[勢力ID]],勢力マスタ[],2,FALSE)</f>
        <v>#N/A</v>
      </c>
      <c r="K73" s="32" t="str">
        <f>IF(テーブル7[[#This Row],[加入年]]="","",1539+テーブル7[[#This Row],[加入年]])</f>
        <v/>
      </c>
    </row>
    <row r="74" spans="1:16">
      <c r="A74" s="29"/>
      <c r="B74" s="8" t="e">
        <f>VLOOKUP(A74,キャラマスタ[],2,FALSE)</f>
        <v>#N/A</v>
      </c>
      <c r="C74" s="22"/>
      <c r="D74" s="6" t="e">
        <f>VLOOKUP(テーブル7[[#This Row],[勢力ID]],勢力マスタ[],2,FALSE)</f>
        <v>#N/A</v>
      </c>
      <c r="K74" s="32" t="str">
        <f>IF(テーブル7[[#This Row],[加入年]]="","",1539+テーブル7[[#This Row],[加入年]])</f>
        <v/>
      </c>
    </row>
    <row r="75" spans="1:16">
      <c r="A75" s="29"/>
      <c r="B75" s="8" t="e">
        <f>VLOOKUP(A75,キャラマスタ[],2,FALSE)</f>
        <v>#N/A</v>
      </c>
      <c r="C75" s="22"/>
      <c r="D75" s="6" t="e">
        <f>VLOOKUP(テーブル7[[#This Row],[勢力ID]],勢力マスタ[],2,FALSE)</f>
        <v>#N/A</v>
      </c>
      <c r="K75" s="32" t="str">
        <f>IF(テーブル7[[#This Row],[加入年]]="","",1539+テーブル7[[#This Row],[加入年]])</f>
        <v/>
      </c>
    </row>
    <row r="76" spans="1:16">
      <c r="A76" s="29"/>
      <c r="B76" s="8" t="e">
        <f>VLOOKUP(A76,キャラマスタ[],2,FALSE)</f>
        <v>#N/A</v>
      </c>
      <c r="C76" s="22"/>
      <c r="D76" s="6" t="e">
        <f>VLOOKUP(テーブル7[[#This Row],[勢力ID]],勢力マスタ[],2,FALSE)</f>
        <v>#N/A</v>
      </c>
      <c r="K76" s="32" t="str">
        <f>IF(テーブル7[[#This Row],[加入年]]="","",1539+テーブル7[[#This Row],[加入年]])</f>
        <v/>
      </c>
    </row>
    <row r="77" spans="1:16">
      <c r="A77" s="29"/>
      <c r="B77" s="8" t="e">
        <f>VLOOKUP(A77,キャラマスタ[],2,FALSE)</f>
        <v>#N/A</v>
      </c>
      <c r="C77" s="22"/>
      <c r="D77" s="6" t="e">
        <f>VLOOKUP(テーブル7[[#This Row],[勢力ID]],勢力マスタ[],2,FALSE)</f>
        <v>#N/A</v>
      </c>
      <c r="K77" s="32" t="str">
        <f>IF(テーブル7[[#This Row],[加入年]]="","",1539+テーブル7[[#This Row],[加入年]])</f>
        <v/>
      </c>
    </row>
  </sheetData>
  <phoneticPr fontId="1"/>
  <dataValidations count="1">
    <dataValidation type="list" allowBlank="1" showInputMessage="1" showErrorMessage="1" sqref="A2:A36 A43 A49 A60" xr:uid="{C7A2820D-3359-4A72-B0B2-C8B3E1FEA324}">
      <formula1>$A$2:$A$1025</formula1>
    </dataValidation>
  </dataValidations>
  <pageMargins left="0.7" right="0.7" top="0.75" bottom="0.75" header="0.3" footer="0.3"/>
  <pageSetup paperSize="9" orientation="portrait" verticalDpi="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15E539D-96D5-4C6D-93E0-A0CC00E09F97}">
          <x14:formula1>
            <xm:f>勢力マスタ!$A:$A</xm:f>
          </x14:formula1>
          <xm:sqref>C2:C45 C47:C51 C56 C59:C63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9EA9-226A-EC4F-A343-80EFA0B80826}">
  <sheetPr>
    <tabColor theme="4" tint="0.59999389629810485"/>
  </sheetPr>
  <dimension ref="A1:I9"/>
  <sheetViews>
    <sheetView workbookViewId="0"/>
  </sheetViews>
  <sheetFormatPr defaultColWidth="11" defaultRowHeight="18.75"/>
  <cols>
    <col min="2" max="2" width="13" style="6" bestFit="1" customWidth="1"/>
    <col min="3" max="3" width="10.875" style="6"/>
    <col min="5" max="5" width="20.625" style="6" bestFit="1" customWidth="1"/>
    <col min="6" max="6" width="10.25" customWidth="1"/>
    <col min="7" max="8" width="8.375" customWidth="1"/>
    <col min="9" max="9" width="14" customWidth="1"/>
  </cols>
  <sheetData>
    <row r="1" spans="1:9">
      <c r="A1" t="s">
        <v>469</v>
      </c>
      <c r="B1" s="6" t="s">
        <v>171</v>
      </c>
      <c r="C1" s="6" t="s">
        <v>169</v>
      </c>
      <c r="D1" t="s">
        <v>394</v>
      </c>
      <c r="E1" s="6" t="s">
        <v>170</v>
      </c>
      <c r="F1" t="s">
        <v>225</v>
      </c>
      <c r="G1" t="s">
        <v>470</v>
      </c>
      <c r="H1" t="s">
        <v>471</v>
      </c>
      <c r="I1" t="s">
        <v>472</v>
      </c>
    </row>
    <row r="2" spans="1:9">
      <c r="A2" t="s">
        <v>399</v>
      </c>
      <c r="B2" s="6" t="str">
        <f>VLOOKUP(A2,悪魔の実マスタ[],2,FALSE)</f>
        <v>ゴムゴムの実</v>
      </c>
      <c r="C2" s="6" t="str">
        <f>VLOOKUP(A2,悪魔の実マスタ[],3,FALSE)</f>
        <v>超人系</v>
      </c>
      <c r="D2" t="s">
        <v>288</v>
      </c>
      <c r="E2" s="6" t="str">
        <f>VLOOKUP(D2,キャラマスタ[],2,FALSE)</f>
        <v>モンキー・D・ルフィ</v>
      </c>
      <c r="F2">
        <v>1</v>
      </c>
      <c r="G2">
        <v>1</v>
      </c>
      <c r="H2">
        <v>-10</v>
      </c>
    </row>
    <row r="3" spans="1:9">
      <c r="A3" t="s">
        <v>592</v>
      </c>
      <c r="B3" s="6" t="str">
        <f>VLOOKUP(A3,悪魔の実マスタ[],2,FALSE)</f>
        <v>バラバラの実</v>
      </c>
      <c r="C3" s="6" t="str">
        <f>VLOOKUP(A3,悪魔の実マスタ[],3,FALSE)</f>
        <v>超人系</v>
      </c>
      <c r="D3" t="s">
        <v>571</v>
      </c>
      <c r="E3" s="6" t="str">
        <f>VLOOKUP(D3,キャラマスタ[],2,FALSE)</f>
        <v>バギー</v>
      </c>
      <c r="F3">
        <v>3</v>
      </c>
      <c r="G3">
        <v>19</v>
      </c>
      <c r="H3">
        <v>-25</v>
      </c>
    </row>
    <row r="4" spans="1:9">
      <c r="A4" t="s">
        <v>1815</v>
      </c>
      <c r="B4" s="6" t="str">
        <f>VLOOKUP(A4,悪魔の実マスタ[],2,FALSE)</f>
        <v>スベスベの実</v>
      </c>
      <c r="C4" s="6" t="str">
        <f>VLOOKUP(A4,悪魔の実マスタ[],3,FALSE)</f>
        <v>超人系</v>
      </c>
      <c r="D4" s="21" t="s">
        <v>433</v>
      </c>
      <c r="E4" s="6" t="str">
        <f>VLOOKUP(D4,キャラマスタ[],2,FALSE)</f>
        <v>アルビダ</v>
      </c>
      <c r="F4">
        <v>11</v>
      </c>
      <c r="G4">
        <v>98</v>
      </c>
      <c r="H4">
        <v>0</v>
      </c>
    </row>
    <row r="5" spans="1:9">
      <c r="A5" t="s">
        <v>1816</v>
      </c>
      <c r="B5" s="6" t="str">
        <f>VLOOKUP(A5,悪魔の実マスタ[],2,FALSE)</f>
        <v>モクモクの実</v>
      </c>
      <c r="C5" s="6" t="str">
        <f>VLOOKUP(A5,悪魔の実マスタ[],3,FALSE)</f>
        <v>自然系</v>
      </c>
      <c r="D5" s="14" t="s">
        <v>1806</v>
      </c>
      <c r="E5" s="6" t="str">
        <f>VLOOKUP(D5,キャラマスタ[],2,FALSE)</f>
        <v>スモーカー</v>
      </c>
      <c r="F5">
        <v>11</v>
      </c>
      <c r="G5">
        <v>99</v>
      </c>
      <c r="H5">
        <v>0</v>
      </c>
    </row>
    <row r="6" spans="1:9">
      <c r="A6" s="29" t="s">
        <v>1817</v>
      </c>
      <c r="B6" s="6" t="str">
        <f>VLOOKUP(A6,悪魔の実マスタ[],2,FALSE)</f>
        <v>ボムボムの実</v>
      </c>
      <c r="C6" s="6" t="str">
        <f>VLOOKUP(A6,悪魔の実マスタ[],3,FALSE)</f>
        <v>超人系</v>
      </c>
      <c r="D6" s="29" t="s">
        <v>2072</v>
      </c>
      <c r="E6" s="6" t="str">
        <f>VLOOKUP(D6,キャラマスタ[],2,FALSE)</f>
        <v>Mr.5</v>
      </c>
      <c r="F6">
        <v>13</v>
      </c>
      <c r="G6">
        <v>110</v>
      </c>
      <c r="H6">
        <v>0</v>
      </c>
    </row>
    <row r="7" spans="1:9">
      <c r="A7" s="29" t="s">
        <v>2141</v>
      </c>
      <c r="B7" s="6" t="str">
        <f>VLOOKUP(A7,悪魔の実マスタ[],2,FALSE)</f>
        <v>キロキロの実</v>
      </c>
      <c r="C7" s="6" t="str">
        <f>VLOOKUP(A7,悪魔の実マスタ[],3,FALSE)</f>
        <v>超人系</v>
      </c>
      <c r="D7" s="29" t="s">
        <v>2073</v>
      </c>
      <c r="E7" s="6" t="str">
        <f>VLOOKUP(D7,キャラマスタ[],2,FALSE)</f>
        <v>ミス・バレンタイン</v>
      </c>
      <c r="F7">
        <v>13</v>
      </c>
      <c r="G7">
        <v>110</v>
      </c>
      <c r="H7">
        <v>0</v>
      </c>
    </row>
    <row r="8" spans="1:9">
      <c r="A8" s="29" t="s">
        <v>2142</v>
      </c>
      <c r="B8" s="6" t="str">
        <f>VLOOKUP(A8,悪魔の実マスタ[],2,FALSE)</f>
        <v>ハナハナの実</v>
      </c>
      <c r="C8" s="6" t="str">
        <f>VLOOKUP(A8,悪魔の実マスタ[],3,FALSE)</f>
        <v>超人系</v>
      </c>
      <c r="D8" s="29" t="s">
        <v>2075</v>
      </c>
      <c r="E8" s="6" t="str">
        <f>VLOOKUP(D8,キャラマスタ[],2,FALSE)</f>
        <v>ミス・オールサンデー</v>
      </c>
      <c r="F8">
        <v>13</v>
      </c>
      <c r="G8">
        <v>114</v>
      </c>
      <c r="H8">
        <v>0</v>
      </c>
    </row>
    <row r="9" spans="1:9">
      <c r="A9" s="29" t="s">
        <v>2143</v>
      </c>
      <c r="B9" s="6" t="str">
        <f>VLOOKUP(A9,悪魔の実マスタ[],2,FALSE)</f>
        <v>ドルドルの実</v>
      </c>
      <c r="C9" s="6" t="str">
        <f>VLOOKUP(A9,悪魔の実マスタ[],3,FALSE)</f>
        <v>超人系</v>
      </c>
      <c r="D9" s="29" t="s">
        <v>2081</v>
      </c>
      <c r="E9" s="6" t="str">
        <f>VLOOKUP(D9,キャラマスタ[],2,FALSE)</f>
        <v>Mr.3</v>
      </c>
      <c r="F9">
        <v>13</v>
      </c>
      <c r="G9">
        <v>117</v>
      </c>
      <c r="H9">
        <v>0</v>
      </c>
    </row>
  </sheetData>
  <phoneticPr fontId="1"/>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C24-3F57-4C1B-853B-DC6A4C2B5815}">
  <sheetPr>
    <tabColor theme="4" tint="0.59999389629810485"/>
  </sheetPr>
  <dimension ref="A1:H12"/>
  <sheetViews>
    <sheetView workbookViewId="0"/>
  </sheetViews>
  <sheetFormatPr defaultColWidth="8.875" defaultRowHeight="18.75"/>
  <cols>
    <col min="3" max="3" width="13" bestFit="1" customWidth="1"/>
    <col min="4" max="4" width="13" customWidth="1"/>
    <col min="5" max="5" width="15.125" bestFit="1" customWidth="1"/>
  </cols>
  <sheetData>
    <row r="1" spans="1:8">
      <c r="A1" t="s">
        <v>92</v>
      </c>
      <c r="B1" t="s">
        <v>236</v>
      </c>
      <c r="C1" t="s">
        <v>181</v>
      </c>
      <c r="D1" t="s">
        <v>255</v>
      </c>
      <c r="E1" t="s">
        <v>193</v>
      </c>
      <c r="F1" t="s">
        <v>194</v>
      </c>
      <c r="G1" t="s">
        <v>195</v>
      </c>
      <c r="H1" t="s">
        <v>240</v>
      </c>
    </row>
    <row r="2" spans="1:8">
      <c r="A2">
        <v>1</v>
      </c>
      <c r="B2">
        <v>1</v>
      </c>
      <c r="C2" t="s">
        <v>233</v>
      </c>
      <c r="D2" t="s">
        <v>256</v>
      </c>
      <c r="E2" t="s">
        <v>232</v>
      </c>
      <c r="F2">
        <v>-10</v>
      </c>
      <c r="H2" t="s">
        <v>241</v>
      </c>
    </row>
    <row r="3" spans="1:8">
      <c r="A3">
        <v>1</v>
      </c>
      <c r="B3">
        <v>2</v>
      </c>
      <c r="C3" t="s">
        <v>233</v>
      </c>
      <c r="D3" t="s">
        <v>266</v>
      </c>
      <c r="E3" t="s">
        <v>267</v>
      </c>
      <c r="F3">
        <v>0</v>
      </c>
      <c r="G3">
        <v>1</v>
      </c>
      <c r="H3" t="s">
        <v>268</v>
      </c>
    </row>
    <row r="4" spans="1:8">
      <c r="A4">
        <v>1</v>
      </c>
      <c r="B4">
        <v>3</v>
      </c>
      <c r="C4" t="s">
        <v>233</v>
      </c>
      <c r="D4" t="s">
        <v>271</v>
      </c>
      <c r="E4" t="s">
        <v>269</v>
      </c>
      <c r="F4">
        <v>0</v>
      </c>
      <c r="G4">
        <v>1</v>
      </c>
      <c r="H4" t="s">
        <v>268</v>
      </c>
    </row>
    <row r="5" spans="1:8">
      <c r="A5">
        <v>1</v>
      </c>
      <c r="B5">
        <v>8</v>
      </c>
      <c r="C5" t="s">
        <v>233</v>
      </c>
      <c r="D5" t="s">
        <v>272</v>
      </c>
      <c r="E5" t="s">
        <v>270</v>
      </c>
      <c r="F5">
        <v>0</v>
      </c>
      <c r="G5">
        <v>1</v>
      </c>
      <c r="H5" t="s">
        <v>268</v>
      </c>
    </row>
    <row r="6" spans="1:8">
      <c r="A6">
        <v>3</v>
      </c>
      <c r="B6">
        <v>23</v>
      </c>
      <c r="C6" t="s">
        <v>233</v>
      </c>
      <c r="D6" t="s">
        <v>754</v>
      </c>
      <c r="E6" t="s">
        <v>755</v>
      </c>
      <c r="F6">
        <v>0</v>
      </c>
      <c r="G6">
        <v>2</v>
      </c>
      <c r="H6" t="s">
        <v>268</v>
      </c>
    </row>
    <row r="7" spans="1:8">
      <c r="A7">
        <v>5</v>
      </c>
      <c r="B7">
        <v>43</v>
      </c>
      <c r="C7" t="s">
        <v>233</v>
      </c>
      <c r="D7" t="s">
        <v>1078</v>
      </c>
      <c r="E7" t="s">
        <v>917</v>
      </c>
      <c r="F7">
        <v>0</v>
      </c>
      <c r="G7">
        <v>5</v>
      </c>
      <c r="H7" t="s">
        <v>268</v>
      </c>
    </row>
    <row r="8" spans="1:8">
      <c r="A8">
        <v>8</v>
      </c>
      <c r="B8">
        <v>69</v>
      </c>
      <c r="C8" t="s">
        <v>233</v>
      </c>
      <c r="D8" t="s">
        <v>1400</v>
      </c>
      <c r="E8" t="s">
        <v>1401</v>
      </c>
      <c r="F8">
        <v>0</v>
      </c>
      <c r="G8">
        <v>7.7</v>
      </c>
      <c r="H8" t="s">
        <v>268</v>
      </c>
    </row>
    <row r="9" spans="1:8">
      <c r="A9">
        <v>11</v>
      </c>
      <c r="B9">
        <v>96</v>
      </c>
      <c r="C9" t="s">
        <v>233</v>
      </c>
      <c r="D9" t="s">
        <v>1905</v>
      </c>
      <c r="E9" t="s">
        <v>1906</v>
      </c>
      <c r="F9">
        <v>0</v>
      </c>
      <c r="G9">
        <v>11</v>
      </c>
      <c r="H9" t="s">
        <v>268</v>
      </c>
    </row>
    <row r="10" spans="1:8">
      <c r="A10">
        <v>12</v>
      </c>
      <c r="B10">
        <v>101</v>
      </c>
      <c r="C10" t="s">
        <v>2036</v>
      </c>
      <c r="D10" t="s">
        <v>2037</v>
      </c>
      <c r="E10" t="s">
        <v>2038</v>
      </c>
      <c r="F10">
        <v>0</v>
      </c>
      <c r="G10">
        <v>11.5</v>
      </c>
      <c r="H10" s="29" t="s">
        <v>268</v>
      </c>
    </row>
    <row r="11" spans="1:8">
      <c r="A11" s="29">
        <v>12</v>
      </c>
      <c r="B11">
        <v>106</v>
      </c>
      <c r="C11" s="29" t="s">
        <v>2036</v>
      </c>
      <c r="D11" t="s">
        <v>2070</v>
      </c>
      <c r="E11" s="29" t="s">
        <v>2070</v>
      </c>
      <c r="F11" s="29">
        <v>0</v>
      </c>
      <c r="G11">
        <v>11.7</v>
      </c>
      <c r="H11" s="29" t="s">
        <v>268</v>
      </c>
    </row>
    <row r="12" spans="1:8">
      <c r="A12">
        <v>13</v>
      </c>
      <c r="B12">
        <v>115</v>
      </c>
      <c r="C12" s="29" t="s">
        <v>2036</v>
      </c>
      <c r="D12" t="s">
        <v>2209</v>
      </c>
      <c r="E12" s="29" t="s">
        <v>2209</v>
      </c>
      <c r="F12">
        <v>0</v>
      </c>
      <c r="G12">
        <v>12</v>
      </c>
      <c r="H12" s="29" t="s">
        <v>268</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49D6F-A89A-4F51-860A-BE91BC9D4BA3}">
  <sheetPr>
    <tabColor theme="4" tint="0.59999389629810485"/>
  </sheetPr>
  <dimension ref="A1:E127"/>
  <sheetViews>
    <sheetView workbookViewId="0"/>
  </sheetViews>
  <sheetFormatPr defaultColWidth="8.875" defaultRowHeight="18.75"/>
  <cols>
    <col min="3" max="3" width="32.125" bestFit="1" customWidth="1"/>
    <col min="4" max="4" width="22.5" bestFit="1" customWidth="1"/>
    <col min="5" max="5" width="19.125" bestFit="1" customWidth="1"/>
  </cols>
  <sheetData>
    <row r="1" spans="1:5">
      <c r="A1" t="s">
        <v>92</v>
      </c>
      <c r="B1" t="s">
        <v>105</v>
      </c>
      <c r="C1" t="s">
        <v>145</v>
      </c>
      <c r="D1" t="s">
        <v>104</v>
      </c>
      <c r="E1" t="s">
        <v>196</v>
      </c>
    </row>
    <row r="2" spans="1:5">
      <c r="A2">
        <v>1</v>
      </c>
      <c r="B2">
        <v>1</v>
      </c>
      <c r="C2" t="s">
        <v>106</v>
      </c>
    </row>
    <row r="3" spans="1:5">
      <c r="A3">
        <v>1</v>
      </c>
      <c r="B3">
        <v>2</v>
      </c>
      <c r="C3" t="s">
        <v>107</v>
      </c>
    </row>
    <row r="4" spans="1:5">
      <c r="A4">
        <v>1</v>
      </c>
      <c r="B4">
        <v>3</v>
      </c>
      <c r="C4" t="s">
        <v>108</v>
      </c>
    </row>
    <row r="5" spans="1:5">
      <c r="A5">
        <v>1</v>
      </c>
      <c r="B5">
        <v>4</v>
      </c>
      <c r="C5" t="s">
        <v>109</v>
      </c>
    </row>
    <row r="6" spans="1:5">
      <c r="A6">
        <v>1</v>
      </c>
      <c r="B6">
        <v>5</v>
      </c>
      <c r="C6" t="s">
        <v>110</v>
      </c>
    </row>
    <row r="7" spans="1:5">
      <c r="A7">
        <v>1</v>
      </c>
      <c r="B7">
        <v>6</v>
      </c>
      <c r="C7" t="s">
        <v>111</v>
      </c>
    </row>
    <row r="8" spans="1:5">
      <c r="A8">
        <v>1</v>
      </c>
      <c r="B8">
        <v>7</v>
      </c>
      <c r="C8" t="s">
        <v>112</v>
      </c>
    </row>
    <row r="9" spans="1:5">
      <c r="A9">
        <v>1</v>
      </c>
      <c r="B9">
        <v>8</v>
      </c>
      <c r="C9" t="s">
        <v>113</v>
      </c>
    </row>
    <row r="10" spans="1:5">
      <c r="A10">
        <v>2</v>
      </c>
      <c r="B10">
        <v>9</v>
      </c>
      <c r="C10" t="s">
        <v>600</v>
      </c>
    </row>
    <row r="11" spans="1:5">
      <c r="A11">
        <v>2</v>
      </c>
      <c r="B11">
        <v>10</v>
      </c>
      <c r="C11" t="s">
        <v>601</v>
      </c>
    </row>
    <row r="12" spans="1:5">
      <c r="A12">
        <v>2</v>
      </c>
      <c r="B12">
        <v>11</v>
      </c>
      <c r="C12" t="s">
        <v>602</v>
      </c>
    </row>
    <row r="13" spans="1:5">
      <c r="A13">
        <v>2</v>
      </c>
      <c r="B13">
        <v>12</v>
      </c>
      <c r="C13" t="s">
        <v>603</v>
      </c>
    </row>
    <row r="14" spans="1:5">
      <c r="A14">
        <v>2</v>
      </c>
      <c r="B14">
        <v>13</v>
      </c>
      <c r="C14" t="s">
        <v>604</v>
      </c>
    </row>
    <row r="15" spans="1:5">
      <c r="A15">
        <v>2</v>
      </c>
      <c r="B15">
        <v>14</v>
      </c>
      <c r="C15" t="s">
        <v>605</v>
      </c>
    </row>
    <row r="16" spans="1:5">
      <c r="A16">
        <v>2</v>
      </c>
      <c r="B16">
        <v>15</v>
      </c>
      <c r="C16" t="s">
        <v>606</v>
      </c>
    </row>
    <row r="17" spans="1:3">
      <c r="A17">
        <v>2</v>
      </c>
      <c r="B17">
        <v>16</v>
      </c>
      <c r="C17" t="s">
        <v>607</v>
      </c>
    </row>
    <row r="18" spans="1:3">
      <c r="A18">
        <v>2</v>
      </c>
      <c r="B18">
        <v>17</v>
      </c>
      <c r="C18" t="s">
        <v>608</v>
      </c>
    </row>
    <row r="19" spans="1:3">
      <c r="A19">
        <v>3</v>
      </c>
      <c r="B19">
        <v>18</v>
      </c>
      <c r="C19" t="s">
        <v>745</v>
      </c>
    </row>
    <row r="20" spans="1:3">
      <c r="A20">
        <v>3</v>
      </c>
      <c r="B20">
        <v>19</v>
      </c>
      <c r="C20" t="s">
        <v>746</v>
      </c>
    </row>
    <row r="21" spans="1:3">
      <c r="A21">
        <v>3</v>
      </c>
      <c r="B21">
        <v>20</v>
      </c>
      <c r="C21" t="s">
        <v>747</v>
      </c>
    </row>
    <row r="22" spans="1:3">
      <c r="A22">
        <v>3</v>
      </c>
      <c r="B22">
        <v>21</v>
      </c>
      <c r="C22" t="s">
        <v>748</v>
      </c>
    </row>
    <row r="23" spans="1:3">
      <c r="A23">
        <v>3</v>
      </c>
      <c r="B23">
        <v>22</v>
      </c>
      <c r="C23" t="s">
        <v>749</v>
      </c>
    </row>
    <row r="24" spans="1:3">
      <c r="A24">
        <v>3</v>
      </c>
      <c r="B24">
        <v>23</v>
      </c>
      <c r="C24" t="s">
        <v>750</v>
      </c>
    </row>
    <row r="25" spans="1:3">
      <c r="A25">
        <v>3</v>
      </c>
      <c r="B25">
        <v>24</v>
      </c>
      <c r="C25" t="s">
        <v>751</v>
      </c>
    </row>
    <row r="26" spans="1:3">
      <c r="A26">
        <v>3</v>
      </c>
      <c r="B26">
        <v>25</v>
      </c>
      <c r="C26" t="s">
        <v>752</v>
      </c>
    </row>
    <row r="27" spans="1:3">
      <c r="A27">
        <v>3</v>
      </c>
      <c r="B27">
        <v>26</v>
      </c>
      <c r="C27" t="s">
        <v>753</v>
      </c>
    </row>
    <row r="28" spans="1:3">
      <c r="A28">
        <v>4</v>
      </c>
      <c r="B28">
        <v>27</v>
      </c>
      <c r="C28" t="s">
        <v>832</v>
      </c>
    </row>
    <row r="29" spans="1:3">
      <c r="A29">
        <v>4</v>
      </c>
      <c r="B29">
        <v>28</v>
      </c>
      <c r="C29" t="s">
        <v>833</v>
      </c>
    </row>
    <row r="30" spans="1:3">
      <c r="A30">
        <v>4</v>
      </c>
      <c r="B30">
        <v>29</v>
      </c>
      <c r="C30" t="s">
        <v>834</v>
      </c>
    </row>
    <row r="31" spans="1:3">
      <c r="A31">
        <v>4</v>
      </c>
      <c r="B31">
        <v>30</v>
      </c>
      <c r="C31" t="s">
        <v>835</v>
      </c>
    </row>
    <row r="32" spans="1:3">
      <c r="A32">
        <v>4</v>
      </c>
      <c r="B32">
        <v>31</v>
      </c>
      <c r="C32" t="s">
        <v>836</v>
      </c>
    </row>
    <row r="33" spans="1:5">
      <c r="A33">
        <v>4</v>
      </c>
      <c r="B33">
        <v>32</v>
      </c>
      <c r="C33" t="s">
        <v>837</v>
      </c>
    </row>
    <row r="34" spans="1:5">
      <c r="A34">
        <v>4</v>
      </c>
      <c r="B34">
        <v>33</v>
      </c>
      <c r="C34" t="s">
        <v>838</v>
      </c>
    </row>
    <row r="35" spans="1:5">
      <c r="A35">
        <v>4</v>
      </c>
      <c r="B35">
        <v>34</v>
      </c>
      <c r="C35" t="s">
        <v>839</v>
      </c>
    </row>
    <row r="36" spans="1:5">
      <c r="A36">
        <v>4</v>
      </c>
      <c r="B36">
        <v>35</v>
      </c>
      <c r="C36" t="s">
        <v>840</v>
      </c>
      <c r="D36" t="s">
        <v>884</v>
      </c>
      <c r="E36" t="s">
        <v>885</v>
      </c>
    </row>
    <row r="37" spans="1:5">
      <c r="A37">
        <v>5</v>
      </c>
      <c r="B37">
        <v>36</v>
      </c>
      <c r="C37" t="s">
        <v>1019</v>
      </c>
      <c r="D37" t="s">
        <v>1020</v>
      </c>
      <c r="E37" t="s">
        <v>1021</v>
      </c>
    </row>
    <row r="38" spans="1:5">
      <c r="A38">
        <v>5</v>
      </c>
      <c r="B38">
        <v>37</v>
      </c>
      <c r="C38" t="s">
        <v>1022</v>
      </c>
      <c r="D38" t="s">
        <v>1023</v>
      </c>
      <c r="E38" t="s">
        <v>1024</v>
      </c>
    </row>
    <row r="39" spans="1:5">
      <c r="A39">
        <v>5</v>
      </c>
      <c r="B39">
        <v>38</v>
      </c>
      <c r="C39" t="s">
        <v>1025</v>
      </c>
    </row>
    <row r="40" spans="1:5">
      <c r="A40">
        <v>5</v>
      </c>
      <c r="B40">
        <v>39</v>
      </c>
      <c r="C40" t="s">
        <v>1026</v>
      </c>
      <c r="D40" t="s">
        <v>1027</v>
      </c>
      <c r="E40" t="s">
        <v>1028</v>
      </c>
    </row>
    <row r="41" spans="1:5">
      <c r="A41">
        <v>5</v>
      </c>
      <c r="B41">
        <v>40</v>
      </c>
      <c r="C41" t="s">
        <v>1029</v>
      </c>
      <c r="D41" t="s">
        <v>1030</v>
      </c>
      <c r="E41" t="s">
        <v>1031</v>
      </c>
    </row>
    <row r="42" spans="1:5">
      <c r="A42">
        <v>5</v>
      </c>
      <c r="B42">
        <v>41</v>
      </c>
      <c r="C42" t="s">
        <v>1032</v>
      </c>
    </row>
    <row r="43" spans="1:5">
      <c r="A43">
        <v>5</v>
      </c>
      <c r="B43">
        <v>42</v>
      </c>
      <c r="C43" t="s">
        <v>1033</v>
      </c>
      <c r="D43" t="s">
        <v>1034</v>
      </c>
      <c r="E43" t="s">
        <v>1035</v>
      </c>
    </row>
    <row r="44" spans="1:5">
      <c r="A44">
        <v>5</v>
      </c>
      <c r="B44">
        <v>43</v>
      </c>
      <c r="C44" t="s">
        <v>1036</v>
      </c>
      <c r="D44" t="s">
        <v>1037</v>
      </c>
      <c r="E44" t="s">
        <v>1038</v>
      </c>
    </row>
    <row r="45" spans="1:5">
      <c r="A45">
        <v>5</v>
      </c>
      <c r="B45">
        <v>44</v>
      </c>
      <c r="C45" t="s">
        <v>1039</v>
      </c>
    </row>
    <row r="46" spans="1:5">
      <c r="A46">
        <v>6</v>
      </c>
      <c r="B46">
        <v>45</v>
      </c>
      <c r="C46" t="s">
        <v>1118</v>
      </c>
    </row>
    <row r="47" spans="1:5">
      <c r="A47">
        <v>6</v>
      </c>
      <c r="B47">
        <v>46</v>
      </c>
      <c r="C47" t="s">
        <v>1119</v>
      </c>
      <c r="D47" t="s">
        <v>1120</v>
      </c>
      <c r="E47" t="s">
        <v>1121</v>
      </c>
    </row>
    <row r="48" spans="1:5">
      <c r="A48">
        <v>6</v>
      </c>
      <c r="B48">
        <v>47</v>
      </c>
      <c r="C48" t="s">
        <v>1122</v>
      </c>
      <c r="D48" t="s">
        <v>1123</v>
      </c>
      <c r="E48" t="s">
        <v>1124</v>
      </c>
    </row>
    <row r="49" spans="1:5">
      <c r="A49">
        <v>6</v>
      </c>
      <c r="B49">
        <v>48</v>
      </c>
      <c r="C49" t="s">
        <v>1125</v>
      </c>
      <c r="D49" t="s">
        <v>1126</v>
      </c>
      <c r="E49" t="s">
        <v>1127</v>
      </c>
    </row>
    <row r="50" spans="1:5">
      <c r="A50">
        <v>6</v>
      </c>
      <c r="B50">
        <v>49</v>
      </c>
      <c r="C50" t="s">
        <v>1128</v>
      </c>
    </row>
    <row r="51" spans="1:5">
      <c r="A51">
        <v>6</v>
      </c>
      <c r="B51">
        <v>50</v>
      </c>
      <c r="C51" t="s">
        <v>1129</v>
      </c>
      <c r="D51" t="s">
        <v>1130</v>
      </c>
      <c r="E51" t="s">
        <v>1131</v>
      </c>
    </row>
    <row r="52" spans="1:5">
      <c r="A52">
        <v>6</v>
      </c>
      <c r="B52">
        <v>51</v>
      </c>
      <c r="C52" t="s">
        <v>1132</v>
      </c>
      <c r="D52" t="s">
        <v>1133</v>
      </c>
      <c r="E52" t="s">
        <v>1134</v>
      </c>
    </row>
    <row r="53" spans="1:5">
      <c r="A53">
        <v>6</v>
      </c>
      <c r="B53">
        <v>52</v>
      </c>
      <c r="C53" t="s">
        <v>1135</v>
      </c>
    </row>
    <row r="54" spans="1:5">
      <c r="A54">
        <v>6</v>
      </c>
      <c r="B54">
        <v>53</v>
      </c>
      <c r="C54" t="s">
        <v>1136</v>
      </c>
      <c r="D54" t="s">
        <v>1137</v>
      </c>
      <c r="E54" t="s">
        <v>1138</v>
      </c>
    </row>
    <row r="55" spans="1:5">
      <c r="A55">
        <v>7</v>
      </c>
      <c r="B55">
        <v>54</v>
      </c>
      <c r="C55" t="s">
        <v>1213</v>
      </c>
      <c r="D55" t="s">
        <v>1214</v>
      </c>
      <c r="E55" t="s">
        <v>1229</v>
      </c>
    </row>
    <row r="56" spans="1:5">
      <c r="A56">
        <v>7</v>
      </c>
      <c r="B56">
        <v>55</v>
      </c>
      <c r="C56" t="s">
        <v>1215</v>
      </c>
      <c r="D56" t="s">
        <v>1216</v>
      </c>
      <c r="E56" t="s">
        <v>1230</v>
      </c>
    </row>
    <row r="57" spans="1:5">
      <c r="A57">
        <v>7</v>
      </c>
      <c r="B57">
        <v>56</v>
      </c>
      <c r="C57" t="s">
        <v>1217</v>
      </c>
    </row>
    <row r="58" spans="1:5">
      <c r="A58">
        <v>7</v>
      </c>
      <c r="B58">
        <v>57</v>
      </c>
      <c r="C58" t="s">
        <v>1218</v>
      </c>
      <c r="D58" t="s">
        <v>1219</v>
      </c>
      <c r="E58" t="s">
        <v>1231</v>
      </c>
    </row>
    <row r="59" spans="1:5">
      <c r="A59">
        <v>7</v>
      </c>
      <c r="B59">
        <v>58</v>
      </c>
      <c r="C59" t="s">
        <v>1220</v>
      </c>
      <c r="D59" t="s">
        <v>1221</v>
      </c>
      <c r="E59" t="s">
        <v>1232</v>
      </c>
    </row>
    <row r="60" spans="1:5">
      <c r="A60">
        <v>7</v>
      </c>
      <c r="B60">
        <v>59</v>
      </c>
      <c r="C60" t="s">
        <v>1222</v>
      </c>
      <c r="D60" t="s">
        <v>1223</v>
      </c>
      <c r="E60" t="s">
        <v>1233</v>
      </c>
    </row>
    <row r="61" spans="1:5">
      <c r="A61">
        <v>7</v>
      </c>
      <c r="B61">
        <v>60</v>
      </c>
      <c r="C61" t="s">
        <v>1224</v>
      </c>
      <c r="D61" t="s">
        <v>1225</v>
      </c>
      <c r="E61" t="s">
        <v>1234</v>
      </c>
    </row>
    <row r="62" spans="1:5">
      <c r="A62">
        <v>7</v>
      </c>
      <c r="B62">
        <v>61</v>
      </c>
      <c r="C62" t="s">
        <v>1226</v>
      </c>
    </row>
    <row r="63" spans="1:5">
      <c r="A63">
        <v>7</v>
      </c>
      <c r="B63">
        <v>62</v>
      </c>
      <c r="C63" t="s">
        <v>1227</v>
      </c>
      <c r="D63" t="s">
        <v>1228</v>
      </c>
      <c r="E63" t="s">
        <v>1235</v>
      </c>
    </row>
    <row r="64" spans="1:5">
      <c r="A64">
        <v>8</v>
      </c>
      <c r="B64">
        <v>63</v>
      </c>
      <c r="C64" t="s">
        <v>1361</v>
      </c>
      <c r="D64" t="s">
        <v>1362</v>
      </c>
      <c r="E64" t="s">
        <v>1363</v>
      </c>
    </row>
    <row r="65" spans="1:5">
      <c r="A65">
        <v>8</v>
      </c>
      <c r="B65">
        <v>64</v>
      </c>
      <c r="C65" t="s">
        <v>1364</v>
      </c>
    </row>
    <row r="66" spans="1:5">
      <c r="A66">
        <v>8</v>
      </c>
      <c r="B66">
        <v>65</v>
      </c>
      <c r="C66" t="s">
        <v>1365</v>
      </c>
      <c r="D66" t="s">
        <v>1366</v>
      </c>
      <c r="E66" t="s">
        <v>1367</v>
      </c>
    </row>
    <row r="67" spans="1:5">
      <c r="A67">
        <v>8</v>
      </c>
      <c r="B67">
        <v>66</v>
      </c>
      <c r="C67" t="s">
        <v>1368</v>
      </c>
      <c r="D67" t="s">
        <v>1369</v>
      </c>
      <c r="E67" t="s">
        <v>1370</v>
      </c>
    </row>
    <row r="68" spans="1:5">
      <c r="A68">
        <v>8</v>
      </c>
      <c r="B68">
        <v>67</v>
      </c>
      <c r="C68" t="s">
        <v>1371</v>
      </c>
      <c r="D68" t="s">
        <v>1372</v>
      </c>
      <c r="E68" t="s">
        <v>1373</v>
      </c>
    </row>
    <row r="69" spans="1:5">
      <c r="A69">
        <v>8</v>
      </c>
      <c r="B69">
        <v>68</v>
      </c>
      <c r="C69" t="s">
        <v>1374</v>
      </c>
      <c r="D69" t="s">
        <v>1375</v>
      </c>
      <c r="E69" t="s">
        <v>1376</v>
      </c>
    </row>
    <row r="70" spans="1:5">
      <c r="A70">
        <v>8</v>
      </c>
      <c r="B70">
        <v>69</v>
      </c>
      <c r="C70" t="s">
        <v>1377</v>
      </c>
    </row>
    <row r="71" spans="1:5">
      <c r="A71">
        <v>8</v>
      </c>
      <c r="B71">
        <v>70</v>
      </c>
      <c r="C71" t="s">
        <v>1378</v>
      </c>
    </row>
    <row r="72" spans="1:5">
      <c r="A72">
        <v>8</v>
      </c>
      <c r="B72">
        <v>71</v>
      </c>
      <c r="C72" t="s">
        <v>1379</v>
      </c>
      <c r="D72" t="s">
        <v>1380</v>
      </c>
      <c r="E72" t="s">
        <v>1381</v>
      </c>
    </row>
    <row r="73" spans="1:5">
      <c r="A73">
        <v>9</v>
      </c>
      <c r="B73">
        <v>72</v>
      </c>
      <c r="C73" t="s">
        <v>1382</v>
      </c>
      <c r="D73" t="s">
        <v>1383</v>
      </c>
      <c r="E73" t="s">
        <v>1384</v>
      </c>
    </row>
    <row r="74" spans="1:5">
      <c r="A74">
        <v>9</v>
      </c>
      <c r="B74">
        <v>73</v>
      </c>
      <c r="C74" t="s">
        <v>1385</v>
      </c>
      <c r="D74" t="s">
        <v>1386</v>
      </c>
      <c r="E74" t="s">
        <v>1387</v>
      </c>
    </row>
    <row r="75" spans="1:5">
      <c r="A75">
        <v>9</v>
      </c>
      <c r="B75">
        <v>74</v>
      </c>
      <c r="C75" t="s">
        <v>1388</v>
      </c>
      <c r="D75" t="s">
        <v>1389</v>
      </c>
      <c r="E75" t="s">
        <v>1390</v>
      </c>
    </row>
    <row r="76" spans="1:5">
      <c r="A76">
        <v>9</v>
      </c>
      <c r="B76">
        <v>75</v>
      </c>
      <c r="C76" t="s">
        <v>1391</v>
      </c>
      <c r="D76" t="s">
        <v>1392</v>
      </c>
      <c r="E76" t="s">
        <v>1393</v>
      </c>
    </row>
    <row r="77" spans="1:5">
      <c r="A77">
        <v>9</v>
      </c>
      <c r="B77">
        <v>76</v>
      </c>
      <c r="C77" t="s">
        <v>1394</v>
      </c>
    </row>
    <row r="78" spans="1:5">
      <c r="A78">
        <v>9</v>
      </c>
      <c r="B78">
        <v>77</v>
      </c>
      <c r="C78" t="s">
        <v>1395</v>
      </c>
    </row>
    <row r="79" spans="1:5">
      <c r="A79">
        <v>9</v>
      </c>
      <c r="B79">
        <v>78</v>
      </c>
      <c r="C79" t="s">
        <v>1396</v>
      </c>
    </row>
    <row r="80" spans="1:5">
      <c r="A80">
        <v>9</v>
      </c>
      <c r="B80">
        <v>79</v>
      </c>
      <c r="C80" t="s">
        <v>1397</v>
      </c>
    </row>
    <row r="81" spans="1:5">
      <c r="A81">
        <v>9</v>
      </c>
      <c r="B81">
        <v>80</v>
      </c>
      <c r="C81" t="s">
        <v>1398</v>
      </c>
    </row>
    <row r="82" spans="1:5">
      <c r="A82">
        <v>9</v>
      </c>
      <c r="B82">
        <v>81</v>
      </c>
      <c r="C82" t="s">
        <v>1399</v>
      </c>
    </row>
    <row r="83" spans="1:5">
      <c r="A83">
        <v>10</v>
      </c>
      <c r="B83">
        <v>82</v>
      </c>
      <c r="C83" t="s">
        <v>1552</v>
      </c>
    </row>
    <row r="84" spans="1:5">
      <c r="A84">
        <v>10</v>
      </c>
      <c r="B84">
        <v>83</v>
      </c>
      <c r="C84" t="s">
        <v>1553</v>
      </c>
      <c r="D84" t="s">
        <v>1554</v>
      </c>
      <c r="E84" t="s">
        <v>1555</v>
      </c>
    </row>
    <row r="85" spans="1:5">
      <c r="A85">
        <v>10</v>
      </c>
      <c r="B85">
        <v>84</v>
      </c>
      <c r="C85" t="s">
        <v>1556</v>
      </c>
      <c r="D85" t="s">
        <v>1557</v>
      </c>
      <c r="E85" t="s">
        <v>1558</v>
      </c>
    </row>
    <row r="86" spans="1:5">
      <c r="A86">
        <v>10</v>
      </c>
      <c r="B86">
        <v>85</v>
      </c>
      <c r="C86" t="s">
        <v>1559</v>
      </c>
      <c r="D86" t="s">
        <v>1560</v>
      </c>
      <c r="E86" t="s">
        <v>1561</v>
      </c>
    </row>
    <row r="87" spans="1:5">
      <c r="A87">
        <v>10</v>
      </c>
      <c r="B87">
        <v>86</v>
      </c>
      <c r="C87" t="s">
        <v>1562</v>
      </c>
    </row>
    <row r="88" spans="1:5">
      <c r="A88">
        <v>10</v>
      </c>
      <c r="B88">
        <v>87</v>
      </c>
      <c r="C88" t="s">
        <v>1563</v>
      </c>
      <c r="D88" t="s">
        <v>1564</v>
      </c>
      <c r="E88" t="s">
        <v>1565</v>
      </c>
    </row>
    <row r="89" spans="1:5">
      <c r="A89">
        <v>10</v>
      </c>
      <c r="B89">
        <v>88</v>
      </c>
      <c r="C89" t="s">
        <v>1566</v>
      </c>
      <c r="D89" t="s">
        <v>1567</v>
      </c>
      <c r="E89" t="s">
        <v>1568</v>
      </c>
    </row>
    <row r="90" spans="1:5">
      <c r="A90">
        <v>10</v>
      </c>
      <c r="B90">
        <v>89</v>
      </c>
      <c r="C90" t="s">
        <v>1569</v>
      </c>
      <c r="D90" t="s">
        <v>1570</v>
      </c>
      <c r="E90" t="s">
        <v>1571</v>
      </c>
    </row>
    <row r="91" spans="1:5">
      <c r="A91">
        <v>10</v>
      </c>
      <c r="B91">
        <v>90</v>
      </c>
      <c r="C91" t="s">
        <v>1572</v>
      </c>
      <c r="D91" t="s">
        <v>1573</v>
      </c>
      <c r="E91" t="s">
        <v>1574</v>
      </c>
    </row>
    <row r="92" spans="1:5">
      <c r="A92">
        <v>11</v>
      </c>
      <c r="B92">
        <v>91</v>
      </c>
      <c r="C92" t="s">
        <v>1575</v>
      </c>
      <c r="D92" t="s">
        <v>1576</v>
      </c>
      <c r="E92" t="s">
        <v>1577</v>
      </c>
    </row>
    <row r="93" spans="1:5">
      <c r="A93">
        <v>11</v>
      </c>
      <c r="B93">
        <v>92</v>
      </c>
      <c r="C93" t="s">
        <v>1578</v>
      </c>
      <c r="D93" t="s">
        <v>1579</v>
      </c>
      <c r="E93" t="s">
        <v>1580</v>
      </c>
    </row>
    <row r="94" spans="1:5">
      <c r="A94">
        <v>11</v>
      </c>
      <c r="B94">
        <v>93</v>
      </c>
      <c r="C94" t="s">
        <v>1581</v>
      </c>
      <c r="D94" t="s">
        <v>1582</v>
      </c>
      <c r="E94" t="s">
        <v>1583</v>
      </c>
    </row>
    <row r="95" spans="1:5">
      <c r="A95">
        <v>11</v>
      </c>
      <c r="B95">
        <v>94</v>
      </c>
      <c r="C95" t="s">
        <v>1584</v>
      </c>
    </row>
    <row r="96" spans="1:5">
      <c r="A96">
        <v>11</v>
      </c>
      <c r="B96">
        <v>95</v>
      </c>
      <c r="C96" t="s">
        <v>1585</v>
      </c>
      <c r="D96" t="s">
        <v>1586</v>
      </c>
      <c r="E96" t="s">
        <v>1587</v>
      </c>
    </row>
    <row r="97" spans="1:5">
      <c r="A97">
        <v>11</v>
      </c>
      <c r="B97">
        <v>96</v>
      </c>
      <c r="C97" t="s">
        <v>1588</v>
      </c>
      <c r="D97" t="s">
        <v>1589</v>
      </c>
      <c r="E97" t="s">
        <v>1590</v>
      </c>
    </row>
    <row r="98" spans="1:5">
      <c r="A98">
        <v>11</v>
      </c>
      <c r="B98">
        <v>97</v>
      </c>
      <c r="C98" t="s">
        <v>1591</v>
      </c>
      <c r="D98" t="s">
        <v>1592</v>
      </c>
      <c r="E98" t="s">
        <v>1593</v>
      </c>
    </row>
    <row r="99" spans="1:5">
      <c r="A99">
        <v>11</v>
      </c>
      <c r="B99">
        <v>98</v>
      </c>
      <c r="C99" t="s">
        <v>1594</v>
      </c>
      <c r="D99" t="s">
        <v>1595</v>
      </c>
      <c r="E99" t="s">
        <v>1596</v>
      </c>
    </row>
    <row r="100" spans="1:5">
      <c r="A100">
        <v>11</v>
      </c>
      <c r="B100">
        <v>99</v>
      </c>
      <c r="C100" t="s">
        <v>1597</v>
      </c>
      <c r="D100" t="s">
        <v>1598</v>
      </c>
      <c r="E100" t="s">
        <v>1599</v>
      </c>
    </row>
    <row r="101" spans="1:5">
      <c r="A101">
        <v>12</v>
      </c>
      <c r="B101">
        <v>100</v>
      </c>
      <c r="C101" t="s">
        <v>1600</v>
      </c>
    </row>
    <row r="102" spans="1:5">
      <c r="A102">
        <v>12</v>
      </c>
      <c r="B102">
        <v>101</v>
      </c>
      <c r="C102" t="s">
        <v>1601</v>
      </c>
      <c r="D102" t="s">
        <v>1602</v>
      </c>
      <c r="E102" t="s">
        <v>1603</v>
      </c>
    </row>
    <row r="103" spans="1:5">
      <c r="A103">
        <v>12</v>
      </c>
      <c r="B103">
        <v>102</v>
      </c>
      <c r="C103" t="s">
        <v>1604</v>
      </c>
      <c r="D103" t="s">
        <v>1605</v>
      </c>
      <c r="E103" t="s">
        <v>1606</v>
      </c>
    </row>
    <row r="104" spans="1:5">
      <c r="A104">
        <v>12</v>
      </c>
      <c r="B104">
        <v>103</v>
      </c>
      <c r="C104" t="s">
        <v>1607</v>
      </c>
    </row>
    <row r="105" spans="1:5">
      <c r="A105">
        <v>12</v>
      </c>
      <c r="B105">
        <v>104</v>
      </c>
      <c r="C105" t="s">
        <v>1608</v>
      </c>
      <c r="D105" t="s">
        <v>1609</v>
      </c>
      <c r="E105" t="s">
        <v>1610</v>
      </c>
    </row>
    <row r="106" spans="1:5">
      <c r="A106">
        <v>12</v>
      </c>
      <c r="B106">
        <v>105</v>
      </c>
      <c r="C106" t="s">
        <v>1611</v>
      </c>
      <c r="D106" t="s">
        <v>1612</v>
      </c>
      <c r="E106" t="s">
        <v>1613</v>
      </c>
    </row>
    <row r="107" spans="1:5">
      <c r="A107">
        <v>12</v>
      </c>
      <c r="B107">
        <v>106</v>
      </c>
      <c r="C107" t="s">
        <v>1614</v>
      </c>
      <c r="D107" t="s">
        <v>1615</v>
      </c>
      <c r="E107" t="s">
        <v>1616</v>
      </c>
    </row>
    <row r="108" spans="1:5">
      <c r="A108">
        <v>12</v>
      </c>
      <c r="B108">
        <v>107</v>
      </c>
      <c r="C108" t="s">
        <v>1617</v>
      </c>
    </row>
    <row r="109" spans="1:5">
      <c r="A109">
        <v>12</v>
      </c>
      <c r="B109">
        <v>108</v>
      </c>
      <c r="C109" t="s">
        <v>1618</v>
      </c>
      <c r="D109" t="s">
        <v>1619</v>
      </c>
      <c r="E109" t="s">
        <v>1620</v>
      </c>
    </row>
    <row r="110" spans="1:5">
      <c r="A110">
        <v>13</v>
      </c>
      <c r="B110">
        <v>109</v>
      </c>
      <c r="C110" t="s">
        <v>1621</v>
      </c>
      <c r="D110" t="s">
        <v>1622</v>
      </c>
      <c r="E110" t="s">
        <v>1623</v>
      </c>
    </row>
    <row r="111" spans="1:5">
      <c r="A111">
        <v>13</v>
      </c>
      <c r="B111">
        <v>110</v>
      </c>
      <c r="C111" t="s">
        <v>1624</v>
      </c>
      <c r="D111" t="s">
        <v>1625</v>
      </c>
      <c r="E111" t="s">
        <v>1626</v>
      </c>
    </row>
    <row r="112" spans="1:5">
      <c r="A112">
        <v>13</v>
      </c>
      <c r="B112">
        <v>111</v>
      </c>
      <c r="C112" t="s">
        <v>1627</v>
      </c>
    </row>
    <row r="113" spans="1:5">
      <c r="A113">
        <v>13</v>
      </c>
      <c r="B113">
        <v>112</v>
      </c>
      <c r="C113" t="s">
        <v>1628</v>
      </c>
      <c r="D113" t="s">
        <v>1629</v>
      </c>
      <c r="E113" t="s">
        <v>1630</v>
      </c>
    </row>
    <row r="114" spans="1:5">
      <c r="A114">
        <v>13</v>
      </c>
      <c r="B114">
        <v>113</v>
      </c>
      <c r="C114" t="s">
        <v>1631</v>
      </c>
      <c r="D114" t="s">
        <v>1632</v>
      </c>
      <c r="E114" t="s">
        <v>1633</v>
      </c>
    </row>
    <row r="115" spans="1:5">
      <c r="A115">
        <v>13</v>
      </c>
      <c r="B115">
        <v>114</v>
      </c>
      <c r="C115" t="s">
        <v>1634</v>
      </c>
      <c r="D115" t="s">
        <v>1635</v>
      </c>
      <c r="E115" t="s">
        <v>1636</v>
      </c>
    </row>
    <row r="116" spans="1:5">
      <c r="A116">
        <v>13</v>
      </c>
      <c r="B116">
        <v>115</v>
      </c>
      <c r="C116" t="s">
        <v>1637</v>
      </c>
      <c r="D116" t="s">
        <v>1638</v>
      </c>
      <c r="E116" t="s">
        <v>1639</v>
      </c>
    </row>
    <row r="117" spans="1:5">
      <c r="A117">
        <v>13</v>
      </c>
      <c r="B117">
        <v>116</v>
      </c>
      <c r="C117" t="s">
        <v>1640</v>
      </c>
      <c r="D117" t="s">
        <v>1641</v>
      </c>
      <c r="E117" t="s">
        <v>1642</v>
      </c>
    </row>
    <row r="118" spans="1:5">
      <c r="A118">
        <v>13</v>
      </c>
      <c r="B118">
        <v>117</v>
      </c>
      <c r="C118" t="s">
        <v>1643</v>
      </c>
    </row>
    <row r="119" spans="1:5">
      <c r="A119">
        <v>14</v>
      </c>
      <c r="B119">
        <v>118</v>
      </c>
      <c r="C119" t="s">
        <v>1644</v>
      </c>
      <c r="D119" t="s">
        <v>1645</v>
      </c>
      <c r="E119" t="s">
        <v>1646</v>
      </c>
    </row>
    <row r="120" spans="1:5">
      <c r="A120">
        <v>14</v>
      </c>
      <c r="B120">
        <v>119</v>
      </c>
      <c r="C120" t="s">
        <v>1647</v>
      </c>
      <c r="D120" t="s">
        <v>1648</v>
      </c>
      <c r="E120" t="s">
        <v>1649</v>
      </c>
    </row>
    <row r="121" spans="1:5">
      <c r="A121">
        <v>14</v>
      </c>
      <c r="B121">
        <v>120</v>
      </c>
      <c r="C121" t="s">
        <v>1650</v>
      </c>
    </row>
    <row r="122" spans="1:5">
      <c r="A122">
        <v>14</v>
      </c>
      <c r="B122">
        <v>121</v>
      </c>
      <c r="C122" t="s">
        <v>1651</v>
      </c>
    </row>
    <row r="123" spans="1:5">
      <c r="A123">
        <v>14</v>
      </c>
      <c r="B123">
        <v>122</v>
      </c>
      <c r="C123" t="s">
        <v>1652</v>
      </c>
    </row>
    <row r="124" spans="1:5">
      <c r="A124">
        <v>14</v>
      </c>
      <c r="B124">
        <v>123</v>
      </c>
      <c r="C124" t="s">
        <v>1653</v>
      </c>
    </row>
    <row r="125" spans="1:5">
      <c r="A125">
        <v>14</v>
      </c>
      <c r="B125">
        <v>124</v>
      </c>
      <c r="C125" t="s">
        <v>1654</v>
      </c>
    </row>
    <row r="126" spans="1:5">
      <c r="A126">
        <v>14</v>
      </c>
      <c r="B126">
        <v>125</v>
      </c>
      <c r="C126" t="s">
        <v>1655</v>
      </c>
    </row>
    <row r="127" spans="1:5">
      <c r="A127">
        <v>14</v>
      </c>
      <c r="B127">
        <v>126</v>
      </c>
      <c r="C127" t="s">
        <v>1656</v>
      </c>
      <c r="D127" t="s">
        <v>1657</v>
      </c>
      <c r="E127" t="s">
        <v>1658</v>
      </c>
    </row>
  </sheetData>
  <phoneticPr fontId="1"/>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5056-E410-4E96-890B-80A56A8B400B}">
  <dimension ref="A1:F30"/>
  <sheetViews>
    <sheetView topLeftCell="A18" workbookViewId="0">
      <selection activeCell="E30" sqref="E30"/>
    </sheetView>
  </sheetViews>
  <sheetFormatPr defaultRowHeight="18.75"/>
  <cols>
    <col min="1" max="1" width="23.5" style="29" bestFit="1" customWidth="1"/>
    <col min="2" max="3" width="14.875" customWidth="1"/>
  </cols>
  <sheetData>
    <row r="1" spans="1:6">
      <c r="A1" s="29" t="s">
        <v>479</v>
      </c>
      <c r="B1" s="30" t="s">
        <v>2041</v>
      </c>
      <c r="C1" s="30" t="s">
        <v>2042</v>
      </c>
      <c r="D1" s="30" t="s">
        <v>2043</v>
      </c>
      <c r="E1" s="30" t="s">
        <v>2044</v>
      </c>
      <c r="F1" s="31" t="s">
        <v>235</v>
      </c>
    </row>
    <row r="2" spans="1:6">
      <c r="A2" s="20" t="str">
        <f>+場所マスタ[[#This Row],[表示名]]</f>
        <v>フーシャ村</v>
      </c>
      <c r="B2" s="20">
        <v>30.57</v>
      </c>
      <c r="C2" s="20">
        <v>1.72</v>
      </c>
      <c r="D2" s="20">
        <f>IF(B2="","",(B2-16.93)*50)</f>
        <v>682</v>
      </c>
      <c r="E2" s="20">
        <f>IF(C2="","",(9.53-C2)*50)</f>
        <v>390.5</v>
      </c>
    </row>
    <row r="3" spans="1:6">
      <c r="A3" s="20" t="str">
        <f>+場所マスタ[[#This Row],[表示名]]</f>
        <v>フーシャ村近海</v>
      </c>
      <c r="B3" s="20">
        <v>30.52</v>
      </c>
      <c r="C3" s="20">
        <v>1.93</v>
      </c>
      <c r="D3" s="20">
        <f t="shared" ref="D3:D8" si="0">IF(B3="","",(B3-16.93)*50)</f>
        <v>679.5</v>
      </c>
      <c r="E3" s="20">
        <f t="shared" ref="E3:E8" si="1">IF(C3="","",(9.53-C3)*50)</f>
        <v>380</v>
      </c>
    </row>
    <row r="4" spans="1:6">
      <c r="A4" s="20" t="str">
        <f>+場所マスタ[[#This Row],[表示名]]</f>
        <v>ゴート島</v>
      </c>
      <c r="B4" s="20">
        <v>29.58</v>
      </c>
      <c r="C4" s="20">
        <v>1.94</v>
      </c>
      <c r="D4" s="20">
        <f t="shared" si="0"/>
        <v>632.49999999999989</v>
      </c>
      <c r="E4" s="20">
        <f t="shared" si="1"/>
        <v>379.5</v>
      </c>
    </row>
    <row r="5" spans="1:6">
      <c r="A5" s="20" t="str">
        <f>+場所マスタ[[#This Row],[表示名]]</f>
        <v>シェルズタウン</v>
      </c>
      <c r="B5" s="20">
        <v>29.88</v>
      </c>
      <c r="C5" s="20">
        <v>1.02</v>
      </c>
      <c r="D5" s="20">
        <f t="shared" si="0"/>
        <v>647.5</v>
      </c>
      <c r="E5" s="20">
        <f t="shared" si="1"/>
        <v>425.5</v>
      </c>
    </row>
    <row r="6" spans="1:6">
      <c r="A6" s="20" t="str">
        <f>+場所マスタ[[#This Row],[表示名]]</f>
        <v>シモツキ村</v>
      </c>
      <c r="B6" s="20">
        <v>30.82</v>
      </c>
      <c r="C6" s="20">
        <v>1.32</v>
      </c>
      <c r="D6" s="20">
        <f t="shared" si="0"/>
        <v>694.5</v>
      </c>
      <c r="E6" s="20">
        <f t="shared" si="1"/>
        <v>410.49999999999994</v>
      </c>
    </row>
    <row r="7" spans="1:6">
      <c r="A7" s="20" t="str">
        <f>+場所マスタ[[#This Row],[表示名]]</f>
        <v>オレンジの町</v>
      </c>
      <c r="B7" s="20">
        <v>27.83</v>
      </c>
      <c r="C7" s="20">
        <v>2.68</v>
      </c>
      <c r="D7" s="20">
        <f t="shared" si="0"/>
        <v>544.99999999999989</v>
      </c>
      <c r="E7" s="20">
        <f t="shared" si="1"/>
        <v>342.5</v>
      </c>
    </row>
    <row r="8" spans="1:6">
      <c r="A8" s="20" t="str">
        <f>+場所マスタ[[#This Row],[表示名]]</f>
        <v>不明</v>
      </c>
      <c r="B8" s="20">
        <v>18.350000000000001</v>
      </c>
      <c r="C8" s="20">
        <v>0.97</v>
      </c>
      <c r="D8" s="20">
        <f t="shared" si="0"/>
        <v>71.000000000000085</v>
      </c>
      <c r="E8" s="20">
        <f t="shared" si="1"/>
        <v>427.99999999999994</v>
      </c>
    </row>
    <row r="9" spans="1:6">
      <c r="A9" s="20" t="str">
        <f>+場所マスタ[[#This Row],[表示名]]</f>
        <v>シェルズタウン近海</v>
      </c>
      <c r="B9" s="20">
        <v>29.88</v>
      </c>
      <c r="C9" s="20">
        <v>1.39</v>
      </c>
      <c r="D9" s="20">
        <f t="shared" ref="D9:D30" si="2">IF(B9="","",(B9-16.93)*50)</f>
        <v>647.5</v>
      </c>
      <c r="E9" s="20">
        <f t="shared" ref="E9:E30" si="3">IF(C9="","",(9.53-C9)*50)</f>
        <v>406.99999999999994</v>
      </c>
    </row>
    <row r="10" spans="1:6">
      <c r="A10" s="20" t="str">
        <f>+場所マスタ[[#This Row],[表示名]]</f>
        <v>珍獣島</v>
      </c>
      <c r="B10" s="20">
        <v>26.67</v>
      </c>
      <c r="C10" s="20">
        <v>3.14</v>
      </c>
      <c r="D10" s="20">
        <f t="shared" si="2"/>
        <v>487.00000000000011</v>
      </c>
      <c r="E10" s="20">
        <f t="shared" si="3"/>
        <v>319.49999999999994</v>
      </c>
    </row>
    <row r="11" spans="1:6">
      <c r="A11" s="20" t="str">
        <f>+場所マスタ[[#This Row],[表示名]]</f>
        <v>シロップ村</v>
      </c>
      <c r="B11" s="20">
        <v>25.43</v>
      </c>
      <c r="C11" s="20">
        <v>3.91</v>
      </c>
      <c r="D11" s="20">
        <f t="shared" si="2"/>
        <v>425</v>
      </c>
      <c r="E11" s="20">
        <f t="shared" si="3"/>
        <v>280.99999999999994</v>
      </c>
    </row>
    <row r="12" spans="1:6">
      <c r="A12" s="20" t="str">
        <f>+場所マスタ[[#This Row],[表示名]]</f>
        <v>オレンジの町近海</v>
      </c>
      <c r="B12" s="20">
        <v>28.26</v>
      </c>
      <c r="C12" s="20">
        <v>2.95</v>
      </c>
      <c r="D12" s="20">
        <f t="shared" si="2"/>
        <v>566.50000000000011</v>
      </c>
      <c r="E12" s="20">
        <f t="shared" si="3"/>
        <v>328.99999999999994</v>
      </c>
    </row>
    <row r="13" spans="1:6">
      <c r="A13" s="20" t="str">
        <f>+場所マスタ[[#This Row],[表示名]]</f>
        <v>シロップ村近海</v>
      </c>
      <c r="B13" s="20">
        <v>25.06</v>
      </c>
      <c r="C13" s="20">
        <v>4.26</v>
      </c>
      <c r="D13" s="20">
        <f t="shared" si="2"/>
        <v>406.49999999999994</v>
      </c>
      <c r="E13" s="20">
        <f t="shared" si="3"/>
        <v>263.5</v>
      </c>
    </row>
    <row r="14" spans="1:6">
      <c r="A14" s="20" t="str">
        <f>+場所マスタ[[#This Row],[表示名]]</f>
        <v>バラティエ</v>
      </c>
      <c r="B14" s="20">
        <v>24.48</v>
      </c>
      <c r="C14" s="20">
        <v>5.79</v>
      </c>
      <c r="D14" s="20">
        <f t="shared" si="2"/>
        <v>377.50000000000006</v>
      </c>
      <c r="E14" s="20">
        <f t="shared" si="3"/>
        <v>186.99999999999997</v>
      </c>
    </row>
    <row r="15" spans="1:6">
      <c r="A15" s="20" t="str">
        <f>+場所マスタ[[#This Row],[表示名]]</f>
        <v>珍獣島近海</v>
      </c>
      <c r="B15" s="20">
        <v>26.91</v>
      </c>
      <c r="C15" s="20">
        <v>3.5</v>
      </c>
      <c r="D15" s="20">
        <f t="shared" si="2"/>
        <v>499</v>
      </c>
      <c r="E15" s="20">
        <f t="shared" si="3"/>
        <v>301.49999999999994</v>
      </c>
    </row>
    <row r="16" spans="1:6">
      <c r="A16" s="20" t="str">
        <f>+場所マスタ[[#This Row],[表示名]]</f>
        <v>バラティエ近海</v>
      </c>
      <c r="B16" s="20">
        <v>25.96</v>
      </c>
      <c r="C16" s="20">
        <v>6</v>
      </c>
      <c r="D16" s="20">
        <f t="shared" si="2"/>
        <v>451.50000000000006</v>
      </c>
      <c r="E16" s="20">
        <f t="shared" si="3"/>
        <v>176.49999999999997</v>
      </c>
    </row>
    <row r="17" spans="1:6">
      <c r="A17" s="20" t="str">
        <f>+場所マスタ[[#This Row],[表示名]]</f>
        <v>先住民のいる島</v>
      </c>
      <c r="B17" s="20">
        <v>28.19</v>
      </c>
      <c r="C17" s="20">
        <v>1.86</v>
      </c>
      <c r="D17" s="20">
        <f t="shared" si="2"/>
        <v>563.00000000000011</v>
      </c>
      <c r="E17" s="20">
        <f t="shared" si="3"/>
        <v>383.49999999999994</v>
      </c>
      <c r="F17" s="29" t="s">
        <v>2045</v>
      </c>
    </row>
    <row r="18" spans="1:6">
      <c r="A18" s="20" t="str">
        <f>+場所マスタ[[#This Row],[表示名]]</f>
        <v>ココヤシ村</v>
      </c>
      <c r="B18" s="20">
        <v>23.63</v>
      </c>
      <c r="C18" s="20">
        <v>2.4900000000000002</v>
      </c>
      <c r="D18" s="20">
        <f t="shared" si="2"/>
        <v>334.99999999999994</v>
      </c>
      <c r="E18" s="20">
        <f t="shared" si="3"/>
        <v>351.99999999999994</v>
      </c>
    </row>
    <row r="19" spans="1:6">
      <c r="A19" s="20" t="str">
        <f>+場所マスタ[[#This Row],[表示名]]</f>
        <v>アーロンパーク</v>
      </c>
      <c r="B19" s="20">
        <v>23.44</v>
      </c>
      <c r="C19" s="20">
        <v>2.42</v>
      </c>
      <c r="D19" s="20">
        <f t="shared" si="2"/>
        <v>325.50000000000006</v>
      </c>
      <c r="E19" s="20">
        <f t="shared" si="3"/>
        <v>355.5</v>
      </c>
    </row>
    <row r="20" spans="1:6">
      <c r="A20" s="20" t="str">
        <f>+場所マスタ[[#This Row],[表示名]]</f>
        <v>ゴサの町</v>
      </c>
      <c r="B20" s="20">
        <v>23.82</v>
      </c>
      <c r="C20" s="20">
        <v>2.54</v>
      </c>
      <c r="D20" s="20">
        <f t="shared" si="2"/>
        <v>344.5</v>
      </c>
      <c r="E20" s="20">
        <f t="shared" si="3"/>
        <v>349.49999999999994</v>
      </c>
    </row>
    <row r="21" spans="1:6">
      <c r="A21" s="20" t="str">
        <f>+場所マスタ[[#This Row],[表示名]]</f>
        <v>アーロンパーク近海</v>
      </c>
      <c r="B21" s="20">
        <v>24.03</v>
      </c>
      <c r="C21" s="20">
        <v>3.75</v>
      </c>
      <c r="D21" s="20">
        <f t="shared" si="2"/>
        <v>355.00000000000006</v>
      </c>
      <c r="E21" s="20">
        <f t="shared" si="3"/>
        <v>288.99999999999994</v>
      </c>
    </row>
    <row r="22" spans="1:6">
      <c r="A22" s="20" t="str">
        <f>+場所マスタ[[#This Row],[表示名]]</f>
        <v>ローグタウン</v>
      </c>
      <c r="B22" s="20">
        <v>20.13</v>
      </c>
      <c r="C22" s="20">
        <v>7.47</v>
      </c>
      <c r="D22" s="20">
        <f t="shared" si="2"/>
        <v>159.99999999999997</v>
      </c>
      <c r="E22" s="20">
        <f t="shared" si="3"/>
        <v>102.99999999999999</v>
      </c>
    </row>
    <row r="23" spans="1:6">
      <c r="A23" s="20" t="str">
        <f>+場所マスタ[[#This Row],[表示名]]</f>
        <v>とある島</v>
      </c>
      <c r="B23" s="20">
        <v>26.95</v>
      </c>
      <c r="C23" s="20">
        <v>8.85</v>
      </c>
      <c r="D23" s="20">
        <f t="shared" si="2"/>
        <v>501</v>
      </c>
      <c r="E23" s="20">
        <f t="shared" si="3"/>
        <v>33.999999999999986</v>
      </c>
    </row>
    <row r="24" spans="1:6">
      <c r="A24" s="20" t="str">
        <f>+場所マスタ[[#This Row],[表示名]]</f>
        <v>東の海付近凪の帯</v>
      </c>
      <c r="B24" s="20">
        <v>19.309999999999999</v>
      </c>
      <c r="C24" s="20">
        <v>8.25</v>
      </c>
      <c r="D24" s="20">
        <f t="shared" si="2"/>
        <v>118.99999999999994</v>
      </c>
      <c r="E24" s="20">
        <f t="shared" si="3"/>
        <v>63.999999999999972</v>
      </c>
    </row>
    <row r="25" spans="1:6">
      <c r="A25" s="20" t="str">
        <f>+場所マスタ[[#This Row],[表示名]]</f>
        <v>リヴァース・マウンテン</v>
      </c>
      <c r="B25" s="20">
        <v>16.93</v>
      </c>
      <c r="C25" s="20">
        <v>9.5299999999999994</v>
      </c>
      <c r="D25" s="20">
        <f t="shared" si="2"/>
        <v>0</v>
      </c>
      <c r="E25" s="20">
        <f t="shared" si="3"/>
        <v>0</v>
      </c>
    </row>
    <row r="26" spans="1:6">
      <c r="A26" s="20" t="str">
        <f>+場所マスタ[[#This Row],[表示名]]</f>
        <v>双子岬</v>
      </c>
      <c r="B26" s="20">
        <v>18.62</v>
      </c>
      <c r="C26" s="20">
        <v>9.9700000000000006</v>
      </c>
      <c r="D26" s="20">
        <f t="shared" si="2"/>
        <v>84.500000000000057</v>
      </c>
      <c r="E26" s="20">
        <f t="shared" si="3"/>
        <v>-22.000000000000064</v>
      </c>
    </row>
    <row r="27" spans="1:6">
      <c r="A27" s="20" t="str">
        <f>+場所マスタ[[#This Row],[表示名]]</f>
        <v>ウイスキーピーク</v>
      </c>
      <c r="B27">
        <v>19.53</v>
      </c>
      <c r="C27">
        <v>9.6999999999999993</v>
      </c>
      <c r="D27" s="20">
        <f t="shared" si="2"/>
        <v>130.00000000000006</v>
      </c>
      <c r="E27" s="20">
        <f t="shared" si="3"/>
        <v>-8.4999999999999964</v>
      </c>
      <c r="F27" s="29"/>
    </row>
    <row r="28" spans="1:6">
      <c r="A28" s="20" t="str">
        <f>+場所マスタ[[#This Row],[表示名]]</f>
        <v>リトルガーデン</v>
      </c>
      <c r="B28">
        <v>20.56</v>
      </c>
      <c r="C28">
        <v>9.49</v>
      </c>
      <c r="D28" s="20">
        <f t="shared" si="2"/>
        <v>181.49999999999994</v>
      </c>
      <c r="E28" s="20">
        <f t="shared" si="3"/>
        <v>1.9999999999999574</v>
      </c>
    </row>
    <row r="29" spans="1:6">
      <c r="A29" s="20" t="str">
        <f>+場所マスタ[[#This Row],[表示名]]</f>
        <v>キューカ島</v>
      </c>
      <c r="B29">
        <v>20.86</v>
      </c>
      <c r="C29">
        <v>10.17</v>
      </c>
      <c r="D29" s="20">
        <f t="shared" si="2"/>
        <v>196.5</v>
      </c>
      <c r="E29" s="20">
        <f t="shared" si="3"/>
        <v>-32.000000000000028</v>
      </c>
    </row>
    <row r="30" spans="1:6">
      <c r="A30" s="20" t="str">
        <f>+場所マスタ[[#This Row],[表示名]]</f>
        <v>海軍本部</v>
      </c>
      <c r="B30">
        <v>30.62</v>
      </c>
      <c r="C30">
        <v>9.2799999999999994</v>
      </c>
      <c r="D30" s="20">
        <f t="shared" si="2"/>
        <v>684.50000000000011</v>
      </c>
      <c r="E30" s="20">
        <f t="shared" si="3"/>
        <v>12.5</v>
      </c>
    </row>
  </sheetData>
  <phoneticPr fontId="1"/>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vt:i4>
      </vt:variant>
    </vt:vector>
  </HeadingPairs>
  <TitlesOfParts>
    <vt:vector size="17" baseType="lpstr">
      <vt:lpstr>キャラクターマスタ</vt:lpstr>
      <vt:lpstr>悪魔の実マスタ</vt:lpstr>
      <vt:lpstr>刀・武器マスタ</vt:lpstr>
      <vt:lpstr>船マスタ</vt:lpstr>
      <vt:lpstr>場所マスタ</vt:lpstr>
      <vt:lpstr>技マスタ</vt:lpstr>
      <vt:lpstr>勢力マスタ</vt:lpstr>
      <vt:lpstr>懸賞金・肩書ログ</vt:lpstr>
      <vt:lpstr>航海日誌</vt:lpstr>
      <vt:lpstr>戦闘ログ</vt:lpstr>
      <vt:lpstr>技ログ</vt:lpstr>
      <vt:lpstr>所属ログ</vt:lpstr>
      <vt:lpstr>悪魔の実ログ</vt:lpstr>
      <vt:lpstr>巻数対応表</vt:lpstr>
      <vt:lpstr>サブタイトルデータ</vt:lpstr>
      <vt:lpstr>座標変換シート</vt:lpstr>
      <vt:lpstr>所属ログ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2016014</cp:lastModifiedBy>
  <cp:lastPrinted>2026-05-01T07:22:01Z</cp:lastPrinted>
  <dcterms:created xsi:type="dcterms:W3CDTF">2020-10-11T16:35:06Z</dcterms:created>
  <dcterms:modified xsi:type="dcterms:W3CDTF">2026-06-11T00:48:05Z</dcterms:modified>
</cp:coreProperties>
</file>