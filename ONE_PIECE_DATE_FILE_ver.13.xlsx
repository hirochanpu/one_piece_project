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2.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showInkAnnotation="0" defaultThemeVersion="166925"/>
  <mc:AlternateContent xmlns:mc="http://schemas.openxmlformats.org/markup-compatibility/2006">
    <mc:Choice Requires="x15">
      <x15ac:absPath xmlns:x15ac="http://schemas.microsoft.com/office/spreadsheetml/2010/11/ac" url="/Users/ochiaihiroki/Desktop/onepiece_project/"/>
    </mc:Choice>
  </mc:AlternateContent>
  <xr:revisionPtr revIDLastSave="0" documentId="13_ncr:1_{08C56BC4-99DE-1D4A-9075-7C74E3B37EF0}" xr6:coauthVersionLast="47" xr6:coauthVersionMax="47" xr10:uidLastSave="{00000000-0000-0000-0000-000000000000}"/>
  <bookViews>
    <workbookView xWindow="4320" yWindow="600" windowWidth="24480" windowHeight="11920" activeTab="4" xr2:uid="{3A80759A-BF7E-420F-B184-33421E055B70}"/>
  </bookViews>
  <sheets>
    <sheet name="キャラクターマスタ" sheetId="59" r:id="rId1"/>
    <sheet name="悪魔の実マスタ" sheetId="69" r:id="rId2"/>
    <sheet name="刀・武器マスタ" sheetId="57" r:id="rId3"/>
    <sheet name="船マスタ" sheetId="70" r:id="rId4"/>
    <sheet name="場所マスタ" sheetId="63" r:id="rId5"/>
    <sheet name="技マスタ" sheetId="72" r:id="rId6"/>
    <sheet name="勢力マスタ" sheetId="67" r:id="rId7"/>
    <sheet name="懸賞金・肩書ログ" sheetId="53" r:id="rId8"/>
    <sheet name="航海日誌" sheetId="54" r:id="rId9"/>
    <sheet name="戦闘ログ" sheetId="65" r:id="rId10"/>
    <sheet name="技ログ" sheetId="55" r:id="rId11"/>
    <sheet name="所属ログ" sheetId="60" r:id="rId12"/>
    <sheet name="悪魔の実ログ" sheetId="68" r:id="rId13"/>
    <sheet name="巻数対応表" sheetId="61" r:id="rId14"/>
    <sheet name="サブタイトルデータ" sheetId="62" r:id="rId15"/>
    <sheet name="座標変換シート" sheetId="73" r:id="rId16"/>
  </sheets>
  <definedNames>
    <definedName name="_xlnm._FilterDatabase" localSheetId="0" hidden="1">キャラクターマスタ!$A$1:$AP$145</definedName>
    <definedName name="データリスト" localSheetId="1">#REF!</definedName>
    <definedName name="データリスト" localSheetId="5">#REF!</definedName>
    <definedName name="データリスト" localSheetId="3">#REF!</definedName>
    <definedName name="データリスト">#REF!</definedName>
    <definedName name="懸賞金リスト" localSheetId="1">#REF!</definedName>
    <definedName name="懸賞金リスト" localSheetId="5">#REF!</definedName>
    <definedName name="懸賞金リスト" localSheetId="3">#REF!</definedName>
    <definedName name="懸賞金リスト">#REF!</definedName>
    <definedName name="所属ログ">テーブル7[]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2" i="63" l="1"/>
  <c r="I2" i="63"/>
  <c r="K2" i="72"/>
  <c r="K3" i="72"/>
  <c r="K4" i="72"/>
  <c r="K5" i="72"/>
  <c r="K6" i="72"/>
  <c r="K7" i="72"/>
  <c r="K8" i="72"/>
  <c r="K9" i="72"/>
  <c r="K10" i="72"/>
  <c r="K11" i="72"/>
  <c r="K12" i="72"/>
  <c r="K13" i="72"/>
  <c r="K14" i="72"/>
  <c r="K15" i="72"/>
  <c r="K16" i="72"/>
  <c r="K17" i="72"/>
  <c r="K18" i="72"/>
  <c r="K19" i="72"/>
  <c r="K20" i="72"/>
  <c r="K21" i="72"/>
  <c r="K22" i="72"/>
  <c r="K23" i="72"/>
  <c r="K24" i="72"/>
  <c r="K25" i="72"/>
  <c r="K26" i="72"/>
  <c r="K27" i="72"/>
  <c r="K28" i="72"/>
  <c r="K29" i="72"/>
  <c r="K30" i="72"/>
  <c r="K31" i="72"/>
  <c r="K32" i="72"/>
  <c r="K33" i="72"/>
  <c r="K34" i="72"/>
  <c r="K35" i="72"/>
  <c r="K36" i="72"/>
  <c r="K37" i="72"/>
  <c r="K38" i="72"/>
  <c r="K39" i="72"/>
  <c r="K40" i="72"/>
  <c r="K41" i="72"/>
  <c r="K42" i="72"/>
  <c r="K43" i="72"/>
  <c r="K44" i="72"/>
  <c r="K45" i="72"/>
  <c r="K46" i="72"/>
  <c r="K47" i="72"/>
  <c r="K48" i="72"/>
  <c r="K49" i="72"/>
  <c r="K50" i="72"/>
  <c r="K51" i="72"/>
  <c r="K52" i="72"/>
  <c r="K53" i="72"/>
  <c r="K54" i="72"/>
  <c r="K55" i="72"/>
  <c r="K56" i="72"/>
  <c r="K57" i="72"/>
  <c r="K58" i="72"/>
  <c r="K59" i="72"/>
  <c r="K60" i="72"/>
  <c r="K61" i="72"/>
  <c r="K62" i="72"/>
  <c r="K63" i="72"/>
  <c r="K64" i="72"/>
  <c r="K65" i="72"/>
  <c r="K66" i="72"/>
  <c r="K67" i="72"/>
  <c r="K68" i="72"/>
  <c r="K69" i="72"/>
  <c r="K70" i="72"/>
  <c r="K71" i="72"/>
  <c r="K72" i="72"/>
  <c r="K73" i="72"/>
  <c r="K74" i="72"/>
  <c r="K75" i="72"/>
  <c r="K76" i="72"/>
  <c r="K77" i="72"/>
  <c r="K78" i="72"/>
  <c r="K79" i="72"/>
  <c r="K80" i="72"/>
  <c r="K81" i="72"/>
  <c r="K82" i="72"/>
  <c r="K83" i="72"/>
  <c r="K84" i="72"/>
  <c r="K85" i="72"/>
  <c r="K86" i="72"/>
  <c r="K87" i="72"/>
  <c r="K88" i="72"/>
  <c r="K89" i="72"/>
  <c r="K90" i="72"/>
  <c r="K91" i="72"/>
  <c r="K92" i="72"/>
  <c r="K93" i="72"/>
  <c r="K94" i="72"/>
  <c r="K95" i="72"/>
  <c r="K96" i="72"/>
  <c r="K97" i="72"/>
  <c r="K98" i="72"/>
  <c r="K99" i="72"/>
  <c r="K100" i="72"/>
  <c r="K101" i="72"/>
  <c r="K102" i="72"/>
  <c r="K103" i="72"/>
  <c r="K104" i="72"/>
  <c r="K105" i="72"/>
  <c r="K106" i="72"/>
  <c r="K107" i="72"/>
  <c r="K108" i="72"/>
  <c r="K109" i="72"/>
  <c r="K110" i="72"/>
  <c r="K111" i="72"/>
  <c r="K112" i="72"/>
  <c r="K113" i="72"/>
  <c r="K114" i="72"/>
  <c r="K115" i="72"/>
  <c r="K116" i="72"/>
  <c r="K117" i="72"/>
  <c r="K118" i="72"/>
  <c r="K119" i="72"/>
  <c r="K120" i="72"/>
  <c r="K121" i="72"/>
  <c r="H183" i="55"/>
  <c r="D183" i="55"/>
  <c r="B183" i="55"/>
  <c r="H181" i="55"/>
  <c r="D181" i="55"/>
  <c r="B181" i="55"/>
  <c r="H180" i="55"/>
  <c r="D180" i="55"/>
  <c r="B180" i="55"/>
  <c r="H177" i="55"/>
  <c r="D177" i="55"/>
  <c r="B177" i="55"/>
  <c r="H173" i="55"/>
  <c r="D173" i="55"/>
  <c r="B173" i="55"/>
  <c r="D112" i="72"/>
  <c r="D113" i="72"/>
  <c r="D114" i="72"/>
  <c r="D115" i="72"/>
  <c r="D116" i="72"/>
  <c r="D117" i="72"/>
  <c r="D118" i="72"/>
  <c r="D119" i="72"/>
  <c r="D120" i="72"/>
  <c r="D121" i="72"/>
  <c r="J112" i="72"/>
  <c r="J113" i="72"/>
  <c r="J114" i="72"/>
  <c r="J115" i="72"/>
  <c r="J116" i="72"/>
  <c r="J117" i="72"/>
  <c r="J118" i="72"/>
  <c r="J119" i="72"/>
  <c r="J120" i="72"/>
  <c r="J121" i="72"/>
  <c r="B6" i="68"/>
  <c r="B7" i="68"/>
  <c r="B8" i="68"/>
  <c r="B9" i="68"/>
  <c r="C6" i="68"/>
  <c r="C7" i="68"/>
  <c r="C8" i="68"/>
  <c r="C9" i="68"/>
  <c r="E6" i="68"/>
  <c r="E7" i="68"/>
  <c r="E8" i="68"/>
  <c r="E9" i="68"/>
  <c r="Z133" i="59"/>
  <c r="Z134" i="59"/>
  <c r="Z135" i="59"/>
  <c r="Z136" i="59"/>
  <c r="Z137" i="59"/>
  <c r="Z138" i="59"/>
  <c r="Z139" i="59"/>
  <c r="Z140" i="59"/>
  <c r="Z141" i="59"/>
  <c r="Z142" i="59"/>
  <c r="Z143" i="59"/>
  <c r="Z144" i="59"/>
  <c r="I28" i="63"/>
  <c r="H28" i="63"/>
  <c r="E28" i="73"/>
  <c r="D28" i="73"/>
  <c r="A28" i="73"/>
  <c r="E7" i="69" l="1"/>
  <c r="E8" i="69"/>
  <c r="E9" i="69"/>
  <c r="E10" i="69"/>
  <c r="E11" i="69"/>
  <c r="H133" i="59"/>
  <c r="H134" i="59"/>
  <c r="H135" i="59"/>
  <c r="H136" i="59"/>
  <c r="H137" i="59"/>
  <c r="H138" i="59"/>
  <c r="H139" i="59"/>
  <c r="H140" i="59"/>
  <c r="H141" i="59"/>
  <c r="H142" i="59"/>
  <c r="H143" i="59"/>
  <c r="H144" i="59"/>
  <c r="D137" i="59"/>
  <c r="D133" i="59"/>
  <c r="D134" i="59"/>
  <c r="D135" i="59"/>
  <c r="D136" i="59"/>
  <c r="D138" i="59"/>
  <c r="D139" i="59"/>
  <c r="D140" i="59"/>
  <c r="D141" i="59"/>
  <c r="D142" i="59"/>
  <c r="D143" i="59"/>
  <c r="D144" i="59"/>
  <c r="K67" i="60" l="1"/>
  <c r="K66" i="60"/>
  <c r="K65" i="60"/>
  <c r="D166" i="55"/>
  <c r="B166" i="55"/>
  <c r="H165" i="55"/>
  <c r="D165" i="55"/>
  <c r="B165" i="55"/>
  <c r="H162" i="55"/>
  <c r="D162" i="55"/>
  <c r="B162" i="55"/>
  <c r="H163" i="55"/>
  <c r="H164" i="55"/>
  <c r="H167" i="55"/>
  <c r="H168" i="55"/>
  <c r="H169" i="55"/>
  <c r="H170" i="55"/>
  <c r="H171" i="55"/>
  <c r="H172" i="55"/>
  <c r="H174" i="55"/>
  <c r="H175" i="55"/>
  <c r="H176" i="55"/>
  <c r="H178" i="55"/>
  <c r="H179" i="55"/>
  <c r="H182" i="55"/>
  <c r="H184" i="55"/>
  <c r="H185" i="55"/>
  <c r="H186" i="55"/>
  <c r="H187" i="55"/>
  <c r="H188" i="55"/>
  <c r="H189" i="55"/>
  <c r="H190" i="55"/>
  <c r="H191" i="55"/>
  <c r="H158" i="55"/>
  <c r="H159" i="55"/>
  <c r="H160" i="55"/>
  <c r="H161" i="55"/>
  <c r="D163" i="55"/>
  <c r="D164" i="55"/>
  <c r="D167" i="55"/>
  <c r="D168" i="55"/>
  <c r="D169" i="55"/>
  <c r="D170" i="55"/>
  <c r="D171" i="55"/>
  <c r="D172" i="55"/>
  <c r="D174" i="55"/>
  <c r="D175" i="55"/>
  <c r="D176" i="55"/>
  <c r="D178" i="55"/>
  <c r="D179" i="55"/>
  <c r="D182" i="55"/>
  <c r="D184" i="55"/>
  <c r="D185" i="55"/>
  <c r="D186" i="55"/>
  <c r="D187" i="55"/>
  <c r="D188" i="55"/>
  <c r="D189" i="55"/>
  <c r="D190" i="55"/>
  <c r="D191" i="55"/>
  <c r="B163" i="55"/>
  <c r="B164" i="55"/>
  <c r="B167" i="55"/>
  <c r="B168" i="55"/>
  <c r="B169" i="55"/>
  <c r="B170" i="55"/>
  <c r="B171" i="55"/>
  <c r="B172" i="55"/>
  <c r="B174" i="55"/>
  <c r="B175" i="55"/>
  <c r="B176" i="55"/>
  <c r="B178" i="55"/>
  <c r="B179" i="55"/>
  <c r="B182" i="55"/>
  <c r="B184" i="55"/>
  <c r="B185" i="55"/>
  <c r="B186" i="55"/>
  <c r="B187" i="55"/>
  <c r="B188" i="55"/>
  <c r="B189" i="55"/>
  <c r="B190" i="55"/>
  <c r="B191" i="55"/>
  <c r="B217" i="54"/>
  <c r="B218" i="54"/>
  <c r="B219" i="54"/>
  <c r="B220" i="54"/>
  <c r="B221" i="54"/>
  <c r="B222" i="54"/>
  <c r="B223" i="54"/>
  <c r="B224" i="54"/>
  <c r="H217" i="54"/>
  <c r="H218" i="54"/>
  <c r="H219" i="54"/>
  <c r="H220" i="54"/>
  <c r="H221" i="54"/>
  <c r="H222" i="54"/>
  <c r="H223" i="54"/>
  <c r="H224" i="54"/>
  <c r="L217" i="54"/>
  <c r="L218" i="54"/>
  <c r="L219" i="54"/>
  <c r="L220" i="54"/>
  <c r="L221" i="54"/>
  <c r="L222" i="54"/>
  <c r="L223" i="54"/>
  <c r="L224" i="54"/>
  <c r="B215" i="54"/>
  <c r="B216" i="54"/>
  <c r="H215" i="54"/>
  <c r="H216" i="54"/>
  <c r="L215" i="54"/>
  <c r="L216" i="54"/>
  <c r="K64" i="60"/>
  <c r="B64" i="60"/>
  <c r="B65" i="60"/>
  <c r="B66" i="60"/>
  <c r="B67" i="60"/>
  <c r="B68" i="60"/>
  <c r="B69" i="60"/>
  <c r="B70" i="60"/>
  <c r="B71" i="60"/>
  <c r="D64" i="60"/>
  <c r="D65" i="60"/>
  <c r="D66" i="60"/>
  <c r="D67" i="60"/>
  <c r="D68" i="60"/>
  <c r="D69" i="60"/>
  <c r="D70" i="60"/>
  <c r="D71" i="60"/>
  <c r="K68" i="60"/>
  <c r="K69" i="60"/>
  <c r="K70" i="60"/>
  <c r="K71" i="60"/>
  <c r="E27" i="73"/>
  <c r="I27" i="63" s="1"/>
  <c r="D27" i="73"/>
  <c r="H27" i="63" s="1"/>
  <c r="A3" i="73"/>
  <c r="A4" i="73"/>
  <c r="A5" i="73"/>
  <c r="A6" i="73"/>
  <c r="A7" i="73"/>
  <c r="A8" i="73"/>
  <c r="A9" i="73"/>
  <c r="A10" i="73"/>
  <c r="A11" i="73"/>
  <c r="A12" i="73"/>
  <c r="A13" i="73"/>
  <c r="A14" i="73"/>
  <c r="A15" i="73"/>
  <c r="A16" i="73"/>
  <c r="A17" i="73"/>
  <c r="A18" i="73"/>
  <c r="A19" i="73"/>
  <c r="A20" i="73"/>
  <c r="A21" i="73"/>
  <c r="A22" i="73"/>
  <c r="A23" i="73"/>
  <c r="A24" i="73"/>
  <c r="A25" i="73"/>
  <c r="A26" i="73"/>
  <c r="A27" i="73"/>
  <c r="A2" i="73"/>
  <c r="D9" i="73" l="1"/>
  <c r="H9" i="63" s="1"/>
  <c r="E9" i="73"/>
  <c r="D10" i="73"/>
  <c r="H10" i="63" s="1"/>
  <c r="E10" i="73"/>
  <c r="I10" i="63" s="1"/>
  <c r="D11" i="73"/>
  <c r="H11" i="63" s="1"/>
  <c r="E11" i="73"/>
  <c r="I11" i="63" s="1"/>
  <c r="D12" i="73"/>
  <c r="H12" i="63" s="1"/>
  <c r="E12" i="73"/>
  <c r="I12" i="63" s="1"/>
  <c r="D13" i="73"/>
  <c r="H13" i="63" s="1"/>
  <c r="E13" i="73"/>
  <c r="I13" i="63" s="1"/>
  <c r="D14" i="73"/>
  <c r="H14" i="63" s="1"/>
  <c r="E14" i="73"/>
  <c r="I14" i="63" s="1"/>
  <c r="D15" i="73"/>
  <c r="H15" i="63" s="1"/>
  <c r="E15" i="73"/>
  <c r="I15" i="63" s="1"/>
  <c r="D16" i="73"/>
  <c r="H16" i="63" s="1"/>
  <c r="E16" i="73"/>
  <c r="I16" i="63" s="1"/>
  <c r="D17" i="73"/>
  <c r="H17" i="63" s="1"/>
  <c r="E17" i="73"/>
  <c r="I17" i="63" s="1"/>
  <c r="D18" i="73"/>
  <c r="H18" i="63" s="1"/>
  <c r="E18" i="73"/>
  <c r="I18" i="63" s="1"/>
  <c r="D19" i="73"/>
  <c r="H19" i="63" s="1"/>
  <c r="E19" i="73"/>
  <c r="I19" i="63" s="1"/>
  <c r="D20" i="73"/>
  <c r="H20" i="63" s="1"/>
  <c r="E20" i="73"/>
  <c r="I20" i="63" s="1"/>
  <c r="D21" i="73"/>
  <c r="H21" i="63" s="1"/>
  <c r="E21" i="73"/>
  <c r="D22" i="73"/>
  <c r="E22" i="73"/>
  <c r="I22" i="63" s="1"/>
  <c r="D23" i="73"/>
  <c r="H23" i="63" s="1"/>
  <c r="E23" i="73"/>
  <c r="I23" i="63" s="1"/>
  <c r="D24" i="73"/>
  <c r="H24" i="63" s="1"/>
  <c r="E24" i="73"/>
  <c r="I24" i="63" s="1"/>
  <c r="D25" i="73"/>
  <c r="H25" i="63" s="1"/>
  <c r="E25" i="73"/>
  <c r="I25" i="63" s="1"/>
  <c r="D26" i="73"/>
  <c r="H26" i="63" s="1"/>
  <c r="E26" i="73"/>
  <c r="I26" i="63" s="1"/>
  <c r="I9" i="63"/>
  <c r="I21" i="63"/>
  <c r="H22" i="63"/>
  <c r="D3" i="73"/>
  <c r="H3" i="63" s="1"/>
  <c r="E3" i="73"/>
  <c r="I3" i="63" s="1"/>
  <c r="D4" i="73"/>
  <c r="H4" i="63" s="1"/>
  <c r="E4" i="73"/>
  <c r="I4" i="63" s="1"/>
  <c r="D5" i="73"/>
  <c r="H5" i="63" s="1"/>
  <c r="E5" i="73"/>
  <c r="I5" i="63" s="1"/>
  <c r="D6" i="73"/>
  <c r="H6" i="63" s="1"/>
  <c r="E6" i="73"/>
  <c r="I6" i="63" s="1"/>
  <c r="D7" i="73"/>
  <c r="H7" i="63" s="1"/>
  <c r="E7" i="73"/>
  <c r="I7" i="63" s="1"/>
  <c r="D8" i="73"/>
  <c r="H8" i="63" s="1"/>
  <c r="E8" i="73"/>
  <c r="I8" i="63" s="1"/>
  <c r="E2" i="73"/>
  <c r="D2" i="73"/>
  <c r="B205" i="54" l="1"/>
  <c r="B206" i="54"/>
  <c r="B207" i="54"/>
  <c r="B208" i="54"/>
  <c r="B209" i="54"/>
  <c r="B210" i="54"/>
  <c r="B211" i="54"/>
  <c r="B212" i="54"/>
  <c r="B213" i="54"/>
  <c r="B214" i="54"/>
  <c r="H205" i="54"/>
  <c r="H206" i="54"/>
  <c r="H207" i="54"/>
  <c r="H208" i="54"/>
  <c r="H209" i="54"/>
  <c r="H210" i="54"/>
  <c r="H211" i="54"/>
  <c r="H212" i="54"/>
  <c r="H213" i="54"/>
  <c r="H214" i="54"/>
  <c r="L205" i="54"/>
  <c r="L206" i="54"/>
  <c r="L207" i="54"/>
  <c r="L208" i="54"/>
  <c r="L209" i="54"/>
  <c r="L210" i="54"/>
  <c r="L211" i="54"/>
  <c r="L212" i="54"/>
  <c r="L213" i="54"/>
  <c r="L214" i="54"/>
  <c r="B189" i="54"/>
  <c r="H189" i="54"/>
  <c r="L189" i="54"/>
  <c r="Z119" i="59"/>
  <c r="Z120" i="59"/>
  <c r="Z121" i="59"/>
  <c r="Z122" i="59"/>
  <c r="Z123" i="59"/>
  <c r="Z124" i="59"/>
  <c r="Z125" i="59"/>
  <c r="Z126" i="59"/>
  <c r="Z127" i="59"/>
  <c r="Z128" i="59"/>
  <c r="Z129" i="59"/>
  <c r="Z130" i="59"/>
  <c r="Z131" i="59"/>
  <c r="Z132" i="59"/>
  <c r="B195" i="54"/>
  <c r="B196" i="54"/>
  <c r="B197" i="54"/>
  <c r="B198" i="54"/>
  <c r="B199" i="54"/>
  <c r="B200" i="54"/>
  <c r="B201" i="54"/>
  <c r="B202" i="54"/>
  <c r="B203" i="54"/>
  <c r="B204" i="54"/>
  <c r="H195" i="54"/>
  <c r="H196" i="54"/>
  <c r="H197" i="54"/>
  <c r="H198" i="54"/>
  <c r="H199" i="54"/>
  <c r="H200" i="54"/>
  <c r="H201" i="54"/>
  <c r="H202" i="54"/>
  <c r="H203" i="54"/>
  <c r="H204" i="54"/>
  <c r="L195" i="54"/>
  <c r="L196" i="54"/>
  <c r="L197" i="54"/>
  <c r="L198" i="54"/>
  <c r="L199" i="54"/>
  <c r="L200" i="54"/>
  <c r="L201" i="54"/>
  <c r="L202" i="54"/>
  <c r="L203" i="54"/>
  <c r="L204" i="54"/>
  <c r="D102" i="72" l="1"/>
  <c r="D103" i="72"/>
  <c r="D104" i="72"/>
  <c r="D105" i="72"/>
  <c r="D106" i="72"/>
  <c r="D107" i="72"/>
  <c r="D108" i="72"/>
  <c r="D109" i="72"/>
  <c r="D110" i="72"/>
  <c r="D111" i="72"/>
  <c r="J102" i="72"/>
  <c r="J103" i="72"/>
  <c r="J104" i="72"/>
  <c r="J105" i="72"/>
  <c r="J106" i="72"/>
  <c r="J107" i="72"/>
  <c r="J108" i="72"/>
  <c r="J109" i="72"/>
  <c r="J110" i="72"/>
  <c r="J111" i="72"/>
  <c r="H119" i="59"/>
  <c r="H120" i="59"/>
  <c r="H121" i="59"/>
  <c r="H122" i="59"/>
  <c r="H123" i="59"/>
  <c r="H124" i="59"/>
  <c r="H125" i="59"/>
  <c r="H126" i="59"/>
  <c r="H127" i="59"/>
  <c r="H128" i="59"/>
  <c r="H129" i="59"/>
  <c r="H130" i="59"/>
  <c r="H131" i="59"/>
  <c r="H132" i="59"/>
  <c r="D119" i="59"/>
  <c r="D120" i="59"/>
  <c r="D121" i="59"/>
  <c r="D122" i="59"/>
  <c r="D123" i="59"/>
  <c r="D124" i="59"/>
  <c r="D125" i="59"/>
  <c r="D126" i="59"/>
  <c r="D127" i="59"/>
  <c r="D128" i="59"/>
  <c r="D129" i="59"/>
  <c r="D130" i="59"/>
  <c r="D131" i="59"/>
  <c r="D132" i="59"/>
  <c r="K63" i="60" l="1"/>
  <c r="Z145" i="59"/>
  <c r="H145" i="59"/>
  <c r="D145" i="59"/>
  <c r="B187" i="54"/>
  <c r="B188" i="54"/>
  <c r="B190" i="54"/>
  <c r="B191" i="54"/>
  <c r="B192" i="54"/>
  <c r="B193" i="54"/>
  <c r="B194" i="54"/>
  <c r="H187" i="54"/>
  <c r="H188" i="54"/>
  <c r="H190" i="54"/>
  <c r="H191" i="54"/>
  <c r="H192" i="54"/>
  <c r="H193" i="54"/>
  <c r="H194" i="54"/>
  <c r="L187" i="54"/>
  <c r="L188" i="54"/>
  <c r="L190" i="54"/>
  <c r="L191" i="54"/>
  <c r="L192" i="54"/>
  <c r="L193" i="54"/>
  <c r="L194" i="54"/>
  <c r="L181" i="54"/>
  <c r="H181" i="54"/>
  <c r="B181" i="54"/>
  <c r="L180" i="54"/>
  <c r="H180" i="54"/>
  <c r="B180" i="54"/>
  <c r="L6" i="54"/>
  <c r="H6" i="54"/>
  <c r="D6" i="54"/>
  <c r="B6" i="54"/>
  <c r="L4" i="54"/>
  <c r="H4" i="54"/>
  <c r="D4" i="54"/>
  <c r="B4" i="54"/>
  <c r="L13" i="54"/>
  <c r="H13" i="54"/>
  <c r="B13" i="54"/>
  <c r="L11" i="54"/>
  <c r="H11" i="54"/>
  <c r="B11" i="54"/>
  <c r="K62" i="60"/>
  <c r="K61" i="60"/>
  <c r="E12" i="57"/>
  <c r="E13" i="57"/>
  <c r="E14" i="57"/>
  <c r="E15" i="57"/>
  <c r="E16" i="57"/>
  <c r="E17" i="57"/>
  <c r="E18" i="57"/>
  <c r="E19" i="57"/>
  <c r="E20" i="57"/>
  <c r="E21" i="57"/>
  <c r="K60" i="60"/>
  <c r="D60" i="60"/>
  <c r="B60" i="60"/>
  <c r="B176" i="54"/>
  <c r="B177" i="54"/>
  <c r="B178" i="54"/>
  <c r="B179" i="54"/>
  <c r="B182" i="54"/>
  <c r="B183" i="54"/>
  <c r="B184" i="54"/>
  <c r="B185" i="54"/>
  <c r="B186" i="54"/>
  <c r="H176" i="54"/>
  <c r="H177" i="54"/>
  <c r="H178" i="54"/>
  <c r="H179" i="54"/>
  <c r="H182" i="54"/>
  <c r="H183" i="54"/>
  <c r="H184" i="54"/>
  <c r="H185" i="54"/>
  <c r="H186" i="54"/>
  <c r="L176" i="54"/>
  <c r="L177" i="54"/>
  <c r="L178" i="54"/>
  <c r="L179" i="54"/>
  <c r="L182" i="54"/>
  <c r="L183" i="54"/>
  <c r="L184" i="54"/>
  <c r="L185" i="54"/>
  <c r="L186" i="54"/>
  <c r="B26" i="53"/>
  <c r="B27" i="53"/>
  <c r="B28" i="53"/>
  <c r="B29" i="53"/>
  <c r="B30" i="53"/>
  <c r="K59" i="60"/>
  <c r="K58" i="60"/>
  <c r="B59" i="60"/>
  <c r="B61" i="60"/>
  <c r="B62" i="60"/>
  <c r="B63" i="60"/>
  <c r="D59" i="60"/>
  <c r="D61" i="60"/>
  <c r="D62" i="60"/>
  <c r="D63" i="60"/>
  <c r="B58" i="60"/>
  <c r="D58" i="60"/>
  <c r="H157" i="55"/>
  <c r="D157" i="55"/>
  <c r="B157" i="55"/>
  <c r="B156" i="55"/>
  <c r="H156" i="55"/>
  <c r="H155" i="55"/>
  <c r="D155" i="55"/>
  <c r="B155" i="55"/>
  <c r="H154" i="55"/>
  <c r="B154" i="55"/>
  <c r="B151" i="55"/>
  <c r="D154" i="55"/>
  <c r="D156" i="55"/>
  <c r="H153" i="55"/>
  <c r="D153" i="55"/>
  <c r="B153" i="55"/>
  <c r="H151" i="55"/>
  <c r="H152" i="55"/>
  <c r="D152" i="55"/>
  <c r="B152" i="55"/>
  <c r="D151" i="55"/>
  <c r="H150" i="55"/>
  <c r="D150" i="55"/>
  <c r="B150" i="55"/>
  <c r="H149" i="55"/>
  <c r="D149" i="55"/>
  <c r="B149" i="55"/>
  <c r="B148" i="55"/>
  <c r="D148" i="55"/>
  <c r="H148" i="55"/>
  <c r="H147" i="55"/>
  <c r="D147" i="55"/>
  <c r="B147" i="55"/>
  <c r="H146" i="55"/>
  <c r="D146" i="55"/>
  <c r="B146" i="55"/>
  <c r="B158" i="55"/>
  <c r="B159" i="55"/>
  <c r="B160" i="55"/>
  <c r="B161" i="55"/>
  <c r="D158" i="55"/>
  <c r="D159" i="55"/>
  <c r="D160" i="55"/>
  <c r="D161" i="55"/>
  <c r="E4" i="68"/>
  <c r="E5" i="68"/>
  <c r="B4" i="68"/>
  <c r="C4" i="68"/>
  <c r="B5" i="68"/>
  <c r="C5" i="68"/>
  <c r="Z104" i="59"/>
  <c r="Z105" i="59"/>
  <c r="Z106" i="59"/>
  <c r="Z107" i="59"/>
  <c r="Z108" i="59"/>
  <c r="Z109" i="59"/>
  <c r="Z110" i="59"/>
  <c r="Z111" i="59"/>
  <c r="Z112" i="59"/>
  <c r="Z113" i="59"/>
  <c r="Z114" i="59"/>
  <c r="Z115" i="59"/>
  <c r="Z116" i="59"/>
  <c r="Z117" i="59"/>
  <c r="Z118" i="59"/>
  <c r="E4" i="69" l="1"/>
  <c r="E5" i="69"/>
  <c r="E6" i="69"/>
  <c r="H104" i="59"/>
  <c r="H105" i="59"/>
  <c r="H106" i="59"/>
  <c r="H107" i="59"/>
  <c r="H108" i="59"/>
  <c r="H109" i="59"/>
  <c r="H110" i="59"/>
  <c r="H111" i="59"/>
  <c r="H112" i="59"/>
  <c r="H113" i="59"/>
  <c r="H114" i="59"/>
  <c r="H115" i="59"/>
  <c r="H116" i="59"/>
  <c r="H117" i="59"/>
  <c r="H118" i="59"/>
  <c r="H103" i="59"/>
  <c r="D104" i="59"/>
  <c r="D105" i="59"/>
  <c r="D106" i="59"/>
  <c r="D107" i="59"/>
  <c r="D108" i="59"/>
  <c r="D109" i="59"/>
  <c r="D110" i="59"/>
  <c r="D111" i="59"/>
  <c r="D112" i="59"/>
  <c r="D113" i="59"/>
  <c r="D114" i="59"/>
  <c r="D115" i="59"/>
  <c r="D116" i="59"/>
  <c r="D117" i="59"/>
  <c r="D118" i="59"/>
  <c r="B172" i="54" l="1"/>
  <c r="B173" i="54"/>
  <c r="B174" i="54"/>
  <c r="B175" i="54"/>
  <c r="H172" i="54"/>
  <c r="H173" i="54"/>
  <c r="H174" i="54"/>
  <c r="H175" i="54"/>
  <c r="L172" i="54"/>
  <c r="L173" i="54"/>
  <c r="L174" i="54"/>
  <c r="L175" i="54"/>
  <c r="R25" i="65"/>
  <c r="R26" i="65"/>
  <c r="R27" i="65"/>
  <c r="R28" i="65"/>
  <c r="R29" i="65"/>
  <c r="R30" i="65"/>
  <c r="R31" i="65"/>
  <c r="B167" i="54"/>
  <c r="B168" i="54"/>
  <c r="B169" i="54"/>
  <c r="B170" i="54"/>
  <c r="B171" i="54"/>
  <c r="H167" i="54"/>
  <c r="H168" i="54"/>
  <c r="H169" i="54"/>
  <c r="H170" i="54"/>
  <c r="H171" i="54"/>
  <c r="L167" i="54"/>
  <c r="L168" i="54"/>
  <c r="L169" i="54"/>
  <c r="L170" i="54"/>
  <c r="L171" i="54"/>
  <c r="H144" i="55" l="1"/>
  <c r="D144" i="55"/>
  <c r="B144" i="55"/>
  <c r="H143" i="55"/>
  <c r="D143" i="55"/>
  <c r="B143" i="55"/>
  <c r="H142" i="55"/>
  <c r="D142" i="55"/>
  <c r="B142" i="55"/>
  <c r="H141" i="55"/>
  <c r="D141" i="55"/>
  <c r="B141" i="55"/>
  <c r="H140" i="55"/>
  <c r="D140" i="55"/>
  <c r="B140" i="55"/>
  <c r="H139" i="55"/>
  <c r="D139" i="55"/>
  <c r="B139" i="55"/>
  <c r="H138" i="55"/>
  <c r="D138" i="55"/>
  <c r="B138" i="55"/>
  <c r="H135" i="55"/>
  <c r="D135" i="55"/>
  <c r="B135" i="55"/>
  <c r="H136" i="55"/>
  <c r="D136" i="55"/>
  <c r="B136" i="55"/>
  <c r="H134" i="55"/>
  <c r="D134" i="55"/>
  <c r="B134" i="55"/>
  <c r="H133" i="55"/>
  <c r="D133" i="55"/>
  <c r="B133" i="55"/>
  <c r="H132" i="55"/>
  <c r="D132" i="55"/>
  <c r="B132" i="55"/>
  <c r="H131" i="55"/>
  <c r="D131" i="55"/>
  <c r="B131" i="55"/>
  <c r="H129" i="55"/>
  <c r="D129" i="55"/>
  <c r="B129" i="55"/>
  <c r="H126" i="55"/>
  <c r="D126" i="55"/>
  <c r="B126" i="55"/>
  <c r="H106" i="55"/>
  <c r="D106" i="55"/>
  <c r="B106" i="55"/>
  <c r="H98" i="55"/>
  <c r="D98" i="55"/>
  <c r="B98" i="55"/>
  <c r="H97" i="55"/>
  <c r="D97" i="55"/>
  <c r="B97" i="55"/>
  <c r="H103" i="55"/>
  <c r="H104" i="55"/>
  <c r="H105" i="55"/>
  <c r="H107" i="55"/>
  <c r="H108" i="55"/>
  <c r="H109" i="55"/>
  <c r="H110" i="55"/>
  <c r="H111" i="55"/>
  <c r="H112" i="55"/>
  <c r="H113" i="55"/>
  <c r="H114" i="55"/>
  <c r="H115" i="55"/>
  <c r="H116" i="55"/>
  <c r="H117" i="55"/>
  <c r="H118" i="55"/>
  <c r="H119" i="55"/>
  <c r="H120" i="55"/>
  <c r="H121" i="55"/>
  <c r="H122" i="55"/>
  <c r="H123" i="55"/>
  <c r="H124" i="55"/>
  <c r="H125" i="55"/>
  <c r="H127" i="55"/>
  <c r="H128" i="55"/>
  <c r="H130" i="55"/>
  <c r="H137" i="55"/>
  <c r="H145" i="55"/>
  <c r="D103" i="55"/>
  <c r="D104" i="55"/>
  <c r="D105" i="55"/>
  <c r="D107" i="55"/>
  <c r="D108" i="55"/>
  <c r="D109" i="55"/>
  <c r="D110" i="55"/>
  <c r="D111" i="55"/>
  <c r="D112" i="55"/>
  <c r="D113" i="55"/>
  <c r="D114" i="55"/>
  <c r="D115" i="55"/>
  <c r="D116" i="55"/>
  <c r="D117" i="55"/>
  <c r="D118" i="55"/>
  <c r="D119" i="55"/>
  <c r="D120" i="55"/>
  <c r="D121" i="55"/>
  <c r="D122" i="55"/>
  <c r="D123" i="55"/>
  <c r="D124" i="55"/>
  <c r="D125" i="55"/>
  <c r="D127" i="55"/>
  <c r="D128" i="55"/>
  <c r="D130" i="55"/>
  <c r="D137" i="55"/>
  <c r="D145" i="55"/>
  <c r="B103" i="55"/>
  <c r="B104" i="55"/>
  <c r="B105" i="55"/>
  <c r="B107" i="55"/>
  <c r="B108" i="55"/>
  <c r="B109" i="55"/>
  <c r="B110" i="55"/>
  <c r="B111" i="55"/>
  <c r="B112" i="55"/>
  <c r="B113" i="55"/>
  <c r="B114" i="55"/>
  <c r="B115" i="55"/>
  <c r="B116" i="55"/>
  <c r="B117" i="55"/>
  <c r="B118" i="55"/>
  <c r="B119" i="55"/>
  <c r="B120" i="55"/>
  <c r="B121" i="55"/>
  <c r="B122" i="55"/>
  <c r="B123" i="55"/>
  <c r="B124" i="55"/>
  <c r="B125" i="55"/>
  <c r="B127" i="55"/>
  <c r="B128" i="55"/>
  <c r="B130" i="55"/>
  <c r="B137" i="55"/>
  <c r="B145" i="55"/>
  <c r="D82" i="72"/>
  <c r="D83" i="72"/>
  <c r="D84" i="72"/>
  <c r="D85" i="72"/>
  <c r="D86" i="72"/>
  <c r="D87" i="72"/>
  <c r="D88" i="72"/>
  <c r="D89" i="72"/>
  <c r="D90" i="72"/>
  <c r="D91" i="72"/>
  <c r="D92" i="72"/>
  <c r="D93" i="72"/>
  <c r="D94" i="72"/>
  <c r="D95" i="72"/>
  <c r="D96" i="72"/>
  <c r="D97" i="72"/>
  <c r="D98" i="72"/>
  <c r="D99" i="72"/>
  <c r="D100" i="72"/>
  <c r="D101" i="72"/>
  <c r="J82" i="72"/>
  <c r="J83" i="72"/>
  <c r="J84" i="72"/>
  <c r="J85" i="72"/>
  <c r="J86" i="72"/>
  <c r="J87" i="72"/>
  <c r="J88" i="72"/>
  <c r="J89" i="72"/>
  <c r="J90" i="72"/>
  <c r="J91" i="72"/>
  <c r="J92" i="72"/>
  <c r="J93" i="72"/>
  <c r="J94" i="72"/>
  <c r="J95" i="72"/>
  <c r="J96" i="72"/>
  <c r="J97" i="72"/>
  <c r="J98" i="72"/>
  <c r="J99" i="72"/>
  <c r="J100" i="72"/>
  <c r="J101" i="72"/>
  <c r="D72" i="72"/>
  <c r="D73" i="72"/>
  <c r="D74" i="72"/>
  <c r="D75" i="72"/>
  <c r="D76" i="72"/>
  <c r="D77" i="72"/>
  <c r="D78" i="72"/>
  <c r="D79" i="72"/>
  <c r="D80" i="72"/>
  <c r="D81" i="72"/>
  <c r="J72" i="72"/>
  <c r="J73" i="72"/>
  <c r="J74" i="72"/>
  <c r="J75" i="72"/>
  <c r="J76" i="72"/>
  <c r="J77" i="72"/>
  <c r="J78" i="72"/>
  <c r="J79" i="72"/>
  <c r="J80" i="72"/>
  <c r="J81" i="72"/>
  <c r="D62" i="72"/>
  <c r="D63" i="72"/>
  <c r="D64" i="72"/>
  <c r="D65" i="72"/>
  <c r="D66" i="72"/>
  <c r="D67" i="72"/>
  <c r="D68" i="72"/>
  <c r="D69" i="72"/>
  <c r="D70" i="72"/>
  <c r="D71" i="72"/>
  <c r="J62" i="72"/>
  <c r="J63" i="72"/>
  <c r="J64" i="72"/>
  <c r="J65" i="72"/>
  <c r="J66" i="72"/>
  <c r="J67" i="72"/>
  <c r="J68" i="72"/>
  <c r="J69" i="72"/>
  <c r="J70" i="72"/>
  <c r="J71" i="72"/>
  <c r="K57" i="60" l="1"/>
  <c r="B57" i="60"/>
  <c r="D57" i="60"/>
  <c r="K56" i="60" l="1"/>
  <c r="B56" i="60"/>
  <c r="D56" i="60"/>
  <c r="B158" i="54"/>
  <c r="H158" i="54"/>
  <c r="L158" i="54"/>
  <c r="B24" i="53"/>
  <c r="B25" i="53"/>
  <c r="B156" i="54"/>
  <c r="B157" i="54"/>
  <c r="B159" i="54"/>
  <c r="B160" i="54"/>
  <c r="B161" i="54"/>
  <c r="B162" i="54"/>
  <c r="B163" i="54"/>
  <c r="B164" i="54"/>
  <c r="B165" i="54"/>
  <c r="B166" i="54"/>
  <c r="H156" i="54"/>
  <c r="H157" i="54"/>
  <c r="H159" i="54"/>
  <c r="H160" i="54"/>
  <c r="H161" i="54"/>
  <c r="H162" i="54"/>
  <c r="H163" i="54"/>
  <c r="H164" i="54"/>
  <c r="H165" i="54"/>
  <c r="H166" i="54"/>
  <c r="L156" i="54"/>
  <c r="L157" i="54"/>
  <c r="L159" i="54"/>
  <c r="L160" i="54"/>
  <c r="L161" i="54"/>
  <c r="L162" i="54"/>
  <c r="L163" i="54"/>
  <c r="L164" i="54"/>
  <c r="L165" i="54"/>
  <c r="L166" i="54"/>
  <c r="S22" i="65"/>
  <c r="S23" i="65"/>
  <c r="S24" i="65"/>
  <c r="S25" i="65"/>
  <c r="S26" i="65"/>
  <c r="S27" i="65"/>
  <c r="S28" i="65"/>
  <c r="S29" i="65"/>
  <c r="S30" i="65"/>
  <c r="S31" i="65"/>
  <c r="R22" i="65"/>
  <c r="R23" i="65"/>
  <c r="R24" i="65"/>
  <c r="I22" i="65"/>
  <c r="I23" i="65"/>
  <c r="I24" i="65"/>
  <c r="I25" i="65"/>
  <c r="I26" i="65"/>
  <c r="I27" i="65"/>
  <c r="I28" i="65"/>
  <c r="I29" i="65"/>
  <c r="I30" i="65"/>
  <c r="I31" i="65"/>
  <c r="G22" i="65"/>
  <c r="G23" i="65"/>
  <c r="G24" i="65"/>
  <c r="G25" i="65"/>
  <c r="G26" i="65"/>
  <c r="G27" i="65"/>
  <c r="G28" i="65"/>
  <c r="G29" i="65"/>
  <c r="G30" i="65"/>
  <c r="G31" i="65"/>
  <c r="L22" i="65"/>
  <c r="L23" i="65"/>
  <c r="L24" i="65"/>
  <c r="L25" i="65"/>
  <c r="L26" i="65"/>
  <c r="L27" i="65"/>
  <c r="L28" i="65"/>
  <c r="L29" i="65"/>
  <c r="L30" i="65"/>
  <c r="L31" i="65"/>
  <c r="M22" i="65"/>
  <c r="M23" i="65"/>
  <c r="M24" i="65"/>
  <c r="M25" i="65"/>
  <c r="M26" i="65"/>
  <c r="M27" i="65"/>
  <c r="M28" i="65"/>
  <c r="M29" i="65"/>
  <c r="M30" i="65"/>
  <c r="M31" i="65"/>
  <c r="O22" i="65"/>
  <c r="O23" i="65"/>
  <c r="O24" i="65"/>
  <c r="O25" i="65"/>
  <c r="O26" i="65"/>
  <c r="O27" i="65"/>
  <c r="O28" i="65"/>
  <c r="O29" i="65"/>
  <c r="O30" i="65"/>
  <c r="O31" i="65"/>
  <c r="U22" i="65"/>
  <c r="U23" i="65"/>
  <c r="U24" i="65"/>
  <c r="U25" i="65"/>
  <c r="U26" i="65"/>
  <c r="U27" i="65"/>
  <c r="U28" i="65"/>
  <c r="U29" i="65"/>
  <c r="U30" i="65"/>
  <c r="U31" i="65"/>
  <c r="B144" i="54"/>
  <c r="H144" i="54"/>
  <c r="L144" i="54"/>
  <c r="B143" i="54"/>
  <c r="H143" i="54"/>
  <c r="L143" i="54"/>
  <c r="K55" i="60"/>
  <c r="B55" i="60"/>
  <c r="D55" i="60"/>
  <c r="B148" i="54"/>
  <c r="B149" i="54"/>
  <c r="B150" i="54"/>
  <c r="B151" i="54"/>
  <c r="B152" i="54"/>
  <c r="B153" i="54"/>
  <c r="B154" i="54"/>
  <c r="B155" i="54"/>
  <c r="H148" i="54"/>
  <c r="H149" i="54"/>
  <c r="H150" i="54"/>
  <c r="H151" i="54"/>
  <c r="H152" i="54"/>
  <c r="H153" i="54"/>
  <c r="H154" i="54"/>
  <c r="H155" i="54"/>
  <c r="L148" i="54"/>
  <c r="L149" i="54"/>
  <c r="L150" i="54"/>
  <c r="L151" i="54"/>
  <c r="L152" i="54"/>
  <c r="L153" i="54"/>
  <c r="L154" i="54"/>
  <c r="L155" i="54"/>
  <c r="H88" i="55"/>
  <c r="H89" i="55"/>
  <c r="H90" i="55"/>
  <c r="H91" i="55"/>
  <c r="H92" i="55"/>
  <c r="H93" i="55"/>
  <c r="H94" i="55"/>
  <c r="H95" i="55"/>
  <c r="H96" i="55"/>
  <c r="H99" i="55"/>
  <c r="H100" i="55"/>
  <c r="H101" i="55"/>
  <c r="H102" i="55"/>
  <c r="D88" i="55"/>
  <c r="D89" i="55"/>
  <c r="D90" i="55"/>
  <c r="D91" i="55"/>
  <c r="D92" i="55"/>
  <c r="D93" i="55"/>
  <c r="D94" i="55"/>
  <c r="D95" i="55"/>
  <c r="D96" i="55"/>
  <c r="D99" i="55"/>
  <c r="D100" i="55"/>
  <c r="D101" i="55"/>
  <c r="D102" i="55"/>
  <c r="B88" i="55"/>
  <c r="B89" i="55"/>
  <c r="B90" i="55"/>
  <c r="B91" i="55"/>
  <c r="B92" i="55"/>
  <c r="B93" i="55"/>
  <c r="B94" i="55"/>
  <c r="B95" i="55"/>
  <c r="B96" i="55"/>
  <c r="B99" i="55"/>
  <c r="B100" i="55"/>
  <c r="B101" i="55"/>
  <c r="B102" i="55"/>
  <c r="Z93" i="59"/>
  <c r="Z94" i="59"/>
  <c r="Z95" i="59"/>
  <c r="Z96" i="59"/>
  <c r="Z97" i="59"/>
  <c r="Z98" i="59"/>
  <c r="Z99" i="59"/>
  <c r="Z100" i="59"/>
  <c r="Z101" i="59"/>
  <c r="Z102" i="59"/>
  <c r="Z103" i="59"/>
  <c r="Z91" i="59"/>
  <c r="Z92" i="59"/>
  <c r="H93" i="59"/>
  <c r="H94" i="59"/>
  <c r="H95" i="59"/>
  <c r="H96" i="59"/>
  <c r="H97" i="59"/>
  <c r="H98" i="59"/>
  <c r="H99" i="59"/>
  <c r="H100" i="59"/>
  <c r="H101" i="59"/>
  <c r="H102" i="59"/>
  <c r="D93" i="59"/>
  <c r="D94" i="59"/>
  <c r="D95" i="59"/>
  <c r="D96" i="59"/>
  <c r="D97" i="59"/>
  <c r="D98" i="59"/>
  <c r="D99" i="59"/>
  <c r="D100" i="59"/>
  <c r="D101" i="59"/>
  <c r="D102" i="59"/>
  <c r="D103" i="59"/>
  <c r="E3" i="57" l="1"/>
  <c r="E4" i="57"/>
  <c r="E5" i="57"/>
  <c r="E6" i="57"/>
  <c r="B106" i="54"/>
  <c r="H106" i="54"/>
  <c r="L106" i="54"/>
  <c r="H136" i="54"/>
  <c r="B136" i="54"/>
  <c r="B137" i="54"/>
  <c r="B138" i="54"/>
  <c r="B139" i="54"/>
  <c r="B140" i="54"/>
  <c r="B141" i="54"/>
  <c r="B142" i="54"/>
  <c r="B145" i="54"/>
  <c r="B146" i="54"/>
  <c r="B147" i="54"/>
  <c r="H137" i="54"/>
  <c r="H138" i="54"/>
  <c r="H139" i="54"/>
  <c r="H140" i="54"/>
  <c r="H141" i="54"/>
  <c r="H142" i="54"/>
  <c r="H145" i="54"/>
  <c r="H146" i="54"/>
  <c r="H147" i="54"/>
  <c r="L136" i="54"/>
  <c r="L137" i="54"/>
  <c r="L138" i="54"/>
  <c r="L139" i="54"/>
  <c r="L140" i="54"/>
  <c r="L141" i="54"/>
  <c r="L142" i="54"/>
  <c r="L145" i="54"/>
  <c r="L146" i="54"/>
  <c r="L147" i="54"/>
  <c r="B135" i="54"/>
  <c r="H135" i="54"/>
  <c r="L135" i="54"/>
  <c r="K54" i="60"/>
  <c r="B54" i="60"/>
  <c r="D54" i="60"/>
  <c r="B23" i="53"/>
  <c r="K53" i="60"/>
  <c r="B53" i="60"/>
  <c r="D53" i="60"/>
  <c r="B22" i="53"/>
  <c r="K52" i="60"/>
  <c r="B52" i="60"/>
  <c r="D52" i="60"/>
  <c r="K51" i="60"/>
  <c r="B51" i="60"/>
  <c r="D51" i="60"/>
  <c r="K50" i="60"/>
  <c r="B50" i="60"/>
  <c r="D50" i="60"/>
  <c r="K49" i="60"/>
  <c r="B49" i="60"/>
  <c r="D49" i="60"/>
  <c r="B126" i="54"/>
  <c r="B127" i="54"/>
  <c r="B128" i="54"/>
  <c r="B129" i="54"/>
  <c r="B130" i="54"/>
  <c r="B131" i="54"/>
  <c r="B132" i="54"/>
  <c r="B133" i="54"/>
  <c r="B134" i="54"/>
  <c r="H126" i="54"/>
  <c r="H127" i="54"/>
  <c r="H128" i="54"/>
  <c r="H129" i="54"/>
  <c r="H130" i="54"/>
  <c r="H131" i="54"/>
  <c r="H132" i="54"/>
  <c r="H133" i="54"/>
  <c r="H134" i="54"/>
  <c r="L126" i="54"/>
  <c r="L127" i="54"/>
  <c r="L128" i="54"/>
  <c r="L129" i="54"/>
  <c r="L130" i="54"/>
  <c r="L131" i="54"/>
  <c r="L132" i="54"/>
  <c r="L133" i="54"/>
  <c r="L134" i="54"/>
  <c r="H78" i="55"/>
  <c r="H79" i="55"/>
  <c r="H80" i="55"/>
  <c r="H81" i="55"/>
  <c r="H82" i="55"/>
  <c r="H83" i="55"/>
  <c r="H84" i="55"/>
  <c r="H85" i="55"/>
  <c r="H86" i="55"/>
  <c r="H87" i="55"/>
  <c r="D78" i="55"/>
  <c r="D79" i="55"/>
  <c r="D80" i="55"/>
  <c r="D81" i="55"/>
  <c r="D82" i="55"/>
  <c r="D83" i="55"/>
  <c r="D84" i="55"/>
  <c r="D85" i="55"/>
  <c r="D86" i="55"/>
  <c r="D87" i="55"/>
  <c r="B78" i="55"/>
  <c r="B79" i="55"/>
  <c r="B80" i="55"/>
  <c r="B81" i="55"/>
  <c r="B82" i="55"/>
  <c r="B83" i="55"/>
  <c r="B84" i="55"/>
  <c r="B85" i="55"/>
  <c r="B86" i="55"/>
  <c r="B87" i="55"/>
  <c r="D47" i="55"/>
  <c r="B47" i="55"/>
  <c r="D52" i="72"/>
  <c r="D53" i="72"/>
  <c r="D54" i="72"/>
  <c r="D55" i="72"/>
  <c r="D56" i="72"/>
  <c r="D57" i="72"/>
  <c r="D58" i="72"/>
  <c r="D59" i="72"/>
  <c r="D60" i="72"/>
  <c r="D61" i="72"/>
  <c r="J52" i="72"/>
  <c r="J53" i="72"/>
  <c r="J54" i="72"/>
  <c r="J55" i="72"/>
  <c r="J56" i="72"/>
  <c r="J57" i="72"/>
  <c r="J58" i="72"/>
  <c r="J59" i="72"/>
  <c r="J60" i="72"/>
  <c r="J61" i="72"/>
  <c r="Z59" i="59"/>
  <c r="Z60" i="59"/>
  <c r="Z61" i="59"/>
  <c r="Z62" i="59"/>
  <c r="Z63" i="59"/>
  <c r="Z64" i="59"/>
  <c r="Z65" i="59"/>
  <c r="Z66" i="59"/>
  <c r="Z67" i="59"/>
  <c r="Z68" i="59"/>
  <c r="Z69" i="59"/>
  <c r="Z70" i="59"/>
  <c r="Z71" i="59"/>
  <c r="Z72" i="59"/>
  <c r="Z73" i="59"/>
  <c r="Z74" i="59"/>
  <c r="Z75" i="59"/>
  <c r="Z76" i="59"/>
  <c r="Z77" i="59"/>
  <c r="Z78" i="59"/>
  <c r="Z79" i="59"/>
  <c r="Z80" i="59"/>
  <c r="Z81" i="59"/>
  <c r="Z82" i="59"/>
  <c r="Z83" i="59"/>
  <c r="Z84" i="59"/>
  <c r="Z85" i="59"/>
  <c r="Z86" i="59"/>
  <c r="Z87" i="59"/>
  <c r="Z88" i="59"/>
  <c r="Z89" i="59"/>
  <c r="Z90" i="59"/>
  <c r="H85" i="59"/>
  <c r="H86" i="59"/>
  <c r="H87" i="59"/>
  <c r="H88" i="59"/>
  <c r="H89" i="59"/>
  <c r="H90" i="59"/>
  <c r="H91" i="59"/>
  <c r="H92" i="59"/>
  <c r="D85" i="59"/>
  <c r="D86" i="59"/>
  <c r="D87" i="59"/>
  <c r="D88" i="59"/>
  <c r="D89" i="59"/>
  <c r="D90" i="59"/>
  <c r="D91" i="59"/>
  <c r="D92" i="59"/>
  <c r="B21" i="53" l="1"/>
  <c r="H121" i="54"/>
  <c r="B121" i="54"/>
  <c r="H120" i="54"/>
  <c r="B120" i="54"/>
  <c r="K48" i="60"/>
  <c r="B48" i="60"/>
  <c r="D48" i="60"/>
  <c r="B115" i="54" l="1"/>
  <c r="B116" i="54"/>
  <c r="B117" i="54"/>
  <c r="B118" i="54"/>
  <c r="B119" i="54"/>
  <c r="B122" i="54"/>
  <c r="B123" i="54"/>
  <c r="B124" i="54"/>
  <c r="B125" i="54"/>
  <c r="H115" i="54"/>
  <c r="H116" i="54"/>
  <c r="H117" i="54"/>
  <c r="H118" i="54"/>
  <c r="H119" i="54"/>
  <c r="H122" i="54"/>
  <c r="H123" i="54"/>
  <c r="H124" i="54"/>
  <c r="H125" i="54"/>
  <c r="L115" i="54"/>
  <c r="L116" i="54"/>
  <c r="L117" i="54"/>
  <c r="L118" i="54"/>
  <c r="L119" i="54"/>
  <c r="L120" i="54"/>
  <c r="L121" i="54"/>
  <c r="L122" i="54"/>
  <c r="L123" i="54"/>
  <c r="L124" i="54"/>
  <c r="L125" i="54"/>
  <c r="K47" i="60"/>
  <c r="B47" i="60"/>
  <c r="D47" i="60"/>
  <c r="H66" i="55"/>
  <c r="H67" i="55"/>
  <c r="H68" i="55"/>
  <c r="H69" i="55"/>
  <c r="H70" i="55"/>
  <c r="H71" i="55"/>
  <c r="H72" i="55"/>
  <c r="H73" i="55"/>
  <c r="H74" i="55"/>
  <c r="H75" i="55"/>
  <c r="H76" i="55"/>
  <c r="H77" i="55"/>
  <c r="D68" i="55"/>
  <c r="D69" i="55"/>
  <c r="D70" i="55"/>
  <c r="D71" i="55"/>
  <c r="D72" i="55"/>
  <c r="D73" i="55"/>
  <c r="D74" i="55"/>
  <c r="D75" i="55"/>
  <c r="D76" i="55"/>
  <c r="D77" i="55"/>
  <c r="B68" i="55"/>
  <c r="B69" i="55"/>
  <c r="B70" i="55"/>
  <c r="B71" i="55"/>
  <c r="B72" i="55"/>
  <c r="B73" i="55"/>
  <c r="B74" i="55"/>
  <c r="B75" i="55"/>
  <c r="B76" i="55"/>
  <c r="B77" i="55"/>
  <c r="D47" i="72"/>
  <c r="D48" i="72"/>
  <c r="D49" i="72"/>
  <c r="D50" i="72"/>
  <c r="D51" i="72"/>
  <c r="J47" i="72"/>
  <c r="J48" i="72"/>
  <c r="J49" i="72"/>
  <c r="J50" i="72"/>
  <c r="J51" i="72"/>
  <c r="H80" i="59"/>
  <c r="H81" i="59"/>
  <c r="H82" i="59"/>
  <c r="H83" i="59"/>
  <c r="H84" i="59"/>
  <c r="D81" i="59"/>
  <c r="D82" i="59"/>
  <c r="D83" i="59"/>
  <c r="D84" i="59"/>
  <c r="D80" i="59"/>
  <c r="B107" i="54" l="1"/>
  <c r="B108" i="54"/>
  <c r="B109" i="54"/>
  <c r="B110" i="54"/>
  <c r="B111" i="54"/>
  <c r="B112" i="54"/>
  <c r="B113" i="54"/>
  <c r="B114" i="54"/>
  <c r="H107" i="54"/>
  <c r="H108" i="54"/>
  <c r="H109" i="54"/>
  <c r="H110" i="54"/>
  <c r="H111" i="54"/>
  <c r="H112" i="54"/>
  <c r="H113" i="54"/>
  <c r="H114" i="54"/>
  <c r="L107" i="54"/>
  <c r="L108" i="54"/>
  <c r="L109" i="54"/>
  <c r="L110" i="54"/>
  <c r="L111" i="54"/>
  <c r="L112" i="54"/>
  <c r="L113" i="54"/>
  <c r="L114" i="54"/>
  <c r="B20" i="53"/>
  <c r="K46" i="60"/>
  <c r="B46" i="60"/>
  <c r="D46" i="60"/>
  <c r="R17" i="65"/>
  <c r="S17" i="65"/>
  <c r="R18" i="65"/>
  <c r="S18" i="65"/>
  <c r="R19" i="65"/>
  <c r="S19" i="65"/>
  <c r="R20" i="65"/>
  <c r="S20" i="65"/>
  <c r="R21" i="65"/>
  <c r="S21" i="65"/>
  <c r="I17" i="65"/>
  <c r="I18" i="65"/>
  <c r="I19" i="65"/>
  <c r="I20" i="65"/>
  <c r="I21" i="65"/>
  <c r="G17" i="65"/>
  <c r="G18" i="65"/>
  <c r="G19" i="65"/>
  <c r="G20" i="65"/>
  <c r="G21" i="65"/>
  <c r="L17" i="65"/>
  <c r="L18" i="65"/>
  <c r="L19" i="65"/>
  <c r="L20" i="65"/>
  <c r="L21" i="65"/>
  <c r="M17" i="65"/>
  <c r="M18" i="65"/>
  <c r="M19" i="65"/>
  <c r="M20" i="65"/>
  <c r="M21" i="65"/>
  <c r="O17" i="65"/>
  <c r="O18" i="65"/>
  <c r="O19" i="65"/>
  <c r="O20" i="65"/>
  <c r="O21" i="65"/>
  <c r="U17" i="65"/>
  <c r="U18" i="65"/>
  <c r="U19" i="65"/>
  <c r="U20" i="65"/>
  <c r="U21" i="65"/>
  <c r="B100" i="54"/>
  <c r="B101" i="54"/>
  <c r="B102" i="54"/>
  <c r="B103" i="54"/>
  <c r="B104" i="54"/>
  <c r="B105" i="54"/>
  <c r="H100" i="54"/>
  <c r="H101" i="54"/>
  <c r="H102" i="54"/>
  <c r="H103" i="54"/>
  <c r="H104" i="54"/>
  <c r="H105" i="54"/>
  <c r="L100" i="54"/>
  <c r="L101" i="54"/>
  <c r="L102" i="54"/>
  <c r="L103" i="54"/>
  <c r="L104" i="54"/>
  <c r="L105" i="54"/>
  <c r="B99" i="54"/>
  <c r="H99" i="54"/>
  <c r="L99" i="54"/>
  <c r="K45" i="60"/>
  <c r="B98" i="54"/>
  <c r="H98" i="54"/>
  <c r="L98" i="54"/>
  <c r="B97" i="54"/>
  <c r="H97" i="54"/>
  <c r="L97" i="54"/>
  <c r="B19" i="53"/>
  <c r="K44" i="60"/>
  <c r="K43" i="60"/>
  <c r="K42" i="60"/>
  <c r="D67" i="55"/>
  <c r="B67" i="55"/>
  <c r="D66" i="55"/>
  <c r="B66" i="55"/>
  <c r="H65" i="55"/>
  <c r="H64" i="55"/>
  <c r="H63" i="55"/>
  <c r="D65" i="55"/>
  <c r="B65" i="55"/>
  <c r="D64" i="55"/>
  <c r="D63" i="55"/>
  <c r="B64" i="55"/>
  <c r="B63" i="55"/>
  <c r="H62" i="55"/>
  <c r="D62" i="55"/>
  <c r="B62" i="55"/>
  <c r="D41" i="72"/>
  <c r="D42" i="72"/>
  <c r="D43" i="72"/>
  <c r="D44" i="72"/>
  <c r="D45" i="72"/>
  <c r="D46" i="72"/>
  <c r="J41" i="72"/>
  <c r="J42" i="72"/>
  <c r="J43" i="72"/>
  <c r="J44" i="72"/>
  <c r="J45" i="72"/>
  <c r="J46" i="72"/>
  <c r="E2" i="57"/>
  <c r="E7" i="57"/>
  <c r="E8" i="57"/>
  <c r="E9" i="57"/>
  <c r="E10" i="57"/>
  <c r="E11" i="57"/>
  <c r="H76" i="59" l="1"/>
  <c r="H77" i="59"/>
  <c r="H78" i="59"/>
  <c r="H79" i="59"/>
  <c r="D79" i="59" l="1"/>
  <c r="D78" i="59"/>
  <c r="D77" i="59"/>
  <c r="D76" i="59"/>
  <c r="D63" i="59" l="1"/>
  <c r="B31" i="60" l="1"/>
  <c r="D31" i="60"/>
  <c r="K31" i="60"/>
  <c r="B96" i="54"/>
  <c r="H96" i="54"/>
  <c r="L96" i="54"/>
  <c r="B95" i="54"/>
  <c r="H95" i="54"/>
  <c r="L95" i="54"/>
  <c r="S13" i="65"/>
  <c r="S14" i="65"/>
  <c r="S15" i="65"/>
  <c r="S16" i="65"/>
  <c r="S12" i="65"/>
  <c r="R14" i="65"/>
  <c r="R15" i="65"/>
  <c r="R16" i="65"/>
  <c r="K41" i="60"/>
  <c r="B88" i="54"/>
  <c r="B89" i="54"/>
  <c r="B90" i="54"/>
  <c r="B91" i="54"/>
  <c r="B92" i="54"/>
  <c r="B93" i="54"/>
  <c r="B94" i="54"/>
  <c r="H88" i="54"/>
  <c r="H89" i="54"/>
  <c r="H90" i="54"/>
  <c r="H91" i="54"/>
  <c r="H92" i="54"/>
  <c r="H93" i="54"/>
  <c r="H94" i="54"/>
  <c r="L88" i="54"/>
  <c r="L89" i="54"/>
  <c r="L90" i="54"/>
  <c r="L91" i="54"/>
  <c r="L92" i="54"/>
  <c r="L93" i="54"/>
  <c r="L94" i="54"/>
  <c r="K36" i="60"/>
  <c r="B36" i="60"/>
  <c r="B37" i="60"/>
  <c r="B38" i="60"/>
  <c r="B39" i="60"/>
  <c r="B40" i="60"/>
  <c r="B41" i="60"/>
  <c r="B42" i="60"/>
  <c r="B43" i="60"/>
  <c r="B44" i="60"/>
  <c r="B45" i="60"/>
  <c r="D36" i="60"/>
  <c r="D37" i="60"/>
  <c r="D38" i="60"/>
  <c r="D39" i="60"/>
  <c r="D40" i="60"/>
  <c r="D41" i="60"/>
  <c r="D42" i="60"/>
  <c r="D43" i="60"/>
  <c r="D44" i="60"/>
  <c r="D45" i="60"/>
  <c r="K37" i="60"/>
  <c r="K38" i="60"/>
  <c r="K39" i="60"/>
  <c r="K40" i="60"/>
  <c r="B81" i="54"/>
  <c r="B82" i="54"/>
  <c r="B83" i="54"/>
  <c r="B84" i="54"/>
  <c r="B85" i="54"/>
  <c r="B86" i="54"/>
  <c r="B87" i="54"/>
  <c r="H81" i="54"/>
  <c r="H82" i="54"/>
  <c r="H83" i="54"/>
  <c r="H84" i="54"/>
  <c r="H85" i="54"/>
  <c r="H86" i="54"/>
  <c r="H87" i="54"/>
  <c r="L81" i="54"/>
  <c r="L82" i="54"/>
  <c r="L83" i="54"/>
  <c r="L84" i="54"/>
  <c r="L85" i="54"/>
  <c r="L86" i="54"/>
  <c r="L87" i="54"/>
  <c r="L74" i="54"/>
  <c r="L75" i="54"/>
  <c r="L76" i="54"/>
  <c r="L77" i="54"/>
  <c r="L78" i="54"/>
  <c r="L79" i="54"/>
  <c r="L80" i="54"/>
  <c r="B73" i="54"/>
  <c r="B74" i="54"/>
  <c r="B75" i="54"/>
  <c r="B76" i="54"/>
  <c r="B77" i="54"/>
  <c r="B78" i="54"/>
  <c r="B79" i="54"/>
  <c r="B80" i="54"/>
  <c r="H73" i="54"/>
  <c r="H74" i="54"/>
  <c r="H75" i="54"/>
  <c r="H76" i="54"/>
  <c r="H77" i="54"/>
  <c r="H78" i="54"/>
  <c r="H79" i="54"/>
  <c r="H80" i="54"/>
  <c r="L73" i="54"/>
  <c r="I13" i="65"/>
  <c r="I14" i="65"/>
  <c r="I15" i="65"/>
  <c r="I16" i="65"/>
  <c r="R13" i="65"/>
  <c r="G13" i="65"/>
  <c r="G14" i="65"/>
  <c r="G15" i="65"/>
  <c r="G16" i="65"/>
  <c r="L13" i="65"/>
  <c r="L14" i="65"/>
  <c r="L15" i="65"/>
  <c r="L16" i="65"/>
  <c r="M13" i="65"/>
  <c r="M14" i="65"/>
  <c r="M15" i="65"/>
  <c r="M16" i="65"/>
  <c r="O13" i="65"/>
  <c r="O14" i="65"/>
  <c r="O15" i="65"/>
  <c r="O16" i="65"/>
  <c r="U13" i="65"/>
  <c r="U14" i="65"/>
  <c r="U15" i="65"/>
  <c r="U16" i="65"/>
  <c r="S9" i="65"/>
  <c r="S10" i="65"/>
  <c r="S11" i="65"/>
  <c r="R11" i="65"/>
  <c r="R12" i="65"/>
  <c r="I10" i="65"/>
  <c r="I11" i="65"/>
  <c r="I12" i="65"/>
  <c r="H57" i="55"/>
  <c r="H58" i="55"/>
  <c r="H59" i="55"/>
  <c r="H60" i="55"/>
  <c r="H61" i="55"/>
  <c r="D57" i="55"/>
  <c r="D58" i="55"/>
  <c r="D59" i="55"/>
  <c r="D60" i="55"/>
  <c r="D61" i="55"/>
  <c r="B57" i="55"/>
  <c r="B58" i="55"/>
  <c r="B59" i="55"/>
  <c r="B60" i="55"/>
  <c r="B61" i="55"/>
  <c r="B55" i="55"/>
  <c r="B56" i="55"/>
  <c r="D2" i="72"/>
  <c r="J2" i="72"/>
  <c r="D3" i="72"/>
  <c r="J3" i="72"/>
  <c r="D4" i="72"/>
  <c r="J4" i="72"/>
  <c r="D5" i="72"/>
  <c r="J5" i="72"/>
  <c r="D6" i="72"/>
  <c r="J6" i="72"/>
  <c r="D7" i="72"/>
  <c r="J7" i="72"/>
  <c r="D8" i="72"/>
  <c r="J8" i="72"/>
  <c r="D9" i="72"/>
  <c r="J9" i="72"/>
  <c r="D10" i="72"/>
  <c r="J10" i="72"/>
  <c r="D11" i="72"/>
  <c r="J11" i="72"/>
  <c r="D12" i="72"/>
  <c r="J12" i="72"/>
  <c r="D13" i="72"/>
  <c r="J13" i="72"/>
  <c r="D14" i="72"/>
  <c r="J14" i="72"/>
  <c r="D15" i="72"/>
  <c r="J15" i="72"/>
  <c r="D16" i="72"/>
  <c r="J16" i="72"/>
  <c r="D17" i="72"/>
  <c r="J17" i="72"/>
  <c r="D18" i="72"/>
  <c r="J18" i="72"/>
  <c r="D19" i="72"/>
  <c r="J19" i="72"/>
  <c r="D20" i="72"/>
  <c r="J20" i="72"/>
  <c r="D21" i="72"/>
  <c r="J21" i="72"/>
  <c r="D22" i="72"/>
  <c r="J22" i="72"/>
  <c r="D23" i="72"/>
  <c r="J23" i="72"/>
  <c r="D24" i="72"/>
  <c r="J24" i="72"/>
  <c r="D25" i="72"/>
  <c r="J25" i="72"/>
  <c r="D26" i="72"/>
  <c r="J26" i="72"/>
  <c r="D27" i="72"/>
  <c r="J27" i="72"/>
  <c r="D28" i="72"/>
  <c r="J28" i="72"/>
  <c r="D29" i="72"/>
  <c r="J29" i="72"/>
  <c r="D30" i="72"/>
  <c r="J30" i="72"/>
  <c r="D31" i="72"/>
  <c r="J31" i="72"/>
  <c r="D32" i="72"/>
  <c r="J32" i="72"/>
  <c r="D33" i="72"/>
  <c r="J33" i="72"/>
  <c r="D34" i="72"/>
  <c r="J34" i="72"/>
  <c r="D35" i="72"/>
  <c r="J35" i="72"/>
  <c r="D36" i="72"/>
  <c r="J36" i="72"/>
  <c r="D37" i="72"/>
  <c r="J37" i="72"/>
  <c r="D38" i="72"/>
  <c r="J38" i="72"/>
  <c r="D39" i="72"/>
  <c r="J39" i="72"/>
  <c r="D40" i="72"/>
  <c r="J40" i="72"/>
  <c r="B17" i="53"/>
  <c r="B18" i="53"/>
  <c r="E2" i="69"/>
  <c r="E3" i="69"/>
  <c r="H61" i="59"/>
  <c r="H62" i="59"/>
  <c r="H64" i="59"/>
  <c r="H65" i="59"/>
  <c r="H66" i="59"/>
  <c r="H67" i="59"/>
  <c r="H68" i="59"/>
  <c r="H69" i="59"/>
  <c r="H70" i="59"/>
  <c r="H71" i="59"/>
  <c r="H72" i="59"/>
  <c r="H73" i="59"/>
  <c r="H74" i="59"/>
  <c r="H75" i="59"/>
  <c r="D61" i="59"/>
  <c r="D62" i="59"/>
  <c r="D64" i="59"/>
  <c r="D65" i="59"/>
  <c r="D66" i="59"/>
  <c r="D67" i="59"/>
  <c r="D68" i="59"/>
  <c r="D69" i="59"/>
  <c r="D70" i="59"/>
  <c r="D71" i="59"/>
  <c r="D72" i="59"/>
  <c r="D73" i="59"/>
  <c r="D74" i="59"/>
  <c r="D75" i="59"/>
  <c r="K29" i="60"/>
  <c r="B29" i="60"/>
  <c r="D29" i="60"/>
  <c r="B35" i="60"/>
  <c r="D35" i="60"/>
  <c r="K35" i="60"/>
  <c r="K33" i="60"/>
  <c r="B34" i="60"/>
  <c r="D34" i="60"/>
  <c r="K34" i="60"/>
  <c r="B33" i="60"/>
  <c r="D33" i="60"/>
  <c r="H47" i="55"/>
  <c r="B16" i="53"/>
  <c r="B15" i="53"/>
  <c r="D51" i="55"/>
  <c r="B51" i="55"/>
  <c r="B50" i="55"/>
  <c r="H48" i="55"/>
  <c r="H49" i="55"/>
  <c r="H50" i="55"/>
  <c r="H51" i="55"/>
  <c r="H52" i="55"/>
  <c r="H53" i="55"/>
  <c r="H54" i="55"/>
  <c r="H55" i="55"/>
  <c r="H56" i="55"/>
  <c r="D48" i="55"/>
  <c r="D49" i="55"/>
  <c r="D50" i="55"/>
  <c r="D52" i="55"/>
  <c r="D53" i="55"/>
  <c r="D54" i="55"/>
  <c r="D55" i="55"/>
  <c r="D56" i="55"/>
  <c r="B48" i="55"/>
  <c r="B49" i="55"/>
  <c r="B52" i="55"/>
  <c r="B53" i="55"/>
  <c r="B54" i="55"/>
  <c r="D45" i="55"/>
  <c r="B45" i="55"/>
  <c r="D43" i="55"/>
  <c r="D44" i="55"/>
  <c r="D46" i="55"/>
  <c r="B43" i="55"/>
  <c r="B44" i="55"/>
  <c r="B46" i="55"/>
  <c r="H35" i="55"/>
  <c r="H36" i="55"/>
  <c r="H37" i="55"/>
  <c r="H38" i="55"/>
  <c r="H39" i="55"/>
  <c r="H40" i="55"/>
  <c r="H41" i="55"/>
  <c r="H42" i="55"/>
  <c r="H43" i="55"/>
  <c r="H44" i="55"/>
  <c r="H45" i="55"/>
  <c r="H46" i="55"/>
  <c r="D40" i="55"/>
  <c r="B40" i="55"/>
  <c r="D38" i="55"/>
  <c r="B38" i="55"/>
  <c r="D36" i="55"/>
  <c r="D37" i="55"/>
  <c r="D39" i="55"/>
  <c r="D41" i="55"/>
  <c r="D42" i="55"/>
  <c r="D35" i="55"/>
  <c r="G11" i="65"/>
  <c r="G12" i="65"/>
  <c r="L11" i="65"/>
  <c r="L12" i="65"/>
  <c r="M11" i="65"/>
  <c r="M12" i="65"/>
  <c r="O11" i="65"/>
  <c r="O12" i="65"/>
  <c r="U11" i="65"/>
  <c r="U12" i="65"/>
  <c r="H69" i="54"/>
  <c r="H70" i="54"/>
  <c r="H71" i="54"/>
  <c r="H72" i="54"/>
  <c r="L69" i="54"/>
  <c r="L70" i="54"/>
  <c r="L71" i="54"/>
  <c r="L72" i="54"/>
  <c r="B69" i="54"/>
  <c r="B70" i="54"/>
  <c r="B71" i="54"/>
  <c r="B72" i="54"/>
  <c r="B68" i="54"/>
  <c r="H68" i="54"/>
  <c r="L68" i="54"/>
  <c r="B66" i="54"/>
  <c r="B67" i="54"/>
  <c r="H66" i="54"/>
  <c r="H67" i="54"/>
  <c r="L66" i="54"/>
  <c r="L67" i="54"/>
  <c r="B65" i="54"/>
  <c r="H65" i="54"/>
  <c r="L65" i="54"/>
  <c r="B44" i="54"/>
  <c r="H44" i="54"/>
  <c r="L44" i="54"/>
  <c r="B45" i="54"/>
  <c r="H45" i="54"/>
  <c r="L45" i="54"/>
  <c r="B46" i="54"/>
  <c r="H46" i="54"/>
  <c r="L46" i="54"/>
  <c r="B35" i="55"/>
  <c r="B36" i="55"/>
  <c r="B37" i="55"/>
  <c r="B39" i="55"/>
  <c r="B41" i="55"/>
  <c r="B42" i="55"/>
  <c r="R10" i="65"/>
  <c r="H60" i="59"/>
  <c r="H59" i="59"/>
  <c r="D60" i="59"/>
  <c r="D59" i="59"/>
  <c r="B32" i="60" l="1"/>
  <c r="D32" i="60"/>
  <c r="K32" i="60"/>
  <c r="B63" i="54"/>
  <c r="H63" i="54"/>
  <c r="L63" i="54"/>
  <c r="B62" i="54"/>
  <c r="H62" i="54"/>
  <c r="L62" i="54"/>
  <c r="B64" i="54"/>
  <c r="H64" i="54"/>
  <c r="L64" i="54"/>
  <c r="B48" i="54"/>
  <c r="H48" i="54"/>
  <c r="L48" i="54"/>
  <c r="B49" i="54"/>
  <c r="H49" i="54"/>
  <c r="L49" i="54"/>
  <c r="B50" i="54"/>
  <c r="H50" i="54"/>
  <c r="L50" i="54"/>
  <c r="B51" i="54"/>
  <c r="H51" i="54"/>
  <c r="L51" i="54"/>
  <c r="B52" i="54"/>
  <c r="H52" i="54"/>
  <c r="L52" i="54"/>
  <c r="B53" i="54"/>
  <c r="H53" i="54"/>
  <c r="L53" i="54"/>
  <c r="B54" i="54"/>
  <c r="H54" i="54"/>
  <c r="L54" i="54"/>
  <c r="B55" i="54"/>
  <c r="H55" i="54"/>
  <c r="L55" i="54"/>
  <c r="B56" i="54"/>
  <c r="H56" i="54"/>
  <c r="L56" i="54"/>
  <c r="B57" i="54"/>
  <c r="H57" i="54"/>
  <c r="L57" i="54"/>
  <c r="B58" i="54"/>
  <c r="H58" i="54"/>
  <c r="L58" i="54"/>
  <c r="B59" i="54"/>
  <c r="H59" i="54"/>
  <c r="L59" i="54"/>
  <c r="B60" i="54"/>
  <c r="H60" i="54"/>
  <c r="L60" i="54"/>
  <c r="B61" i="54"/>
  <c r="H61" i="54"/>
  <c r="L61" i="54"/>
  <c r="R9" i="65"/>
  <c r="B14" i="53" l="1"/>
  <c r="B13" i="53"/>
  <c r="H34" i="55" l="1"/>
  <c r="D34" i="55"/>
  <c r="B34" i="55"/>
  <c r="B30" i="60"/>
  <c r="D30" i="60"/>
  <c r="K30" i="60"/>
  <c r="K28" i="60"/>
  <c r="B28" i="60"/>
  <c r="D28" i="60"/>
  <c r="H2" i="54" l="1"/>
  <c r="H3" i="54"/>
  <c r="H5" i="54"/>
  <c r="H7" i="54"/>
  <c r="H8" i="54"/>
  <c r="H9" i="54"/>
  <c r="H10" i="54"/>
  <c r="H12" i="54"/>
  <c r="H14" i="54"/>
  <c r="H15" i="54"/>
  <c r="H16" i="54"/>
  <c r="H17" i="54"/>
  <c r="H18" i="54"/>
  <c r="H19" i="54"/>
  <c r="H20" i="54"/>
  <c r="H21" i="54"/>
  <c r="H22" i="54"/>
  <c r="H23" i="54"/>
  <c r="H24" i="54"/>
  <c r="H25" i="54"/>
  <c r="H26" i="54"/>
  <c r="H27" i="54"/>
  <c r="H28" i="54"/>
  <c r="H29" i="54"/>
  <c r="H30" i="54"/>
  <c r="H31" i="54"/>
  <c r="H32" i="54"/>
  <c r="H33" i="54"/>
  <c r="H34" i="54"/>
  <c r="H35" i="54"/>
  <c r="H36" i="54"/>
  <c r="H37" i="54"/>
  <c r="H38" i="54"/>
  <c r="H39" i="54"/>
  <c r="H40" i="54"/>
  <c r="H41" i="54"/>
  <c r="H42" i="54"/>
  <c r="H43" i="54"/>
  <c r="H47" i="54"/>
  <c r="K27" i="60"/>
  <c r="K26" i="60"/>
  <c r="B27" i="60"/>
  <c r="D27" i="60"/>
  <c r="B26" i="60"/>
  <c r="D26" i="60"/>
  <c r="H33" i="55"/>
  <c r="D33" i="55"/>
  <c r="B33" i="55"/>
  <c r="H28" i="55"/>
  <c r="H29" i="55"/>
  <c r="H30" i="55"/>
  <c r="H31" i="55"/>
  <c r="H32" i="55"/>
  <c r="D28" i="55"/>
  <c r="D29" i="55"/>
  <c r="D30" i="55"/>
  <c r="D31" i="55"/>
  <c r="D32" i="55"/>
  <c r="B28" i="55"/>
  <c r="B29" i="55"/>
  <c r="B30" i="55"/>
  <c r="B31" i="55"/>
  <c r="B32" i="55"/>
  <c r="H27" i="55"/>
  <c r="D27" i="55"/>
  <c r="B27" i="55"/>
  <c r="H22" i="55"/>
  <c r="H23" i="55"/>
  <c r="H24" i="55"/>
  <c r="H25" i="55"/>
  <c r="H26" i="55"/>
  <c r="D23" i="55"/>
  <c r="D24" i="55"/>
  <c r="D25" i="55"/>
  <c r="D26" i="55"/>
  <c r="B23" i="55"/>
  <c r="B24" i="55"/>
  <c r="B25" i="55"/>
  <c r="B26" i="55"/>
  <c r="D22" i="55"/>
  <c r="B22" i="55"/>
  <c r="Z37" i="59" l="1"/>
  <c r="Z38" i="59"/>
  <c r="Z39" i="59"/>
  <c r="Z40" i="59"/>
  <c r="Z41" i="59"/>
  <c r="Z42" i="59"/>
  <c r="Z43" i="59"/>
  <c r="Z44" i="59"/>
  <c r="Z45" i="59"/>
  <c r="Z46" i="59"/>
  <c r="Z47" i="59"/>
  <c r="Z48" i="59"/>
  <c r="Z49" i="59"/>
  <c r="Z50" i="59"/>
  <c r="Z51" i="59"/>
  <c r="Z52" i="59"/>
  <c r="Z53" i="59"/>
  <c r="Z54" i="59"/>
  <c r="Z55" i="59"/>
  <c r="Z56" i="59"/>
  <c r="Z57" i="59"/>
  <c r="Z58" i="59"/>
  <c r="H47" i="59"/>
  <c r="H48" i="59"/>
  <c r="H49" i="59"/>
  <c r="H50" i="59"/>
  <c r="H51" i="59"/>
  <c r="H52" i="59"/>
  <c r="H53" i="59"/>
  <c r="H54" i="59"/>
  <c r="H55" i="59"/>
  <c r="H56" i="59"/>
  <c r="H57" i="59"/>
  <c r="H58" i="59"/>
  <c r="H44" i="59"/>
  <c r="H45" i="59"/>
  <c r="H46" i="59"/>
  <c r="D47" i="59"/>
  <c r="D48" i="59"/>
  <c r="D49" i="59"/>
  <c r="D50" i="59"/>
  <c r="D51" i="59"/>
  <c r="D52" i="59"/>
  <c r="D53" i="59"/>
  <c r="D54" i="59"/>
  <c r="D55" i="59"/>
  <c r="D56" i="59"/>
  <c r="D57" i="59"/>
  <c r="D58" i="59"/>
  <c r="K25" i="60" l="1"/>
  <c r="B25" i="60"/>
  <c r="D25" i="60"/>
  <c r="B47" i="54"/>
  <c r="L47" i="54"/>
  <c r="K24" i="60"/>
  <c r="B24" i="60"/>
  <c r="D24" i="60"/>
  <c r="G10" i="65"/>
  <c r="L10" i="65"/>
  <c r="M10" i="65"/>
  <c r="O10" i="65"/>
  <c r="U10" i="65"/>
  <c r="O3" i="65"/>
  <c r="O4" i="65"/>
  <c r="O5" i="65"/>
  <c r="O6" i="65"/>
  <c r="O7" i="65"/>
  <c r="O8" i="65"/>
  <c r="O9" i="65"/>
  <c r="I4" i="65"/>
  <c r="I5" i="65"/>
  <c r="I6" i="65"/>
  <c r="I7" i="65"/>
  <c r="I8" i="65"/>
  <c r="I9" i="65"/>
  <c r="G9" i="65"/>
  <c r="L9" i="65"/>
  <c r="M9" i="65"/>
  <c r="U9" i="65"/>
  <c r="B43" i="54"/>
  <c r="L43" i="54"/>
  <c r="B42" i="54"/>
  <c r="L42" i="54"/>
  <c r="B41" i="54"/>
  <c r="L41" i="54"/>
  <c r="B40" i="54"/>
  <c r="L40" i="54"/>
  <c r="B39" i="54"/>
  <c r="L39" i="54"/>
  <c r="B38" i="54"/>
  <c r="L38" i="54"/>
  <c r="B12" i="53"/>
  <c r="B37" i="54"/>
  <c r="L37" i="54"/>
  <c r="K23" i="60"/>
  <c r="B23" i="60"/>
  <c r="D23" i="60"/>
  <c r="S8" i="65"/>
  <c r="B36" i="54"/>
  <c r="L36" i="54"/>
  <c r="K22" i="60"/>
  <c r="B22" i="60"/>
  <c r="D22" i="60"/>
  <c r="K21" i="60"/>
  <c r="B21" i="60"/>
  <c r="D21" i="60"/>
  <c r="K19" i="60"/>
  <c r="B19" i="60"/>
  <c r="D19" i="60"/>
  <c r="U3" i="65"/>
  <c r="U4" i="65"/>
  <c r="U5" i="65"/>
  <c r="U6" i="65"/>
  <c r="U7" i="65"/>
  <c r="U8" i="65"/>
  <c r="U2" i="65"/>
  <c r="R8" i="65"/>
  <c r="G8" i="65"/>
  <c r="L8" i="65"/>
  <c r="M8" i="65"/>
  <c r="B11" i="53"/>
  <c r="S7" i="65"/>
  <c r="R7" i="65"/>
  <c r="M7" i="65"/>
  <c r="L7" i="65"/>
  <c r="G7" i="65"/>
  <c r="B35" i="54"/>
  <c r="L35" i="54"/>
  <c r="B10" i="53"/>
  <c r="B9" i="53"/>
  <c r="H12" i="55"/>
  <c r="D12" i="55"/>
  <c r="B12" i="55"/>
  <c r="H11" i="55"/>
  <c r="D11" i="55"/>
  <c r="B11" i="55"/>
  <c r="H8" i="55"/>
  <c r="H9" i="55"/>
  <c r="H10" i="55"/>
  <c r="H13" i="55"/>
  <c r="H14" i="55"/>
  <c r="H15" i="55"/>
  <c r="H16" i="55"/>
  <c r="H17" i="55"/>
  <c r="H18" i="55"/>
  <c r="H19" i="55"/>
  <c r="H20" i="55"/>
  <c r="H21" i="55"/>
  <c r="B8" i="55"/>
  <c r="B9" i="55"/>
  <c r="B10" i="55"/>
  <c r="B13" i="55"/>
  <c r="B14" i="55"/>
  <c r="B15" i="55"/>
  <c r="B16" i="55"/>
  <c r="B17" i="55"/>
  <c r="B18" i="55"/>
  <c r="B19" i="55"/>
  <c r="B20" i="55"/>
  <c r="B21" i="55"/>
  <c r="D9" i="55"/>
  <c r="D10" i="55"/>
  <c r="D13" i="55"/>
  <c r="D14" i="55"/>
  <c r="D15" i="55"/>
  <c r="D16" i="55"/>
  <c r="D17" i="55"/>
  <c r="D18" i="55"/>
  <c r="D19" i="55"/>
  <c r="D20" i="55"/>
  <c r="D21" i="55"/>
  <c r="D8" i="55"/>
  <c r="E3" i="68" l="1"/>
  <c r="C3" i="68"/>
  <c r="B3" i="68"/>
  <c r="H38" i="59" l="1"/>
  <c r="H39" i="59"/>
  <c r="H40" i="59"/>
  <c r="H41" i="59"/>
  <c r="H42" i="59"/>
  <c r="H43" i="59"/>
  <c r="H37" i="59"/>
  <c r="D22" i="59"/>
  <c r="D2" i="59"/>
  <c r="D5" i="59"/>
  <c r="D6" i="59"/>
  <c r="D7" i="59"/>
  <c r="D8" i="59"/>
  <c r="D9" i="59"/>
  <c r="D10" i="59"/>
  <c r="D11" i="59"/>
  <c r="D13" i="59"/>
  <c r="D14" i="59"/>
  <c r="D15" i="59"/>
  <c r="D16" i="59"/>
  <c r="D17" i="59"/>
  <c r="D18" i="59"/>
  <c r="D19" i="59"/>
  <c r="D20" i="59"/>
  <c r="D21" i="59"/>
  <c r="D23" i="59"/>
  <c r="D24" i="59"/>
  <c r="D25" i="59"/>
  <c r="D26" i="59"/>
  <c r="D28" i="59"/>
  <c r="D29" i="59"/>
  <c r="D31" i="59"/>
  <c r="D32" i="59"/>
  <c r="D33" i="59"/>
  <c r="D34" i="59"/>
  <c r="D35" i="59"/>
  <c r="D36" i="59"/>
  <c r="D37" i="59"/>
  <c r="D38" i="59"/>
  <c r="D39" i="59"/>
  <c r="D40" i="59"/>
  <c r="D41" i="59"/>
  <c r="D42" i="59"/>
  <c r="D43" i="59"/>
  <c r="D44" i="59"/>
  <c r="D45" i="59"/>
  <c r="D46" i="59"/>
  <c r="B14" i="60"/>
  <c r="D14" i="60"/>
  <c r="K14" i="60"/>
  <c r="D3" i="60"/>
  <c r="B3" i="60"/>
  <c r="K3" i="60"/>
  <c r="B11" i="60"/>
  <c r="D11" i="60"/>
  <c r="K2" i="60"/>
  <c r="K4" i="60"/>
  <c r="K6" i="60"/>
  <c r="K7" i="60"/>
  <c r="K8" i="60"/>
  <c r="K9" i="60"/>
  <c r="K10" i="60"/>
  <c r="K12" i="60"/>
  <c r="K13" i="60"/>
  <c r="K15" i="60"/>
  <c r="K16" i="60"/>
  <c r="K17" i="60"/>
  <c r="K18" i="60"/>
  <c r="K20" i="60"/>
  <c r="M13" i="60"/>
  <c r="B14" i="54"/>
  <c r="L14" i="54"/>
  <c r="B34" i="54"/>
  <c r="L34" i="54"/>
  <c r="B33" i="54"/>
  <c r="L33" i="54"/>
  <c r="B32" i="54"/>
  <c r="L32" i="54"/>
  <c r="B22" i="54"/>
  <c r="L22" i="54"/>
  <c r="D2" i="60"/>
  <c r="D4" i="60"/>
  <c r="D5" i="60"/>
  <c r="D6" i="60"/>
  <c r="D7" i="60"/>
  <c r="D8" i="60"/>
  <c r="D9" i="60"/>
  <c r="D10" i="60"/>
  <c r="D12" i="60"/>
  <c r="D13" i="60"/>
  <c r="D15" i="60"/>
  <c r="D16" i="60"/>
  <c r="D17" i="60"/>
  <c r="D18" i="60"/>
  <c r="D20" i="60"/>
  <c r="M10" i="60"/>
  <c r="B27" i="54"/>
  <c r="L27" i="54"/>
  <c r="B28" i="54"/>
  <c r="L28" i="54"/>
  <c r="D17" i="54"/>
  <c r="B17" i="54"/>
  <c r="L17" i="54"/>
  <c r="D2" i="54" l="1"/>
  <c r="B2" i="54"/>
  <c r="L2" i="54"/>
  <c r="B10" i="54"/>
  <c r="L10" i="54"/>
  <c r="B12" i="54"/>
  <c r="L12" i="54"/>
  <c r="H2" i="59"/>
  <c r="H3" i="59"/>
  <c r="H4" i="59"/>
  <c r="H5" i="59"/>
  <c r="H6" i="59"/>
  <c r="H7" i="59"/>
  <c r="H8" i="59"/>
  <c r="H9" i="59"/>
  <c r="H10" i="59"/>
  <c r="H11" i="59"/>
  <c r="H12" i="59"/>
  <c r="H13" i="59"/>
  <c r="H14" i="59"/>
  <c r="H15" i="59"/>
  <c r="H16" i="59"/>
  <c r="H17" i="59"/>
  <c r="H18" i="59"/>
  <c r="H19" i="59"/>
  <c r="H20" i="59"/>
  <c r="H21" i="59"/>
  <c r="H22" i="59"/>
  <c r="H23" i="59"/>
  <c r="H24" i="59"/>
  <c r="H25" i="59"/>
  <c r="H26" i="59"/>
  <c r="H27" i="59"/>
  <c r="H28" i="59"/>
  <c r="H29" i="59"/>
  <c r="H30" i="59"/>
  <c r="H31" i="59"/>
  <c r="H32" i="59"/>
  <c r="H33" i="59"/>
  <c r="H34" i="59"/>
  <c r="H35" i="59"/>
  <c r="H36" i="59"/>
  <c r="Z2" i="59"/>
  <c r="Z3" i="59"/>
  <c r="Z4" i="59"/>
  <c r="Z5" i="59"/>
  <c r="Z6" i="59"/>
  <c r="Z7" i="59"/>
  <c r="Z8" i="59"/>
  <c r="Z9" i="59"/>
  <c r="Z10" i="59"/>
  <c r="Z11" i="59"/>
  <c r="Z12" i="59"/>
  <c r="Z13" i="59"/>
  <c r="Z14" i="59"/>
  <c r="Z15" i="59"/>
  <c r="Z16" i="59"/>
  <c r="Z17" i="59"/>
  <c r="Z18" i="59"/>
  <c r="Z19" i="59"/>
  <c r="Z20" i="59"/>
  <c r="Z21" i="59"/>
  <c r="Z22" i="59"/>
  <c r="Z23" i="59"/>
  <c r="Z24" i="59"/>
  <c r="Z25" i="59"/>
  <c r="Z26" i="59"/>
  <c r="Z27" i="59"/>
  <c r="Z28" i="59"/>
  <c r="Z29" i="59"/>
  <c r="Z30" i="59"/>
  <c r="Z31" i="59"/>
  <c r="Z32" i="59"/>
  <c r="Z33" i="59"/>
  <c r="Z34" i="59"/>
  <c r="Z35" i="59"/>
  <c r="Z36" i="59"/>
  <c r="B30" i="54"/>
  <c r="L30" i="54"/>
  <c r="B26" i="54"/>
  <c r="L26" i="54"/>
  <c r="B24" i="54"/>
  <c r="L24" i="54"/>
  <c r="B21" i="54"/>
  <c r="L21" i="54"/>
  <c r="B19" i="54"/>
  <c r="L19" i="54"/>
  <c r="B9" i="54"/>
  <c r="L9" i="54"/>
  <c r="B8" i="54"/>
  <c r="L8" i="54"/>
  <c r="D5" i="54"/>
  <c r="B5" i="54"/>
  <c r="L5" i="54"/>
  <c r="D7" i="54"/>
  <c r="D3" i="54"/>
  <c r="E2" i="68"/>
  <c r="C2" i="68"/>
  <c r="B2" i="68"/>
  <c r="H3" i="55"/>
  <c r="H4" i="55"/>
  <c r="H5" i="55"/>
  <c r="H6" i="55"/>
  <c r="H7" i="55"/>
  <c r="H2" i="55"/>
  <c r="R3" i="65"/>
  <c r="S3" i="65"/>
  <c r="R4" i="65"/>
  <c r="S4" i="65"/>
  <c r="R5" i="65"/>
  <c r="S5" i="65"/>
  <c r="R6" i="65"/>
  <c r="S6" i="65"/>
  <c r="S2" i="65"/>
  <c r="R2" i="65"/>
  <c r="M2" i="65"/>
  <c r="M3" i="65"/>
  <c r="M4" i="65"/>
  <c r="M5" i="65"/>
  <c r="M6" i="65"/>
  <c r="L3" i="65"/>
  <c r="L4" i="65"/>
  <c r="L5" i="65"/>
  <c r="L6" i="65"/>
  <c r="L2" i="65"/>
  <c r="B2" i="53"/>
  <c r="O2" i="65"/>
  <c r="I3" i="65"/>
  <c r="I2" i="65"/>
  <c r="L7" i="54"/>
  <c r="L15" i="54"/>
  <c r="L16" i="54"/>
  <c r="L18" i="54"/>
  <c r="L20" i="54"/>
  <c r="L23" i="54"/>
  <c r="L25" i="54"/>
  <c r="L29" i="54"/>
  <c r="L31" i="54"/>
  <c r="L3" i="54"/>
  <c r="B4" i="60"/>
  <c r="B5" i="60"/>
  <c r="B6" i="60"/>
  <c r="B7" i="60"/>
  <c r="B8" i="60"/>
  <c r="B9" i="60"/>
  <c r="B10" i="60"/>
  <c r="B12" i="60"/>
  <c r="B13" i="60"/>
  <c r="B15" i="60"/>
  <c r="B16" i="60"/>
  <c r="B17" i="60"/>
  <c r="B18" i="60"/>
  <c r="B20" i="60"/>
  <c r="B2" i="60"/>
  <c r="B3" i="55"/>
  <c r="B4" i="55"/>
  <c r="B5" i="55"/>
  <c r="B6" i="55"/>
  <c r="B7" i="55"/>
  <c r="B2" i="55"/>
  <c r="B3" i="53"/>
  <c r="B4" i="53"/>
  <c r="B5" i="53"/>
  <c r="B6" i="53"/>
  <c r="B7" i="53"/>
  <c r="B8" i="53"/>
  <c r="G6" i="65"/>
  <c r="G5" i="65"/>
  <c r="G3" i="65"/>
  <c r="G4" i="65"/>
  <c r="G2" i="65"/>
  <c r="D3" i="55"/>
  <c r="D4" i="55"/>
  <c r="D5" i="55"/>
  <c r="D6" i="55"/>
  <c r="D7" i="55"/>
  <c r="D2" i="55"/>
  <c r="B31" i="54" l="1"/>
  <c r="B29" i="54"/>
  <c r="B23" i="54"/>
  <c r="B25" i="54"/>
  <c r="B20" i="54"/>
  <c r="B18" i="54"/>
  <c r="B7" i="54"/>
  <c r="B16" i="54"/>
  <c r="B3" i="54"/>
  <c r="B15" i="54"/>
  <c r="K5" i="6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2016014</author>
  </authors>
  <commentList>
    <comment ref="AA1" authorId="0" shapeId="0" xr:uid="{4DD80DE7-931F-49C1-8532-E442FB8C9104}">
      <text>
        <r>
          <rPr>
            <b/>
            <sz val="9"/>
            <color rgb="FF000000"/>
            <rFont val="MS P ゴシック"/>
            <charset val="128"/>
          </rPr>
          <t>2016014:</t>
        </r>
        <r>
          <rPr>
            <sz val="9"/>
            <color rgb="FF000000"/>
            <rFont val="MS P ゴシック"/>
            <charset val="128"/>
          </rPr>
          <t xml:space="preserve">
</t>
        </r>
        <r>
          <rPr>
            <sz val="9"/>
            <color rgb="FF000000"/>
            <rFont val="MS P ゴシック"/>
            <charset val="128"/>
          </rPr>
          <t>生存：</t>
        </r>
        <r>
          <rPr>
            <sz val="9"/>
            <color rgb="FF000000"/>
            <rFont val="游ゴシック"/>
            <family val="3"/>
            <charset val="128"/>
          </rPr>
          <t>0</t>
        </r>
        <r>
          <rPr>
            <sz val="9"/>
            <color rgb="FF000000"/>
            <rFont val="游ゴシック"/>
            <family val="3"/>
            <charset val="128"/>
          </rPr>
          <t xml:space="preserve">
</t>
        </r>
        <r>
          <rPr>
            <sz val="9"/>
            <color rgb="FF000000"/>
            <rFont val="MS P ゴシック"/>
            <charset val="128"/>
          </rPr>
          <t>死亡：</t>
        </r>
        <r>
          <rPr>
            <sz val="9"/>
            <color rgb="FF000000"/>
            <rFont val="游ゴシック"/>
            <family val="3"/>
            <charset val="128"/>
          </rPr>
          <t>1</t>
        </r>
        <r>
          <rPr>
            <sz val="9"/>
            <color rgb="FF000000"/>
            <rFont val="游ゴシック"/>
            <family val="3"/>
            <charset val="128"/>
          </rPr>
          <t xml:space="preserve">
</t>
        </r>
        <r>
          <rPr>
            <sz val="9"/>
            <color rgb="FF000000"/>
            <rFont val="MS P ゴシック"/>
            <charset val="128"/>
          </rPr>
          <t>行方不明・生死不明：</t>
        </r>
        <r>
          <rPr>
            <sz val="9"/>
            <color rgb="FF000000"/>
            <rFont val="MS P ゴシック"/>
            <charset val="128"/>
          </rPr>
          <t>2</t>
        </r>
      </text>
    </comment>
    <comment ref="AB1" authorId="0" shapeId="0" xr:uid="{4E2A0557-AB91-4996-8C3B-0C762FBB6871}">
      <text>
        <r>
          <rPr>
            <b/>
            <sz val="9"/>
            <color rgb="FF000000"/>
            <rFont val="MS P ゴシック"/>
            <charset val="128"/>
          </rPr>
          <t>2016014:</t>
        </r>
        <r>
          <rPr>
            <sz val="9"/>
            <color rgb="FF000000"/>
            <rFont val="MS P ゴシック"/>
            <charset val="128"/>
          </rPr>
          <t xml:space="preserve">
</t>
        </r>
        <r>
          <rPr>
            <sz val="9"/>
            <color rgb="FF000000"/>
            <rFont val="MS P ゴシック"/>
            <charset val="128"/>
          </rPr>
          <t>目次に出るようなキャラ：</t>
        </r>
        <r>
          <rPr>
            <sz val="9"/>
            <color rgb="FF000000"/>
            <rFont val="MS P ゴシック"/>
            <charset val="128"/>
          </rPr>
          <t xml:space="preserve">A
</t>
        </r>
        <r>
          <rPr>
            <sz val="9"/>
            <color rgb="FF000000"/>
            <rFont val="MS P ゴシック"/>
            <charset val="128"/>
          </rPr>
          <t>過去目次にいた、重要そう：</t>
        </r>
        <r>
          <rPr>
            <sz val="9"/>
            <color rgb="FF000000"/>
            <rFont val="MS P ゴシック"/>
            <charset val="128"/>
          </rPr>
          <t xml:space="preserve">B
</t>
        </r>
        <r>
          <rPr>
            <sz val="9"/>
            <color rgb="FF000000"/>
            <rFont val="MS P ゴシック"/>
            <charset val="128"/>
          </rPr>
          <t>その他：</t>
        </r>
        <r>
          <rPr>
            <sz val="9"/>
            <color rgb="FF000000"/>
            <rFont val="MS P ゴシック"/>
            <charset val="128"/>
          </rPr>
          <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2016014</author>
  </authors>
  <commentList>
    <comment ref="L1" authorId="0" shapeId="0" xr:uid="{BB2EAF88-A033-45A1-A52B-0A31C04D5A3D}">
      <text>
        <r>
          <rPr>
            <b/>
            <sz val="9"/>
            <color rgb="FF000000"/>
            <rFont val="MS P ゴシック"/>
            <charset val="128"/>
          </rPr>
          <t>2016014:</t>
        </r>
        <r>
          <rPr>
            <sz val="9"/>
            <color rgb="FF000000"/>
            <rFont val="MS P ゴシック"/>
            <charset val="128"/>
          </rPr>
          <t xml:space="preserve">
</t>
        </r>
        <r>
          <rPr>
            <sz val="9"/>
            <color rgb="FF000000"/>
            <rFont val="MS P ゴシック"/>
            <charset val="128"/>
          </rPr>
          <t>複数いるときはカンマ区切り</t>
        </r>
      </text>
    </comment>
    <comment ref="V1" authorId="0" shapeId="0" xr:uid="{752D935C-0948-4073-9292-B5684820CA76}">
      <text>
        <r>
          <rPr>
            <b/>
            <sz val="9"/>
            <color indexed="81"/>
            <rFont val="MS P ゴシック"/>
            <family val="3"/>
            <charset val="128"/>
          </rPr>
          <t>2016014:</t>
        </r>
        <r>
          <rPr>
            <sz val="9"/>
            <color indexed="81"/>
            <rFont val="MS P ゴシック"/>
            <family val="3"/>
            <charset val="128"/>
          </rPr>
          <t xml:space="preserve">
タイマン、チーム戦、乱戦、軍団戦、艦隊戦、サバイバル、攻城戦</t>
        </r>
      </text>
    </comment>
  </commentList>
</comments>
</file>

<file path=xl/sharedStrings.xml><?xml version="1.0" encoding="utf-8"?>
<sst xmlns="http://schemas.openxmlformats.org/spreadsheetml/2006/main" count="5603" uniqueCount="2181">
  <si>
    <t>身長</t>
  </si>
  <si>
    <t>その他</t>
  </si>
  <si>
    <t>ゴール・D・ロジャー</t>
  </si>
  <si>
    <t>ラッキー・ルウ</t>
  </si>
  <si>
    <t>ヤソップ</t>
  </si>
  <si>
    <t>ベン・ベックマン</t>
  </si>
  <si>
    <t>マキノ</t>
  </si>
  <si>
    <t>ヒグマ</t>
  </si>
  <si>
    <t>コビー</t>
  </si>
  <si>
    <t>アルビダ</t>
  </si>
  <si>
    <t>ヘルメッポ</t>
  </si>
  <si>
    <t>モーガン</t>
  </si>
  <si>
    <t>くいな</t>
  </si>
  <si>
    <t>コウシロウ</t>
  </si>
  <si>
    <t>名前</t>
    <rPh sb="0" eb="2">
      <t>ナマエ</t>
    </rPh>
    <phoneticPr fontId="1"/>
  </si>
  <si>
    <t>麦わらの一味</t>
    <rPh sb="0" eb="1">
      <t>ムギワ</t>
    </rPh>
    <rPh sb="4" eb="6">
      <t>イチミ</t>
    </rPh>
    <phoneticPr fontId="1"/>
  </si>
  <si>
    <t>血液型</t>
    <rPh sb="0" eb="3">
      <t xml:space="preserve">ケツエキガタ </t>
    </rPh>
    <phoneticPr fontId="1"/>
  </si>
  <si>
    <t>好物</t>
    <rPh sb="0" eb="2">
      <t>コウブテゥ</t>
    </rPh>
    <phoneticPr fontId="1"/>
  </si>
  <si>
    <t>東の海</t>
    <rPh sb="0" eb="1">
      <t>ヒガセィ</t>
    </rPh>
    <phoneticPr fontId="1"/>
  </si>
  <si>
    <t>フーシャ村</t>
  </si>
  <si>
    <t>フーシャ村</t>
    <phoneticPr fontId="1"/>
  </si>
  <si>
    <t>ローグタウン</t>
  </si>
  <si>
    <t>S</t>
  </si>
  <si>
    <t>Dの一族</t>
    <rPh sb="2" eb="4">
      <t>イチゾク</t>
    </rPh>
    <phoneticPr fontId="1"/>
  </si>
  <si>
    <t>嫌いな食べ物</t>
    <rPh sb="0" eb="1">
      <t>キライ</t>
    </rPh>
    <rPh sb="3" eb="4">
      <t>タベn</t>
    </rPh>
    <phoneticPr fontId="1"/>
  </si>
  <si>
    <t>薬</t>
    <rPh sb="0" eb="1">
      <t>クスリ</t>
    </rPh>
    <phoneticPr fontId="1"/>
  </si>
  <si>
    <t>所属船</t>
    <rPh sb="0" eb="2">
      <t>ショゾク</t>
    </rPh>
    <rPh sb="2" eb="3">
      <t>フネ</t>
    </rPh>
    <phoneticPr fontId="1"/>
  </si>
  <si>
    <t>オーロ・ジャクソン号</t>
    <rPh sb="9" eb="10">
      <t>ゴウ</t>
    </rPh>
    <phoneticPr fontId="1"/>
  </si>
  <si>
    <t>西の海</t>
    <rPh sb="0" eb="1">
      <t>ニシノ</t>
    </rPh>
    <phoneticPr fontId="1"/>
  </si>
  <si>
    <t>XF</t>
  </si>
  <si>
    <t>キムチ炒飯、ロブスター</t>
    <rPh sb="3" eb="5">
      <t xml:space="preserve">チャーハン </t>
    </rPh>
    <phoneticPr fontId="1"/>
  </si>
  <si>
    <t>趣味</t>
    <rPh sb="0" eb="2">
      <t>シュミ</t>
    </rPh>
    <phoneticPr fontId="1"/>
  </si>
  <si>
    <t>放浪</t>
    <rPh sb="0" eb="2">
      <t>ホウロウ</t>
    </rPh>
    <phoneticPr fontId="1"/>
  </si>
  <si>
    <t>二つ名</t>
    <rPh sb="0" eb="1">
      <t xml:space="preserve">フタツナ </t>
    </rPh>
    <phoneticPr fontId="1"/>
  </si>
  <si>
    <t>赤髪のシャンクス</t>
    <rPh sb="0" eb="2">
      <t>アカガミ</t>
    </rPh>
    <phoneticPr fontId="1"/>
  </si>
  <si>
    <t>麦わらのルフィ</t>
    <rPh sb="0" eb="1">
      <t>ムギワ</t>
    </rPh>
    <phoneticPr fontId="1"/>
  </si>
  <si>
    <t>ゴムゴムの実</t>
    <rPh sb="5" eb="6">
      <t xml:space="preserve">ミ </t>
    </rPh>
    <phoneticPr fontId="1"/>
  </si>
  <si>
    <t>所属</t>
    <rPh sb="0" eb="2">
      <t>ショゾク</t>
    </rPh>
    <phoneticPr fontId="1"/>
  </si>
  <si>
    <t>役職</t>
    <rPh sb="0" eb="2">
      <t>ヤクショ</t>
    </rPh>
    <phoneticPr fontId="1"/>
  </si>
  <si>
    <t>船長</t>
    <rPh sb="0" eb="2">
      <t>センチョウ</t>
    </rPh>
    <phoneticPr fontId="1"/>
  </si>
  <si>
    <t>ロジャー海賊団</t>
    <rPh sb="4" eb="7">
      <t>カイゾク</t>
    </rPh>
    <phoneticPr fontId="1"/>
  </si>
  <si>
    <t>肉全般</t>
    <rPh sb="0" eb="3">
      <t>ニク</t>
    </rPh>
    <phoneticPr fontId="1"/>
  </si>
  <si>
    <t>Dの一族／超新星</t>
    <rPh sb="2" eb="4">
      <t>イチゾク</t>
    </rPh>
    <rPh sb="5" eb="8">
      <t>チョウシンセイ</t>
    </rPh>
    <phoneticPr fontId="1"/>
  </si>
  <si>
    <t>レッド・フォース号</t>
    <rPh sb="8" eb="9">
      <t>ゴウ</t>
    </rPh>
    <phoneticPr fontId="1"/>
  </si>
  <si>
    <t>イメージ動物</t>
    <rPh sb="4" eb="6">
      <t>ドウブテゥ</t>
    </rPh>
    <phoneticPr fontId="1"/>
  </si>
  <si>
    <t>赤髪海賊団</t>
    <rPh sb="0" eb="2">
      <t>アカガミ</t>
    </rPh>
    <rPh sb="2" eb="5">
      <t>カイゾク</t>
    </rPh>
    <phoneticPr fontId="1"/>
  </si>
  <si>
    <t>大頭</t>
    <rPh sb="0" eb="2">
      <t xml:space="preserve">オオガシラ </t>
    </rPh>
    <phoneticPr fontId="1"/>
  </si>
  <si>
    <t>南の海</t>
    <rPh sb="0" eb="1">
      <t>ミナ</t>
    </rPh>
    <phoneticPr fontId="1"/>
  </si>
  <si>
    <t>鳥の骨付き肉（ダイエットしているつもり）</t>
    <rPh sb="0" eb="1">
      <t>トリノ</t>
    </rPh>
    <rPh sb="2" eb="4">
      <t>ホネ</t>
    </rPh>
    <phoneticPr fontId="1"/>
  </si>
  <si>
    <t>シロップ村</t>
    <rPh sb="4" eb="5">
      <t>ムラ</t>
    </rPh>
    <phoneticPr fontId="1"/>
  </si>
  <si>
    <t>旬の魚</t>
    <rPh sb="0" eb="1">
      <t>シュn</t>
    </rPh>
    <rPh sb="2" eb="3">
      <t>サカナ</t>
    </rPh>
    <phoneticPr fontId="1"/>
  </si>
  <si>
    <t>赤髪海賊団</t>
    <rPh sb="0" eb="5">
      <t>アカガミ</t>
    </rPh>
    <phoneticPr fontId="1"/>
  </si>
  <si>
    <t>狙撃手</t>
    <rPh sb="0" eb="3">
      <t>ソゲキ</t>
    </rPh>
    <phoneticPr fontId="1"/>
  </si>
  <si>
    <t>北の海</t>
    <rPh sb="0" eb="1">
      <t>キタノ</t>
    </rPh>
    <rPh sb="2" eb="3">
      <t>ウミ</t>
    </rPh>
    <phoneticPr fontId="1"/>
  </si>
  <si>
    <t>X</t>
  </si>
  <si>
    <t>副船長</t>
    <rPh sb="0" eb="3">
      <t>フクセンチョウ</t>
    </rPh>
    <phoneticPr fontId="1"/>
  </si>
  <si>
    <t>ジュースとケーキ（子供と一緒に楽しめるもの）</t>
    <rPh sb="9" eb="11">
      <t>コドモ</t>
    </rPh>
    <rPh sb="12" eb="14">
      <t>イッショ</t>
    </rPh>
    <rPh sb="15" eb="16">
      <t>タノセィ</t>
    </rPh>
    <phoneticPr fontId="1"/>
  </si>
  <si>
    <t>店主</t>
    <rPh sb="0" eb="2">
      <t>テンシュ</t>
    </rPh>
    <phoneticPr fontId="1"/>
  </si>
  <si>
    <t>酒、山菜、熊肉</t>
    <rPh sb="0" eb="1">
      <t>サケ</t>
    </rPh>
    <rPh sb="2" eb="4">
      <t>サンサイ</t>
    </rPh>
    <rPh sb="5" eb="7">
      <t xml:space="preserve">クマニク </t>
    </rPh>
    <phoneticPr fontId="1"/>
  </si>
  <si>
    <t>ヒグマ山賊団</t>
    <rPh sb="3" eb="6">
      <t>サンゾクダn</t>
    </rPh>
    <phoneticPr fontId="1"/>
  </si>
  <si>
    <t>棟梁</t>
    <rPh sb="0" eb="2">
      <t>トウリョウ</t>
    </rPh>
    <phoneticPr fontId="1"/>
  </si>
  <si>
    <t>追撃者(チェイサー）</t>
    <rPh sb="0" eb="3">
      <t>ツイゲキ</t>
    </rPh>
    <phoneticPr fontId="1"/>
  </si>
  <si>
    <t>アルビダの船で雑用２年</t>
    <rPh sb="5" eb="6">
      <t>フネ</t>
    </rPh>
    <rPh sb="7" eb="9">
      <t>ザテゥ</t>
    </rPh>
    <rPh sb="10" eb="11">
      <t>ネn</t>
    </rPh>
    <phoneticPr fontId="1"/>
  </si>
  <si>
    <t>リカが作ったおにぎり、ジャガバター</t>
    <rPh sb="3" eb="4">
      <t>ツクッタ</t>
    </rPh>
    <phoneticPr fontId="1"/>
  </si>
  <si>
    <t>海釣り</t>
    <rPh sb="0" eb="2">
      <t>ウミヅリ</t>
    </rPh>
    <phoneticPr fontId="1"/>
  </si>
  <si>
    <t>Missラブ・ダック号</t>
    <rPh sb="10" eb="11">
      <t>ゴウ</t>
    </rPh>
    <phoneticPr fontId="1"/>
  </si>
  <si>
    <t>美肌効果のあるベリーやベリー酒</t>
    <rPh sb="0" eb="4">
      <t>ビハダ</t>
    </rPh>
    <rPh sb="14" eb="15">
      <t>サケ</t>
    </rPh>
    <phoneticPr fontId="1"/>
  </si>
  <si>
    <t>金棒のアルビダ</t>
    <rPh sb="0" eb="2">
      <t>カナボウ</t>
    </rPh>
    <phoneticPr fontId="1"/>
  </si>
  <si>
    <t>スベスベの実</t>
    <rPh sb="5" eb="6">
      <t xml:space="preserve">ミ </t>
    </rPh>
    <phoneticPr fontId="1"/>
  </si>
  <si>
    <t>アルビダ海賊団</t>
    <rPh sb="4" eb="7">
      <t>カイゾク</t>
    </rPh>
    <phoneticPr fontId="1"/>
  </si>
  <si>
    <t>超新星</t>
    <rPh sb="0" eb="3">
      <t>チョウシンセイ</t>
    </rPh>
    <phoneticPr fontId="1"/>
  </si>
  <si>
    <t>シモツキ村</t>
    <rPh sb="4" eb="5">
      <t>ムラ</t>
    </rPh>
    <phoneticPr fontId="1"/>
  </si>
  <si>
    <t>白米、海獣の肉、酒に合う物</t>
    <rPh sb="0" eb="2">
      <t>ハク</t>
    </rPh>
    <rPh sb="3" eb="5">
      <t>カイジュウ</t>
    </rPh>
    <rPh sb="6" eb="7">
      <t>ニク</t>
    </rPh>
    <rPh sb="8" eb="9">
      <t>サケ</t>
    </rPh>
    <rPh sb="10" eb="11">
      <t xml:space="preserve">アウモノ </t>
    </rPh>
    <phoneticPr fontId="1"/>
  </si>
  <si>
    <t>海賊狩りのゾロ</t>
    <rPh sb="0" eb="3">
      <t>カイゾク</t>
    </rPh>
    <phoneticPr fontId="1"/>
  </si>
  <si>
    <t>戦闘員</t>
    <rPh sb="0" eb="3">
      <t>セントウ</t>
    </rPh>
    <phoneticPr fontId="1"/>
  </si>
  <si>
    <t>地域</t>
    <rPh sb="0" eb="2">
      <t>チイキ</t>
    </rPh>
    <phoneticPr fontId="1"/>
  </si>
  <si>
    <t>地名</t>
    <rPh sb="0" eb="2">
      <t>チメイ</t>
    </rPh>
    <phoneticPr fontId="1"/>
  </si>
  <si>
    <t>シェルズタウン</t>
  </si>
  <si>
    <t>シェルズタウン</t>
    <phoneticPr fontId="1"/>
  </si>
  <si>
    <t>ゴムゴムの銃（ピストル）</t>
    <rPh sb="5" eb="6">
      <t>ジュウ</t>
    </rPh>
    <phoneticPr fontId="1"/>
  </si>
  <si>
    <t>豪華なステーキ、キャビア</t>
    <rPh sb="0" eb="2">
      <t>ゴウカ</t>
    </rPh>
    <phoneticPr fontId="1"/>
  </si>
  <si>
    <t>高級な料理</t>
    <rPh sb="0" eb="2">
      <t>コウキュウ</t>
    </rPh>
    <rPh sb="3" eb="5">
      <t>リョウ</t>
    </rPh>
    <phoneticPr fontId="1"/>
  </si>
  <si>
    <t>斧手のモーガン</t>
    <rPh sb="0" eb="2">
      <t>オノテ</t>
    </rPh>
    <phoneticPr fontId="1"/>
  </si>
  <si>
    <t>大佐</t>
    <rPh sb="0" eb="2">
      <t>タイサ</t>
    </rPh>
    <phoneticPr fontId="1"/>
  </si>
  <si>
    <t>現在消息不明</t>
    <rPh sb="0" eb="2">
      <t>ゲンザイ</t>
    </rPh>
    <rPh sb="2" eb="6">
      <t>ショウソ</t>
    </rPh>
    <phoneticPr fontId="1"/>
  </si>
  <si>
    <t>ゴムゴムのロケット</t>
    <phoneticPr fontId="1"/>
  </si>
  <si>
    <t>牛乳、卵焼き</t>
    <rPh sb="0" eb="2">
      <t>ギュウニュウ</t>
    </rPh>
    <rPh sb="3" eb="5">
      <t>タマゴ</t>
    </rPh>
    <phoneticPr fontId="1"/>
  </si>
  <si>
    <t>一心道場</t>
    <rPh sb="0" eb="4">
      <t>イッシn</t>
    </rPh>
    <phoneticPr fontId="1"/>
  </si>
  <si>
    <t>門下生</t>
    <rPh sb="0" eb="3">
      <t>モンカセイ</t>
    </rPh>
    <phoneticPr fontId="1"/>
  </si>
  <si>
    <t>道場の縁側で食べるスイカ</t>
    <rPh sb="0" eb="2">
      <t>ドウジョウン</t>
    </rPh>
    <rPh sb="3" eb="5">
      <t>エn</t>
    </rPh>
    <rPh sb="6" eb="7">
      <t>タベ</t>
    </rPh>
    <phoneticPr fontId="1"/>
  </si>
  <si>
    <t>一心道場</t>
    <rPh sb="0" eb="2">
      <t>イッシn</t>
    </rPh>
    <rPh sb="2" eb="4">
      <t>ドウジョウ</t>
    </rPh>
    <phoneticPr fontId="1"/>
  </si>
  <si>
    <t>師範</t>
    <rPh sb="0" eb="2">
      <t>シハn</t>
    </rPh>
    <phoneticPr fontId="1"/>
  </si>
  <si>
    <t>巻数</t>
    <rPh sb="0" eb="2">
      <t>カンスウ</t>
    </rPh>
    <phoneticPr fontId="1"/>
  </si>
  <si>
    <t>ゴムゴムの鞭（ムチ）</t>
    <phoneticPr fontId="1"/>
  </si>
  <si>
    <t>ココヤシ村</t>
    <rPh sb="4" eb="5">
      <t>ムラ</t>
    </rPh>
    <phoneticPr fontId="1"/>
  </si>
  <si>
    <t>みかん、フルーツ全般</t>
    <rPh sb="8" eb="10">
      <t>ゼンパn</t>
    </rPh>
    <phoneticPr fontId="1"/>
  </si>
  <si>
    <t>オランジェット（フルーツはそのまま食べたい）</t>
    <rPh sb="17" eb="18">
      <t>タベ</t>
    </rPh>
    <phoneticPr fontId="1"/>
  </si>
  <si>
    <t>バギー海賊団</t>
    <rPh sb="3" eb="6">
      <t>カイゾク</t>
    </rPh>
    <phoneticPr fontId="1"/>
  </si>
  <si>
    <t>武器</t>
    <rPh sb="0" eb="2">
      <t>ブキ</t>
    </rPh>
    <phoneticPr fontId="1"/>
  </si>
  <si>
    <t>金棒</t>
    <rPh sb="0" eb="2">
      <t>カナボウ</t>
    </rPh>
    <phoneticPr fontId="1"/>
  </si>
  <si>
    <t>刀</t>
    <rPh sb="0" eb="1">
      <t>カタナ</t>
    </rPh>
    <phoneticPr fontId="1"/>
  </si>
  <si>
    <t>銃</t>
    <rPh sb="0" eb="1">
      <t>ジュウ</t>
    </rPh>
    <phoneticPr fontId="1"/>
  </si>
  <si>
    <t>斧手</t>
    <rPh sb="0" eb="2">
      <t>オノテ</t>
    </rPh>
    <phoneticPr fontId="1"/>
  </si>
  <si>
    <t>三等兵</t>
    <rPh sb="0" eb="3">
      <t>サントウ</t>
    </rPh>
    <phoneticPr fontId="1"/>
  </si>
  <si>
    <t>短期集中表紙連載</t>
  </si>
  <si>
    <t>話数</t>
    <rPh sb="0" eb="2">
      <t>ワスウ</t>
    </rPh>
    <phoneticPr fontId="1"/>
  </si>
  <si>
    <t>ROMANCE DAWN-冒険の夜明け-</t>
    <rPh sb="13" eb="15">
      <t>ボウケn</t>
    </rPh>
    <rPh sb="16" eb="18">
      <t>ヨアケ</t>
    </rPh>
    <phoneticPr fontId="1"/>
  </si>
  <si>
    <t>その男”麦わらのルフィ”</t>
    <rPh sb="2" eb="3">
      <t>オトコ</t>
    </rPh>
    <rPh sb="4" eb="5">
      <t>ムギワ</t>
    </rPh>
    <phoneticPr fontId="1"/>
  </si>
  <si>
    <t>”海賊狩りのゾロ”登場</t>
    <rPh sb="1" eb="4">
      <t>カイゾクガル</t>
    </rPh>
    <rPh sb="9" eb="11">
      <t>トウジョウ</t>
    </rPh>
    <phoneticPr fontId="1"/>
  </si>
  <si>
    <t>海軍大佐”斧手のモーガン”</t>
    <rPh sb="0" eb="4">
      <t>カイグn</t>
    </rPh>
    <rPh sb="5" eb="7">
      <t>オノテ</t>
    </rPh>
    <phoneticPr fontId="1"/>
  </si>
  <si>
    <t>”海賊王と大剣豪”</t>
    <rPh sb="0" eb="1">
      <t>”</t>
    </rPh>
    <rPh sb="1" eb="2">
      <t>カイ</t>
    </rPh>
    <rPh sb="5" eb="8">
      <t>ダイケn</t>
    </rPh>
    <phoneticPr fontId="1"/>
  </si>
  <si>
    <t>”１人目”</t>
    <rPh sb="2" eb="4">
      <t>ニn</t>
    </rPh>
    <phoneticPr fontId="1"/>
  </si>
  <si>
    <t>”友達”</t>
    <rPh sb="1" eb="3">
      <t>トモダティ</t>
    </rPh>
    <phoneticPr fontId="1"/>
  </si>
  <si>
    <t>”ナミ登場”</t>
    <rPh sb="3" eb="5">
      <t>トウジョウ</t>
    </rPh>
    <phoneticPr fontId="1"/>
  </si>
  <si>
    <t>ロジャーの処刑を見に来た海賊マニア</t>
    <rPh sb="5" eb="7">
      <t>ショケイ</t>
    </rPh>
    <rPh sb="8" eb="9">
      <t>ミニ</t>
    </rPh>
    <rPh sb="12" eb="14">
      <t>カイゾク</t>
    </rPh>
    <phoneticPr fontId="1"/>
  </si>
  <si>
    <t>マキノの酒場に紛れ込んでいたサル</t>
    <rPh sb="4" eb="6">
      <t>サカバ</t>
    </rPh>
    <rPh sb="7" eb="8">
      <t>マギレコn</t>
    </rPh>
    <phoneticPr fontId="1"/>
  </si>
  <si>
    <t>魚屋</t>
    <rPh sb="0" eb="2">
      <t>ウオヤ</t>
    </rPh>
    <phoneticPr fontId="1"/>
  </si>
  <si>
    <t>村長</t>
    <rPh sb="0" eb="2">
      <t>ソンチョウ</t>
    </rPh>
    <phoneticPr fontId="1"/>
  </si>
  <si>
    <t>近海の主</t>
    <rPh sb="0" eb="2">
      <t>キンカイ</t>
    </rPh>
    <rPh sb="3" eb="4">
      <t>ヌセィ</t>
    </rPh>
    <phoneticPr fontId="1"/>
  </si>
  <si>
    <t>東の海</t>
    <rPh sb="0" eb="1">
      <t>ヒガセィ</t>
    </rPh>
    <rPh sb="2" eb="3">
      <t>ウミ</t>
    </rPh>
    <phoneticPr fontId="1"/>
  </si>
  <si>
    <t>下っ端</t>
    <rPh sb="0" eb="1">
      <t>シタッパ</t>
    </rPh>
    <phoneticPr fontId="1"/>
  </si>
  <si>
    <t>ヘルメッポの飼い狼</t>
    <rPh sb="6" eb="7">
      <t>カイイヌ</t>
    </rPh>
    <rPh sb="8" eb="9">
      <t>オオカミ</t>
    </rPh>
    <phoneticPr fontId="1"/>
  </si>
  <si>
    <t>ゾロにおにぎりをあげた女の子</t>
    <rPh sb="11" eb="12">
      <t>オンナ</t>
    </rPh>
    <phoneticPr fontId="1"/>
  </si>
  <si>
    <t>リカの母親</t>
    <rPh sb="3" eb="5">
      <t>ハハ</t>
    </rPh>
    <phoneticPr fontId="1"/>
  </si>
  <si>
    <t>ロッカク中尉</t>
    <rPh sb="4" eb="6">
      <t>チュウ</t>
    </rPh>
    <phoneticPr fontId="1"/>
  </si>
  <si>
    <t>中尉</t>
    <rPh sb="0" eb="2">
      <t>チュウ</t>
    </rPh>
    <phoneticPr fontId="1"/>
  </si>
  <si>
    <t>モーガンに斬られる</t>
    <rPh sb="5" eb="6">
      <t>キラレ</t>
    </rPh>
    <phoneticPr fontId="1"/>
  </si>
  <si>
    <t>ウッカリー三等兵</t>
    <rPh sb="5" eb="8">
      <t>サントウ</t>
    </rPh>
    <phoneticPr fontId="1"/>
  </si>
  <si>
    <t>モーガン像の腕をうっかりぶつける</t>
    <rPh sb="4" eb="5">
      <t xml:space="preserve">ゾウ </t>
    </rPh>
    <rPh sb="6" eb="7">
      <t>ウデ</t>
    </rPh>
    <phoneticPr fontId="1"/>
  </si>
  <si>
    <t>リッパー中佐</t>
    <rPh sb="4" eb="6">
      <t>チュウ</t>
    </rPh>
    <phoneticPr fontId="1"/>
  </si>
  <si>
    <t>モーガンの後釜</t>
    <rPh sb="5" eb="7">
      <t>アト</t>
    </rPh>
    <phoneticPr fontId="1"/>
  </si>
  <si>
    <t>中佐</t>
    <rPh sb="0" eb="2">
      <t>チュウ</t>
    </rPh>
    <phoneticPr fontId="1"/>
  </si>
  <si>
    <t>怪鳥ピンキー</t>
    <rPh sb="0" eb="2">
      <t>カイチョウ</t>
    </rPh>
    <phoneticPr fontId="1"/>
  </si>
  <si>
    <t>ルフィをオレンジの町まで運ぶ</t>
    <rPh sb="12" eb="13">
      <t>ハコ</t>
    </rPh>
    <phoneticPr fontId="1"/>
  </si>
  <si>
    <t>鳥</t>
    <rPh sb="0" eb="1">
      <t xml:space="preserve">トリアエズ </t>
    </rPh>
    <phoneticPr fontId="1"/>
  </si>
  <si>
    <t>綱渡りフナンボローズ</t>
    <rPh sb="0" eb="2">
      <t>ツナワタリ</t>
    </rPh>
    <phoneticPr fontId="1"/>
  </si>
  <si>
    <t>難破を装いゾロを襲撃した三人組</t>
    <rPh sb="0" eb="2">
      <t xml:space="preserve">ナンパ </t>
    </rPh>
    <rPh sb="3" eb="4">
      <t>ヨソオイ</t>
    </rPh>
    <rPh sb="8" eb="10">
      <t>シュウゲキ</t>
    </rPh>
    <rPh sb="12" eb="15">
      <t>サンニ</t>
    </rPh>
    <phoneticPr fontId="1"/>
  </si>
  <si>
    <t>怪力ドミンゴス</t>
    <rPh sb="0" eb="1">
      <t>カイリキ</t>
    </rPh>
    <phoneticPr fontId="1"/>
  </si>
  <si>
    <t>海図を盗んだナミを追いかけていた三人組</t>
    <rPh sb="0" eb="2">
      <t>カイズ</t>
    </rPh>
    <rPh sb="3" eb="4">
      <t>ヌスンダ</t>
    </rPh>
    <rPh sb="9" eb="10">
      <t>オイカケテ</t>
    </rPh>
    <rPh sb="16" eb="19">
      <t>サンニn</t>
    </rPh>
    <phoneticPr fontId="1"/>
  </si>
  <si>
    <t>ー</t>
  </si>
  <si>
    <t>86/57/86(東の海)95/55/85、東の海オイコット王国で拾われる</t>
    <rPh sb="9" eb="10">
      <t>ヒガ</t>
    </rPh>
    <rPh sb="22" eb="23">
      <t>ヒガシノウ</t>
    </rPh>
    <rPh sb="30" eb="32">
      <t>オウコク</t>
    </rPh>
    <rPh sb="33" eb="34">
      <t>ヒロワレ</t>
    </rPh>
    <phoneticPr fontId="1"/>
  </si>
  <si>
    <t>元海軍第153支部</t>
    <rPh sb="0" eb="9">
      <t xml:space="preserve">モト </t>
    </rPh>
    <phoneticPr fontId="1"/>
  </si>
  <si>
    <t>海軍第153支部</t>
    <rPh sb="0" eb="2">
      <t>カイグn</t>
    </rPh>
    <rPh sb="2" eb="3">
      <t>ダイ</t>
    </rPh>
    <phoneticPr fontId="1"/>
  </si>
  <si>
    <t>音楽家</t>
    <rPh sb="0" eb="3">
      <t>オンガク</t>
    </rPh>
    <phoneticPr fontId="1"/>
  </si>
  <si>
    <t>種族</t>
    <rPh sb="0" eb="2">
      <t>シュゾク</t>
    </rPh>
    <phoneticPr fontId="1"/>
  </si>
  <si>
    <t>サブタイトル</t>
    <phoneticPr fontId="1"/>
  </si>
  <si>
    <t>国名</t>
    <rPh sb="0" eb="1">
      <t>クニ</t>
    </rPh>
    <rPh sb="1" eb="2">
      <t>メイ</t>
    </rPh>
    <phoneticPr fontId="1"/>
  </si>
  <si>
    <t>場所</t>
    <rPh sb="0" eb="2">
      <t>バショ</t>
    </rPh>
    <phoneticPr fontId="1"/>
  </si>
  <si>
    <t>ドーン島</t>
    <rPh sb="3" eb="4">
      <t>シマ</t>
    </rPh>
    <phoneticPr fontId="1"/>
  </si>
  <si>
    <t>F</t>
  </si>
  <si>
    <t>56人を殺した</t>
    <rPh sb="4" eb="5">
      <t>コロセィ</t>
    </rPh>
    <phoneticPr fontId="1"/>
  </si>
  <si>
    <t>ゴア王国</t>
    <rPh sb="2" eb="4">
      <t>オウコク</t>
    </rPh>
    <phoneticPr fontId="1"/>
  </si>
  <si>
    <t>国</t>
    <rPh sb="0" eb="1">
      <t>クニ</t>
    </rPh>
    <phoneticPr fontId="1"/>
  </si>
  <si>
    <t>職業</t>
    <rPh sb="0" eb="2">
      <t>ショクギョウ</t>
    </rPh>
    <phoneticPr fontId="1"/>
  </si>
  <si>
    <t>花</t>
    <rPh sb="0" eb="1">
      <t>ハナ</t>
    </rPh>
    <phoneticPr fontId="1"/>
  </si>
  <si>
    <t>島名・海域</t>
    <rPh sb="0" eb="1">
      <t>シマ</t>
    </rPh>
    <rPh sb="1" eb="2">
      <t>メイ</t>
    </rPh>
    <rPh sb="3" eb="5">
      <t>カイイキ</t>
    </rPh>
    <phoneticPr fontId="1"/>
  </si>
  <si>
    <t>ヨツバ島海域</t>
    <rPh sb="3" eb="4">
      <t xml:space="preserve">シマ </t>
    </rPh>
    <rPh sb="4" eb="6">
      <t>カイイキ</t>
    </rPh>
    <phoneticPr fontId="1"/>
  </si>
  <si>
    <t>ゾロとの対戦成績：2001勝0敗、霜月くいな</t>
    <rPh sb="4" eb="8">
      <t>タイ</t>
    </rPh>
    <rPh sb="13" eb="14">
      <t>ショウ</t>
    </rPh>
    <rPh sb="15" eb="16">
      <t xml:space="preserve">ハイ </t>
    </rPh>
    <rPh sb="17" eb="19">
      <t>シモツキ</t>
    </rPh>
    <phoneticPr fontId="1"/>
  </si>
  <si>
    <t>霜月コウシロウ</t>
    <rPh sb="0" eb="2">
      <t>シモツキ</t>
    </rPh>
    <phoneticPr fontId="1"/>
  </si>
  <si>
    <t>サメ</t>
  </si>
  <si>
    <t>コック</t>
  </si>
  <si>
    <t>理由</t>
    <rPh sb="0" eb="2">
      <t>リユウ</t>
    </rPh>
    <phoneticPr fontId="1"/>
  </si>
  <si>
    <t>肩書</t>
    <rPh sb="0" eb="2">
      <t>カタガキ</t>
    </rPh>
    <phoneticPr fontId="1"/>
  </si>
  <si>
    <t>年（何年前の出来事か）</t>
    <rPh sb="0" eb="1">
      <t>ネン</t>
    </rPh>
    <rPh sb="2" eb="5">
      <t>ナンネンマエ</t>
    </rPh>
    <rPh sb="6" eb="9">
      <t>デキゴト</t>
    </rPh>
    <phoneticPr fontId="1"/>
  </si>
  <si>
    <t>出来事</t>
    <rPh sb="0" eb="3">
      <t>デキゴト</t>
    </rPh>
    <phoneticPr fontId="1"/>
  </si>
  <si>
    <t>使用者</t>
    <rPh sb="0" eb="3">
      <t>シヨウシャ</t>
    </rPh>
    <phoneticPr fontId="1"/>
  </si>
  <si>
    <t>技名</t>
    <rPh sb="0" eb="2">
      <t>ワザメイ</t>
    </rPh>
    <phoneticPr fontId="1"/>
  </si>
  <si>
    <t>相手</t>
    <rPh sb="0" eb="2">
      <t>アイテ</t>
    </rPh>
    <phoneticPr fontId="1"/>
  </si>
  <si>
    <t>決まり手フラグ</t>
    <rPh sb="0" eb="1">
      <t>キ</t>
    </rPh>
    <rPh sb="3" eb="4">
      <t>テ</t>
    </rPh>
    <phoneticPr fontId="1"/>
  </si>
  <si>
    <t>系統</t>
    <rPh sb="0" eb="2">
      <t>ケイトウ</t>
    </rPh>
    <phoneticPr fontId="1"/>
  </si>
  <si>
    <t>能力者</t>
    <rPh sb="0" eb="3">
      <t>ノウリョクシャ</t>
    </rPh>
    <phoneticPr fontId="1"/>
  </si>
  <si>
    <t>実の名前</t>
    <rPh sb="0" eb="1">
      <t>ミ</t>
    </rPh>
    <rPh sb="2" eb="4">
      <t>ナマエ</t>
    </rPh>
    <phoneticPr fontId="1"/>
  </si>
  <si>
    <t>覚醒フラグ</t>
    <rPh sb="0" eb="2">
      <t>カクセイ</t>
    </rPh>
    <phoneticPr fontId="1"/>
  </si>
  <si>
    <t>武器名</t>
    <rPh sb="0" eb="3">
      <t>ブキメイ</t>
    </rPh>
    <phoneticPr fontId="1"/>
  </si>
  <si>
    <t>位列</t>
    <rPh sb="0" eb="2">
      <t>イレツ</t>
    </rPh>
    <phoneticPr fontId="1"/>
  </si>
  <si>
    <t>所有者</t>
    <rPh sb="0" eb="3">
      <t>ショユウシャ</t>
    </rPh>
    <phoneticPr fontId="1"/>
  </si>
  <si>
    <t>製作者</t>
    <rPh sb="0" eb="3">
      <t>セイサクシャ</t>
    </rPh>
    <phoneticPr fontId="1"/>
  </si>
  <si>
    <t>船名</t>
    <rPh sb="0" eb="1">
      <t>フネ</t>
    </rPh>
    <phoneticPr fontId="1"/>
  </si>
  <si>
    <t>造船者</t>
    <rPh sb="0" eb="3">
      <t>ゾウセンシャ</t>
    </rPh>
    <phoneticPr fontId="1"/>
  </si>
  <si>
    <t>材質</t>
    <rPh sb="0" eb="2">
      <t>ザイシツ</t>
    </rPh>
    <phoneticPr fontId="1"/>
  </si>
  <si>
    <t>状態</t>
    <rPh sb="0" eb="2">
      <t>ジョウタイ</t>
    </rPh>
    <phoneticPr fontId="1"/>
  </si>
  <si>
    <t>エピソード名</t>
    <rPh sb="5" eb="6">
      <t>メイ</t>
    </rPh>
    <phoneticPr fontId="1"/>
  </si>
  <si>
    <t>誕生日</t>
    <rPh sb="0" eb="3">
      <t>タンジョウビ</t>
    </rPh>
    <phoneticPr fontId="1"/>
  </si>
  <si>
    <t>初登場時の年齢</t>
    <rPh sb="0" eb="4">
      <t>ハツトウジョウジ</t>
    </rPh>
    <rPh sb="5" eb="7">
      <t>ネンレイ</t>
    </rPh>
    <phoneticPr fontId="1"/>
  </si>
  <si>
    <t>初登場巻</t>
    <rPh sb="0" eb="3">
      <t>ハツトウジョウ</t>
    </rPh>
    <rPh sb="3" eb="4">
      <t>カン</t>
    </rPh>
    <phoneticPr fontId="1"/>
  </si>
  <si>
    <t>初登場話</t>
    <rPh sb="0" eb="3">
      <t>ハツトウジョウ</t>
    </rPh>
    <rPh sb="3" eb="4">
      <t>ハナシ</t>
    </rPh>
    <phoneticPr fontId="1"/>
  </si>
  <si>
    <t>悪魔の実</t>
    <rPh sb="0" eb="2">
      <t>アクマ</t>
    </rPh>
    <rPh sb="3" eb="4">
      <t>ミ</t>
    </rPh>
    <phoneticPr fontId="1"/>
  </si>
  <si>
    <t>覇気</t>
    <rPh sb="0" eb="2">
      <t>ハキ</t>
    </rPh>
    <phoneticPr fontId="1"/>
  </si>
  <si>
    <t>性別</t>
    <rPh sb="0" eb="2">
      <t>セイベツ</t>
    </rPh>
    <phoneticPr fontId="1"/>
  </si>
  <si>
    <t>生存ステータス</t>
    <rPh sb="0" eb="2">
      <t>セイゾン</t>
    </rPh>
    <phoneticPr fontId="1"/>
  </si>
  <si>
    <t>手放した理由</t>
    <rPh sb="0" eb="2">
      <t>テバナ</t>
    </rPh>
    <rPh sb="4" eb="6">
      <t>リユウ</t>
    </rPh>
    <phoneticPr fontId="1"/>
  </si>
  <si>
    <t>所属グループ</t>
    <rPh sb="0" eb="2">
      <t>ショゾク</t>
    </rPh>
    <phoneticPr fontId="1"/>
  </si>
  <si>
    <t>加入年</t>
    <rPh sb="0" eb="3">
      <t>カニュウネン</t>
    </rPh>
    <phoneticPr fontId="1"/>
  </si>
  <si>
    <t>舞台（島）</t>
    <rPh sb="0" eb="2">
      <t>ブタイ</t>
    </rPh>
    <rPh sb="3" eb="4">
      <t>シマ</t>
    </rPh>
    <phoneticPr fontId="1"/>
  </si>
  <si>
    <t>開始年</t>
    <rPh sb="0" eb="3">
      <t>カイシネン</t>
    </rPh>
    <phoneticPr fontId="1"/>
  </si>
  <si>
    <t>開始日</t>
    <rPh sb="0" eb="3">
      <t>カイシビ</t>
    </rPh>
    <phoneticPr fontId="1"/>
  </si>
  <si>
    <t>表紙中サブタイトル</t>
    <rPh sb="0" eb="2">
      <t>ヒョウシ</t>
    </rPh>
    <rPh sb="2" eb="3">
      <t>チュウ</t>
    </rPh>
    <phoneticPr fontId="1"/>
  </si>
  <si>
    <t>出身エリア</t>
    <rPh sb="0" eb="2">
      <t>シュッシン</t>
    </rPh>
    <phoneticPr fontId="1"/>
  </si>
  <si>
    <t>出身島・国</t>
    <rPh sb="0" eb="3">
      <t>シュッシンシマ</t>
    </rPh>
    <rPh sb="4" eb="5">
      <t>クニ</t>
    </rPh>
    <phoneticPr fontId="1"/>
  </si>
  <si>
    <t>移動手段</t>
    <rPh sb="0" eb="4">
      <t>イドウシュダン</t>
    </rPh>
    <phoneticPr fontId="1"/>
  </si>
  <si>
    <t>ある店のチェリーパイ（なんとなく）</t>
  </si>
  <si>
    <t>サル</t>
  </si>
  <si>
    <t>ネコ</t>
  </si>
  <si>
    <t>ヒガシザメのステーキ</t>
  </si>
  <si>
    <t>クオッカワラビー</t>
  </si>
  <si>
    <t>アンジョウ</t>
  </si>
  <si>
    <t>モンスター</t>
  </si>
  <si>
    <t>ブルーベリー</t>
  </si>
  <si>
    <t>ライオン</t>
  </si>
  <si>
    <t>かまぼこ</t>
  </si>
  <si>
    <t>ミキオイトゥー</t>
  </si>
  <si>
    <t>PARTYS BAR</t>
  </si>
  <si>
    <t>ギョルさん</t>
  </si>
  <si>
    <t>チキンおばさん</t>
  </si>
  <si>
    <t>ギョルさんのパートナー</t>
  </si>
  <si>
    <t>ウープ・スラップ</t>
  </si>
  <si>
    <t>ブラックコーヒー</t>
  </si>
  <si>
    <t>イルカ</t>
  </si>
  <si>
    <t>ヘッポコ</t>
  </si>
  <si>
    <t>ペッポコ</t>
  </si>
  <si>
    <t>ポッポコ</t>
  </si>
  <si>
    <t>リカ</t>
  </si>
  <si>
    <t>ソーロ</t>
  </si>
  <si>
    <t>リリカ</t>
  </si>
  <si>
    <t>入手年</t>
    <rPh sb="0" eb="3">
      <t>ニュウシュネン</t>
    </rPh>
    <phoneticPr fontId="1"/>
  </si>
  <si>
    <t>入手巻数</t>
    <rPh sb="0" eb="2">
      <t>ニュウシュ</t>
    </rPh>
    <rPh sb="2" eb="4">
      <t>カンスウ</t>
    </rPh>
    <phoneticPr fontId="1"/>
  </si>
  <si>
    <t>海円暦</t>
    <rPh sb="0" eb="1">
      <t>ウミ</t>
    </rPh>
    <rPh sb="1" eb="2">
      <t>エン</t>
    </rPh>
    <rPh sb="2" eb="3">
      <t>コヨミ</t>
    </rPh>
    <phoneticPr fontId="1"/>
  </si>
  <si>
    <t>ゴート島</t>
    <rPh sb="3" eb="4">
      <t>シマ</t>
    </rPh>
    <phoneticPr fontId="1"/>
  </si>
  <si>
    <t>モンキー・D・ルフィ</t>
    <phoneticPr fontId="1"/>
  </si>
  <si>
    <t>ロロノア・ゾロ</t>
    <phoneticPr fontId="1"/>
  </si>
  <si>
    <t>ナミ</t>
    <phoneticPr fontId="1"/>
  </si>
  <si>
    <t>シャンクス</t>
    <phoneticPr fontId="1"/>
  </si>
  <si>
    <t>フーシャ村</t>
    <rPh sb="4" eb="5">
      <t>ムラ</t>
    </rPh>
    <phoneticPr fontId="1"/>
  </si>
  <si>
    <t>東の海</t>
    <rPh sb="0" eb="1">
      <t>ヒガシ</t>
    </rPh>
    <rPh sb="2" eb="3">
      <t>ウミ</t>
    </rPh>
    <phoneticPr fontId="1"/>
  </si>
  <si>
    <t>フーシャ村から出航</t>
    <rPh sb="4" eb="5">
      <t>ムラ</t>
    </rPh>
    <rPh sb="7" eb="9">
      <t>シュッコウ</t>
    </rPh>
    <phoneticPr fontId="1"/>
  </si>
  <si>
    <t>備考</t>
    <rPh sb="0" eb="2">
      <t>ビコウ</t>
    </rPh>
    <phoneticPr fontId="1"/>
  </si>
  <si>
    <t>話数</t>
    <rPh sb="0" eb="2">
      <t>ワスウ</t>
    </rPh>
    <phoneticPr fontId="1"/>
  </si>
  <si>
    <t>麦わらの一味</t>
    <rPh sb="0" eb="1">
      <t>ムギ</t>
    </rPh>
    <rPh sb="4" eb="6">
      <t>イチミ</t>
    </rPh>
    <phoneticPr fontId="1"/>
  </si>
  <si>
    <t>脱退年数</t>
    <rPh sb="0" eb="2">
      <t>ダッタイ</t>
    </rPh>
    <rPh sb="2" eb="4">
      <t>ネンスウ</t>
    </rPh>
    <phoneticPr fontId="1"/>
  </si>
  <si>
    <t>海軍</t>
    <rPh sb="0" eb="2">
      <t>カイグン</t>
    </rPh>
    <phoneticPr fontId="1"/>
  </si>
  <si>
    <t>時代区分</t>
    <rPh sb="0" eb="4">
      <t>ジダイクブン</t>
    </rPh>
    <phoneticPr fontId="1"/>
  </si>
  <si>
    <t>過去回想</t>
    <rPh sb="0" eb="4">
      <t>カコカイソウ</t>
    </rPh>
    <phoneticPr fontId="1"/>
  </si>
  <si>
    <t>加入年最古</t>
    <rPh sb="0" eb="3">
      <t>カニュウネン</t>
    </rPh>
    <rPh sb="3" eb="5">
      <t>サイコ</t>
    </rPh>
    <phoneticPr fontId="1"/>
  </si>
  <si>
    <t>加入年最新</t>
    <rPh sb="0" eb="3">
      <t>カニュウネン</t>
    </rPh>
    <rPh sb="3" eb="5">
      <t>サイシン</t>
    </rPh>
    <phoneticPr fontId="1"/>
  </si>
  <si>
    <t>考察</t>
    <rPh sb="0" eb="2">
      <t>コウサツ</t>
    </rPh>
    <phoneticPr fontId="1"/>
  </si>
  <si>
    <t>ロジャー処刑からフーシャ村までの間</t>
    <rPh sb="4" eb="6">
      <t>ショケイ</t>
    </rPh>
    <rPh sb="12" eb="13">
      <t>ムラ</t>
    </rPh>
    <rPh sb="16" eb="17">
      <t>アイダ</t>
    </rPh>
    <phoneticPr fontId="1"/>
  </si>
  <si>
    <t>役職</t>
    <rPh sb="0" eb="2">
      <t>ヤクショク</t>
    </rPh>
    <phoneticPr fontId="1"/>
  </si>
  <si>
    <t>加入フラグ</t>
    <rPh sb="0" eb="2">
      <t>カニュウ</t>
    </rPh>
    <phoneticPr fontId="1"/>
  </si>
  <si>
    <t>創設</t>
    <rPh sb="0" eb="2">
      <t>ソウセツ</t>
    </rPh>
    <phoneticPr fontId="1"/>
  </si>
  <si>
    <t>加入</t>
    <rPh sb="0" eb="2">
      <t>カニュウ</t>
    </rPh>
    <phoneticPr fontId="1"/>
  </si>
  <si>
    <t>脱退</t>
    <rPh sb="0" eb="2">
      <t>ダッタイ</t>
    </rPh>
    <phoneticPr fontId="1"/>
  </si>
  <si>
    <t>バトルID</t>
    <phoneticPr fontId="1"/>
  </si>
  <si>
    <t>年</t>
    <rPh sb="0" eb="1">
      <t>トシ</t>
    </rPh>
    <phoneticPr fontId="1"/>
  </si>
  <si>
    <t>決まり手</t>
    <rPh sb="0" eb="1">
      <t>キ</t>
    </rPh>
    <rPh sb="3" eb="4">
      <t>テ</t>
    </rPh>
    <phoneticPr fontId="1"/>
  </si>
  <si>
    <t>バトルの種類</t>
    <rPh sb="4" eb="6">
      <t>シュルイ</t>
    </rPh>
    <phoneticPr fontId="1"/>
  </si>
  <si>
    <t>サブエピソード</t>
    <phoneticPr fontId="1"/>
  </si>
  <si>
    <t>冒険の夜明け</t>
    <rPh sb="0" eb="2">
      <t>ボウケン</t>
    </rPh>
    <rPh sb="3" eb="5">
      <t>ヨア</t>
    </rPh>
    <phoneticPr fontId="1"/>
  </si>
  <si>
    <t>重要度</t>
    <rPh sb="0" eb="3">
      <t>ジュウヨウド</t>
    </rPh>
    <phoneticPr fontId="1"/>
  </si>
  <si>
    <t>A</t>
    <phoneticPr fontId="1"/>
  </si>
  <si>
    <t>B</t>
    <phoneticPr fontId="1"/>
  </si>
  <si>
    <t>死亡年</t>
    <rPh sb="0" eb="2">
      <t>シボウ</t>
    </rPh>
    <rPh sb="2" eb="3">
      <t>ネn</t>
    </rPh>
    <phoneticPr fontId="1"/>
  </si>
  <si>
    <t>好きな島</t>
    <rPh sb="0" eb="1">
      <t>スキ</t>
    </rPh>
    <rPh sb="3" eb="4">
      <t>シマ</t>
    </rPh>
    <phoneticPr fontId="1"/>
  </si>
  <si>
    <t>超人系</t>
    <rPh sb="0" eb="3">
      <t>チョウ</t>
    </rPh>
    <phoneticPr fontId="1"/>
  </si>
  <si>
    <t>B001-01</t>
    <phoneticPr fontId="1"/>
  </si>
  <si>
    <t>赤髪海賊団</t>
    <rPh sb="0" eb="5">
      <t>アカガミカイゾクダン</t>
    </rPh>
    <phoneticPr fontId="1"/>
  </si>
  <si>
    <t>軍団戦</t>
  </si>
  <si>
    <t>仲間探し</t>
    <rPh sb="0" eb="3">
      <t>ナカマサガ</t>
    </rPh>
    <phoneticPr fontId="1"/>
  </si>
  <si>
    <t>ゴート島</t>
    <rPh sb="3" eb="4">
      <t>シマ</t>
    </rPh>
    <phoneticPr fontId="1"/>
  </si>
  <si>
    <t>現代</t>
    <rPh sb="0" eb="2">
      <t>ゲンダイ</t>
    </rPh>
    <phoneticPr fontId="1"/>
  </si>
  <si>
    <t>シェルズタウン</t>
    <phoneticPr fontId="1"/>
  </si>
  <si>
    <t>オレンジの町</t>
    <rPh sb="5" eb="6">
      <t>マチ</t>
    </rPh>
    <phoneticPr fontId="1"/>
  </si>
  <si>
    <t>VS.モーガン</t>
    <phoneticPr fontId="1"/>
  </si>
  <si>
    <t>VS.バギー海賊団</t>
    <rPh sb="6" eb="9">
      <t>カイゾクダン</t>
    </rPh>
    <phoneticPr fontId="1"/>
  </si>
  <si>
    <t>フーシャ村に滞在する</t>
    <rPh sb="4" eb="5">
      <t>ムラ</t>
    </rPh>
    <rPh sb="6" eb="8">
      <t>タイザイ</t>
    </rPh>
    <phoneticPr fontId="1"/>
  </si>
  <si>
    <t>男</t>
    <rPh sb="0" eb="1">
      <t>オトコ</t>
    </rPh>
    <phoneticPr fontId="1"/>
  </si>
  <si>
    <t>-</t>
    <phoneticPr fontId="1"/>
  </si>
  <si>
    <t>女</t>
    <rPh sb="0" eb="1">
      <t>オンナ</t>
    </rPh>
    <phoneticPr fontId="1"/>
  </si>
  <si>
    <t>人間</t>
    <rPh sb="0" eb="2">
      <t>ニンゲン</t>
    </rPh>
    <phoneticPr fontId="1"/>
  </si>
  <si>
    <t>サル</t>
    <phoneticPr fontId="1"/>
  </si>
  <si>
    <t>海王類</t>
    <rPh sb="0" eb="3">
      <t>カイオウルイ</t>
    </rPh>
    <phoneticPr fontId="1"/>
  </si>
  <si>
    <t>C</t>
    <phoneticPr fontId="1"/>
  </si>
  <si>
    <t>ゴムゴムの実を食べる</t>
    <rPh sb="5" eb="6">
      <t>ミ</t>
    </rPh>
    <rPh sb="7" eb="8">
      <t>タ</t>
    </rPh>
    <phoneticPr fontId="1"/>
  </si>
  <si>
    <t>近海の主に食べられる</t>
    <rPh sb="0" eb="2">
      <t>キンカイ</t>
    </rPh>
    <rPh sb="3" eb="4">
      <t>ヌシ</t>
    </rPh>
    <rPh sb="5" eb="6">
      <t>タ</t>
    </rPh>
    <phoneticPr fontId="1"/>
  </si>
  <si>
    <t>近海の主に左腕を食べられる</t>
    <rPh sb="0" eb="2">
      <t>キンカイ</t>
    </rPh>
    <rPh sb="3" eb="4">
      <t>ヌシ</t>
    </rPh>
    <rPh sb="5" eb="7">
      <t>ヒダリウデ</t>
    </rPh>
    <rPh sb="8" eb="9">
      <t>タ</t>
    </rPh>
    <phoneticPr fontId="1"/>
  </si>
  <si>
    <t>B001-02</t>
  </si>
  <si>
    <t>タイマン</t>
  </si>
  <si>
    <t>海賊頭</t>
    <rPh sb="0" eb="2">
      <t>カイゾク</t>
    </rPh>
    <rPh sb="2" eb="3">
      <t>カシラ</t>
    </rPh>
    <phoneticPr fontId="1"/>
  </si>
  <si>
    <t>船長</t>
    <rPh sb="0" eb="2">
      <t>センチョウ</t>
    </rPh>
    <phoneticPr fontId="1"/>
  </si>
  <si>
    <t>C001-01</t>
    <phoneticPr fontId="1"/>
  </si>
  <si>
    <t>C001-02</t>
  </si>
  <si>
    <t>C001-03</t>
  </si>
  <si>
    <t>C001-04</t>
  </si>
  <si>
    <t>C001-05</t>
  </si>
  <si>
    <t>C001-06</t>
  </si>
  <si>
    <t>C001-07</t>
  </si>
  <si>
    <t>C001-08</t>
  </si>
  <si>
    <t>C001-09</t>
  </si>
  <si>
    <t>C001-10</t>
  </si>
  <si>
    <t>C001-11</t>
  </si>
  <si>
    <t>C001-12</t>
  </si>
  <si>
    <t>C001-13</t>
  </si>
  <si>
    <t>C001-14</t>
  </si>
  <si>
    <t>C001-15</t>
  </si>
  <si>
    <t>C001-16</t>
  </si>
  <si>
    <t>C001-17</t>
  </si>
  <si>
    <t>C001-18</t>
  </si>
  <si>
    <t>C001-19</t>
  </si>
  <si>
    <t>C001-20</t>
  </si>
  <si>
    <t>C001-21</t>
  </si>
  <si>
    <t>C001-22</t>
  </si>
  <si>
    <t>C001-23</t>
  </si>
  <si>
    <t>C001-24</t>
  </si>
  <si>
    <t>C001-25</t>
  </si>
  <si>
    <t>C001-26</t>
  </si>
  <si>
    <t>C001-27</t>
  </si>
  <si>
    <t>C001-28</t>
  </si>
  <si>
    <t>C001-29</t>
  </si>
  <si>
    <t>C001-30</t>
  </si>
  <si>
    <t>C001-31</t>
  </si>
  <si>
    <t>C001-32</t>
  </si>
  <si>
    <t>C001-33</t>
  </si>
  <si>
    <t>C001-34</t>
  </si>
  <si>
    <t>C001-35</t>
  </si>
  <si>
    <t>鳥</t>
    <rPh sb="0" eb="1">
      <t>トリ</t>
    </rPh>
    <phoneticPr fontId="1"/>
  </si>
  <si>
    <t>狼</t>
    <rPh sb="0" eb="1">
      <t>オオカミ</t>
    </rPh>
    <phoneticPr fontId="1"/>
  </si>
  <si>
    <t>ロジャー海賊団</t>
    <rPh sb="4" eb="7">
      <t>カイゾクダン</t>
    </rPh>
    <phoneticPr fontId="1"/>
  </si>
  <si>
    <t>解散</t>
    <rPh sb="0" eb="2">
      <t>カイサン</t>
    </rPh>
    <phoneticPr fontId="1"/>
  </si>
  <si>
    <t>ロジャー処刑</t>
    <rPh sb="4" eb="6">
      <t>ショケイ</t>
    </rPh>
    <phoneticPr fontId="1"/>
  </si>
  <si>
    <t>コック</t>
    <phoneticPr fontId="1"/>
  </si>
  <si>
    <t>狙撃手</t>
    <rPh sb="0" eb="3">
      <t>ソゲキ</t>
    </rPh>
    <phoneticPr fontId="1"/>
  </si>
  <si>
    <t>副船長</t>
    <rPh sb="0" eb="3">
      <t>フクセンチョウ</t>
    </rPh>
    <phoneticPr fontId="1"/>
  </si>
  <si>
    <t>戦闘員</t>
    <rPh sb="0" eb="3">
      <t>セントウイン</t>
    </rPh>
    <phoneticPr fontId="1"/>
  </si>
  <si>
    <t>ヒグマ山賊団</t>
    <rPh sb="3" eb="6">
      <t>サンゾクダン</t>
    </rPh>
    <phoneticPr fontId="1"/>
  </si>
  <si>
    <t>棟梁</t>
    <rPh sb="0" eb="2">
      <t>トウリョウ</t>
    </rPh>
    <phoneticPr fontId="1"/>
  </si>
  <si>
    <t>死亡</t>
    <rPh sb="0" eb="2">
      <t>シボウ</t>
    </rPh>
    <phoneticPr fontId="1"/>
  </si>
  <si>
    <t>コビー加入のため</t>
    <rPh sb="3" eb="5">
      <t>カニュウ</t>
    </rPh>
    <phoneticPr fontId="1"/>
  </si>
  <si>
    <t>クロを逮捕の功績時に少佐になったためそれ以降に大佐になっている</t>
    <rPh sb="3" eb="5">
      <t>タイホ</t>
    </rPh>
    <rPh sb="6" eb="8">
      <t>コウセキ</t>
    </rPh>
    <rPh sb="8" eb="9">
      <t>ジ</t>
    </rPh>
    <rPh sb="10" eb="12">
      <t>ショウサ</t>
    </rPh>
    <rPh sb="20" eb="22">
      <t>イコウ</t>
    </rPh>
    <rPh sb="23" eb="25">
      <t>タイサ</t>
    </rPh>
    <phoneticPr fontId="1"/>
  </si>
  <si>
    <t>航海士</t>
    <rPh sb="0" eb="3">
      <t>コウカイシ</t>
    </rPh>
    <phoneticPr fontId="1"/>
  </si>
  <si>
    <t>B001-03</t>
  </si>
  <si>
    <t>B001-04</t>
  </si>
  <si>
    <t>B001-05</t>
  </si>
  <si>
    <t>チーム戦</t>
  </si>
  <si>
    <t>ゴート島に漂着</t>
    <rPh sb="3" eb="4">
      <t>シマ</t>
    </rPh>
    <rPh sb="5" eb="7">
      <t>ヒョウチャク</t>
    </rPh>
    <phoneticPr fontId="1"/>
  </si>
  <si>
    <t>小舟</t>
    <rPh sb="0" eb="2">
      <t>コブネ</t>
    </rPh>
    <phoneticPr fontId="1"/>
  </si>
  <si>
    <t>樽</t>
    <rPh sb="0" eb="1">
      <t>タル</t>
    </rPh>
    <phoneticPr fontId="1"/>
  </si>
  <si>
    <t>アルビダを撃破</t>
    <rPh sb="5" eb="7">
      <t>ゲキハ</t>
    </rPh>
    <phoneticPr fontId="1"/>
  </si>
  <si>
    <t>E001-01</t>
    <phoneticPr fontId="1"/>
  </si>
  <si>
    <t>E001-02</t>
  </si>
  <si>
    <t>E001-03</t>
  </si>
  <si>
    <t>E001-04</t>
  </si>
  <si>
    <t>E001-05</t>
  </si>
  <si>
    <t>E001-06</t>
  </si>
  <si>
    <t>E001-08</t>
  </si>
  <si>
    <t>E001-10</t>
  </si>
  <si>
    <t>E001-11</t>
  </si>
  <si>
    <t>E001-12</t>
  </si>
  <si>
    <t>シェルズタウンに到着</t>
    <rPh sb="8" eb="10">
      <t>トウチャク</t>
    </rPh>
    <phoneticPr fontId="1"/>
  </si>
  <si>
    <t>海軍大佐モーガンを撃破</t>
    <rPh sb="0" eb="4">
      <t>カイグンタイサ</t>
    </rPh>
    <rPh sb="9" eb="11">
      <t>ゲキハ</t>
    </rPh>
    <phoneticPr fontId="1"/>
  </si>
  <si>
    <t>くいなが死亡し、ゾロ誓いを立てる</t>
    <rPh sb="4" eb="6">
      <t>シボウ</t>
    </rPh>
    <rPh sb="10" eb="11">
      <t>チカ</t>
    </rPh>
    <rPh sb="13" eb="14">
      <t>タ</t>
    </rPh>
    <phoneticPr fontId="1"/>
  </si>
  <si>
    <t>コビーと別れ、出航する</t>
    <rPh sb="4" eb="5">
      <t>ワカ</t>
    </rPh>
    <rPh sb="7" eb="9">
      <t>シュッコウ</t>
    </rPh>
    <phoneticPr fontId="1"/>
  </si>
  <si>
    <t>鳥に運ばれ、町に着く</t>
    <rPh sb="0" eb="1">
      <t>トリ</t>
    </rPh>
    <rPh sb="2" eb="3">
      <t>ハコ</t>
    </rPh>
    <rPh sb="6" eb="7">
      <t>マチ</t>
    </rPh>
    <rPh sb="8" eb="9">
      <t>ツ</t>
    </rPh>
    <phoneticPr fontId="1"/>
  </si>
  <si>
    <t>年数</t>
    <rPh sb="0" eb="2">
      <t>ネンスウ</t>
    </rPh>
    <phoneticPr fontId="1"/>
  </si>
  <si>
    <t>海賊王</t>
    <rPh sb="0" eb="3">
      <t>カイゾク</t>
    </rPh>
    <phoneticPr fontId="1"/>
  </si>
  <si>
    <t>シモツキ村</t>
    <rPh sb="4" eb="5">
      <t>ムラ</t>
    </rPh>
    <phoneticPr fontId="1"/>
  </si>
  <si>
    <t>56人殺した</t>
    <rPh sb="2" eb="3">
      <t>ニン</t>
    </rPh>
    <rPh sb="3" eb="4">
      <t>コロ</t>
    </rPh>
    <phoneticPr fontId="1"/>
  </si>
  <si>
    <t>階級（社会的）</t>
    <rPh sb="0" eb="2">
      <t>カイキュウ</t>
    </rPh>
    <rPh sb="3" eb="6">
      <t>シャカイテキ</t>
    </rPh>
    <phoneticPr fontId="1"/>
  </si>
  <si>
    <t>加入巻数</t>
  </si>
  <si>
    <t>加入話数</t>
  </si>
  <si>
    <t>脱退巻数</t>
  </si>
  <si>
    <t>脱退話数</t>
  </si>
  <si>
    <t>階級</t>
    <rPh sb="0" eb="2">
      <t>カイキュウ</t>
    </rPh>
    <phoneticPr fontId="1"/>
  </si>
  <si>
    <t>Dフラグ</t>
    <phoneticPr fontId="1"/>
  </si>
  <si>
    <t>海賊</t>
    <rPh sb="0" eb="2">
      <t>カイゾク</t>
    </rPh>
    <phoneticPr fontId="1"/>
  </si>
  <si>
    <t>市民</t>
    <rPh sb="0" eb="2">
      <t>シミン</t>
    </rPh>
    <phoneticPr fontId="1"/>
  </si>
  <si>
    <t>山賊</t>
    <rPh sb="0" eb="2">
      <t>サンゾク</t>
    </rPh>
    <phoneticPr fontId="1"/>
  </si>
  <si>
    <t>海兵</t>
    <rPh sb="0" eb="2">
      <t>カイヘイ</t>
    </rPh>
    <phoneticPr fontId="1"/>
  </si>
  <si>
    <t>見習い</t>
    <rPh sb="0" eb="2">
      <t>ミナラ</t>
    </rPh>
    <phoneticPr fontId="1"/>
  </si>
  <si>
    <t>元海兵</t>
    <rPh sb="0" eb="1">
      <t>モト</t>
    </rPh>
    <rPh sb="1" eb="3">
      <t>カイヘイ</t>
    </rPh>
    <phoneticPr fontId="1"/>
  </si>
  <si>
    <t>泥棒</t>
    <rPh sb="0" eb="2">
      <t>ドロボウ</t>
    </rPh>
    <phoneticPr fontId="1"/>
  </si>
  <si>
    <t>-</t>
    <phoneticPr fontId="1"/>
  </si>
  <si>
    <t>雑用</t>
    <rPh sb="0" eb="2">
      <t>ザツヨウ</t>
    </rPh>
    <phoneticPr fontId="1"/>
  </si>
  <si>
    <t>見習い</t>
    <rPh sb="0" eb="2">
      <t>ミナラ</t>
    </rPh>
    <phoneticPr fontId="1"/>
  </si>
  <si>
    <t>大佐</t>
    <rPh sb="0" eb="2">
      <t>タイサ</t>
    </rPh>
    <phoneticPr fontId="1"/>
  </si>
  <si>
    <t>第153支部基地長</t>
    <rPh sb="6" eb="9">
      <t>キチチョウ</t>
    </rPh>
    <phoneticPr fontId="1"/>
  </si>
  <si>
    <t>L-001</t>
    <phoneticPr fontId="1"/>
  </si>
  <si>
    <t>（不明）</t>
    <rPh sb="1" eb="3">
      <t>フメイ</t>
    </rPh>
    <phoneticPr fontId="1"/>
  </si>
  <si>
    <t>L-002</t>
  </si>
  <si>
    <t>L-003</t>
  </si>
  <si>
    <t>L-004</t>
  </si>
  <si>
    <t>海賊王,ゴールド・ロジャー</t>
    <rPh sb="0" eb="3">
      <t>カイゾク</t>
    </rPh>
    <phoneticPr fontId="1"/>
  </si>
  <si>
    <t>海賊</t>
    <rPh sb="0" eb="2">
      <t>カイゾク</t>
    </rPh>
    <phoneticPr fontId="1"/>
  </si>
  <si>
    <t>山賊</t>
    <rPh sb="0" eb="2">
      <t>サンゾク</t>
    </rPh>
    <phoneticPr fontId="1"/>
  </si>
  <si>
    <t>海兵</t>
    <rPh sb="0" eb="2">
      <t>カイヘイ</t>
    </rPh>
    <phoneticPr fontId="1"/>
  </si>
  <si>
    <t>賞金稼ぎ</t>
    <rPh sb="0" eb="3">
      <t>ショウキンカセ</t>
    </rPh>
    <phoneticPr fontId="1"/>
  </si>
  <si>
    <t>キャラID</t>
    <phoneticPr fontId="1"/>
  </si>
  <si>
    <t>実ID</t>
    <rPh sb="0" eb="1">
      <t>ミ</t>
    </rPh>
    <phoneticPr fontId="1"/>
  </si>
  <si>
    <t>武器ID</t>
    <rPh sb="0" eb="2">
      <t>ブキ</t>
    </rPh>
    <phoneticPr fontId="1"/>
  </si>
  <si>
    <t>W-001</t>
    <phoneticPr fontId="1"/>
  </si>
  <si>
    <t>船ID</t>
    <rPh sb="0" eb="1">
      <t>フネ</t>
    </rPh>
    <phoneticPr fontId="1"/>
  </si>
  <si>
    <t>F-001</t>
    <phoneticPr fontId="1"/>
  </si>
  <si>
    <t>S-001</t>
    <phoneticPr fontId="1"/>
  </si>
  <si>
    <t>場所ID</t>
    <rPh sb="0" eb="2">
      <t>バショ</t>
    </rPh>
    <phoneticPr fontId="1"/>
  </si>
  <si>
    <t>L-005</t>
  </si>
  <si>
    <t>L-006</t>
  </si>
  <si>
    <t>フーシャ村近海</t>
    <rPh sb="5" eb="7">
      <t>キンカイ</t>
    </rPh>
    <phoneticPr fontId="1"/>
  </si>
  <si>
    <t>L-001</t>
  </si>
  <si>
    <t>オルガン諸島</t>
    <rPh sb="4" eb="6">
      <t>ショトウ</t>
    </rPh>
    <phoneticPr fontId="1"/>
  </si>
  <si>
    <t>オレンジの町</t>
    <rPh sb="5" eb="6">
      <t xml:space="preserve">マチ </t>
    </rPh>
    <phoneticPr fontId="1"/>
  </si>
  <si>
    <t>C001-26</t>
    <phoneticPr fontId="1"/>
  </si>
  <si>
    <t>C001-06</t>
    <phoneticPr fontId="1"/>
  </si>
  <si>
    <t>C001-11</t>
    <phoneticPr fontId="1"/>
  </si>
  <si>
    <t>C001-01</t>
  </si>
  <si>
    <t>C001-01</t>
    <phoneticPr fontId="1"/>
  </si>
  <si>
    <t>C001-16</t>
    <phoneticPr fontId="1"/>
  </si>
  <si>
    <t>C001-21</t>
    <phoneticPr fontId="1"/>
  </si>
  <si>
    <t>C001-23</t>
    <phoneticPr fontId="1"/>
  </si>
  <si>
    <t>C001-34</t>
    <phoneticPr fontId="1"/>
  </si>
  <si>
    <t>技ID</t>
    <rPh sb="0" eb="1">
      <t>ワザ</t>
    </rPh>
    <phoneticPr fontId="1"/>
  </si>
  <si>
    <t>M-001</t>
  </si>
  <si>
    <t>M-001</t>
    <phoneticPr fontId="1"/>
  </si>
  <si>
    <t>使用者ID</t>
    <rPh sb="0" eb="3">
      <t>シヨウシャ</t>
    </rPh>
    <phoneticPr fontId="1"/>
  </si>
  <si>
    <t>ルーツID</t>
    <phoneticPr fontId="1"/>
  </si>
  <si>
    <t>初出巻数</t>
    <rPh sb="0" eb="2">
      <t>ハツデ</t>
    </rPh>
    <rPh sb="2" eb="4">
      <t>カンスウ</t>
    </rPh>
    <phoneticPr fontId="1"/>
  </si>
  <si>
    <t>初出話数</t>
    <rPh sb="0" eb="2">
      <t>ハツデ</t>
    </rPh>
    <rPh sb="2" eb="4">
      <t>ワスウ</t>
    </rPh>
    <phoneticPr fontId="1"/>
  </si>
  <si>
    <t>決め技カウント</t>
    <rPh sb="0" eb="1">
      <t>キ</t>
    </rPh>
    <rPh sb="2" eb="3">
      <t>ワザ</t>
    </rPh>
    <phoneticPr fontId="1"/>
  </si>
  <si>
    <t>使用者ID</t>
    <rPh sb="0" eb="3">
      <t>シヨウシャ</t>
    </rPh>
    <phoneticPr fontId="1"/>
  </si>
  <si>
    <t>技ID</t>
    <rPh sb="0" eb="1">
      <t>ワザ</t>
    </rPh>
    <phoneticPr fontId="1"/>
  </si>
  <si>
    <t>相手ID</t>
    <rPh sb="0" eb="2">
      <t>アイテ</t>
    </rPh>
    <phoneticPr fontId="1"/>
  </si>
  <si>
    <t>M-002</t>
  </si>
  <si>
    <t>M-003</t>
  </si>
  <si>
    <t>打撃</t>
    <rPh sb="0" eb="2">
      <t>ダゲキ</t>
    </rPh>
    <phoneticPr fontId="1"/>
  </si>
  <si>
    <t>移動</t>
    <rPh sb="0" eb="2">
      <t>イドウ</t>
    </rPh>
    <phoneticPr fontId="1"/>
  </si>
  <si>
    <t>C001-15</t>
    <phoneticPr fontId="1"/>
  </si>
  <si>
    <t>C001-17</t>
    <phoneticPr fontId="1"/>
  </si>
  <si>
    <t>C001-23</t>
    <phoneticPr fontId="1"/>
  </si>
  <si>
    <t>勢力ID</t>
    <rPh sb="0" eb="2">
      <t>セイリョク</t>
    </rPh>
    <phoneticPr fontId="1"/>
  </si>
  <si>
    <t>勢力名</t>
    <rPh sb="0" eb="3">
      <t>セイリョクメイ</t>
    </rPh>
    <phoneticPr fontId="1"/>
  </si>
  <si>
    <t>リーダーID</t>
    <phoneticPr fontId="1"/>
  </si>
  <si>
    <t>区分</t>
    <rPh sb="0" eb="2">
      <t>クブン</t>
    </rPh>
    <phoneticPr fontId="1"/>
  </si>
  <si>
    <t>G-001</t>
    <phoneticPr fontId="1"/>
  </si>
  <si>
    <t>G-002</t>
  </si>
  <si>
    <t>G-003</t>
  </si>
  <si>
    <t>G-004</t>
  </si>
  <si>
    <t>G-005</t>
  </si>
  <si>
    <t>アルビダ海賊団</t>
    <rPh sb="4" eb="7">
      <t>カイゾクダン</t>
    </rPh>
    <phoneticPr fontId="1"/>
  </si>
  <si>
    <t>エリアID</t>
    <phoneticPr fontId="1"/>
  </si>
  <si>
    <t>G-006</t>
  </si>
  <si>
    <t>G-007</t>
  </si>
  <si>
    <t>G-008</t>
  </si>
  <si>
    <t>G-009</t>
  </si>
  <si>
    <t>G-010</t>
  </si>
  <si>
    <t>海賊</t>
    <rPh sb="0" eb="1">
      <t>カイゾク</t>
    </rPh>
    <phoneticPr fontId="1"/>
  </si>
  <si>
    <t>世界政府</t>
    <rPh sb="0" eb="4">
      <t>セカイ</t>
    </rPh>
    <phoneticPr fontId="1"/>
  </si>
  <si>
    <t>C001-05</t>
    <phoneticPr fontId="1"/>
  </si>
  <si>
    <t>C001-07</t>
    <phoneticPr fontId="1"/>
  </si>
  <si>
    <t>C001-29</t>
    <phoneticPr fontId="1"/>
  </si>
  <si>
    <t>勝者勢力</t>
    <rPh sb="0" eb="2">
      <t>ショウシャ</t>
    </rPh>
    <rPh sb="2" eb="4">
      <t>セイリョク</t>
    </rPh>
    <phoneticPr fontId="1"/>
  </si>
  <si>
    <t>勢力ID1</t>
    <rPh sb="0" eb="2">
      <t>セイリョク</t>
    </rPh>
    <phoneticPr fontId="1"/>
  </si>
  <si>
    <t>勢力ID2</t>
    <rPh sb="0" eb="2">
      <t>セイリョク</t>
    </rPh>
    <phoneticPr fontId="1"/>
  </si>
  <si>
    <t>敗者勢力</t>
    <rPh sb="0" eb="2">
      <t>🦷</t>
    </rPh>
    <rPh sb="2" eb="4">
      <t>セイリョク</t>
    </rPh>
    <phoneticPr fontId="1"/>
  </si>
  <si>
    <t>軍団戦フラグ</t>
    <rPh sb="0" eb="3">
      <t>グンダンセn</t>
    </rPh>
    <phoneticPr fontId="1"/>
  </si>
  <si>
    <t>勝者ID1</t>
    <rPh sb="0" eb="2">
      <t>ショウシャ</t>
    </rPh>
    <phoneticPr fontId="1"/>
  </si>
  <si>
    <t>勝者ID2</t>
    <rPh sb="0" eb="2">
      <t>ショウシャ</t>
    </rPh>
    <phoneticPr fontId="1"/>
  </si>
  <si>
    <t>勝者1</t>
    <rPh sb="0" eb="2">
      <t>ショウシャ</t>
    </rPh>
    <phoneticPr fontId="1"/>
  </si>
  <si>
    <t>勝者2</t>
    <rPh sb="0" eb="2">
      <t>ショウシャ</t>
    </rPh>
    <phoneticPr fontId="1"/>
  </si>
  <si>
    <t>敗者ID1</t>
    <rPh sb="0" eb="2">
      <t>🦷</t>
    </rPh>
    <phoneticPr fontId="1"/>
  </si>
  <si>
    <t>敗者ID2</t>
    <rPh sb="0" eb="2">
      <t>🦷</t>
    </rPh>
    <phoneticPr fontId="1"/>
  </si>
  <si>
    <t>敗者1</t>
    <rPh sb="0" eb="2">
      <t>ハイシャ</t>
    </rPh>
    <phoneticPr fontId="1"/>
  </si>
  <si>
    <t>敗者2</t>
    <rPh sb="0" eb="2">
      <t>ハイシャ</t>
    </rPh>
    <phoneticPr fontId="1"/>
  </si>
  <si>
    <t>実ID</t>
    <phoneticPr fontId="1"/>
  </si>
  <si>
    <t>入手話</t>
    <rPh sb="0" eb="2">
      <t>ニュウシュ</t>
    </rPh>
    <rPh sb="2" eb="3">
      <t xml:space="preserve">ワ </t>
    </rPh>
    <phoneticPr fontId="1"/>
  </si>
  <si>
    <t>入手年</t>
    <rPh sb="0" eb="2">
      <t>ニュウシュ</t>
    </rPh>
    <rPh sb="2" eb="3">
      <t>ネn</t>
    </rPh>
    <phoneticPr fontId="1"/>
  </si>
  <si>
    <t>死亡した時期</t>
    <rPh sb="0" eb="2">
      <t>シボウ</t>
    </rPh>
    <rPh sb="4" eb="6">
      <t>ジキ</t>
    </rPh>
    <phoneticPr fontId="1"/>
  </si>
  <si>
    <t>海軍</t>
    <rPh sb="0" eb="2">
      <t>カイグn</t>
    </rPh>
    <phoneticPr fontId="1"/>
  </si>
  <si>
    <t>見習い</t>
    <rPh sb="0" eb="1">
      <t>ミナ</t>
    </rPh>
    <phoneticPr fontId="1"/>
  </si>
  <si>
    <t>X</t>
    <phoneticPr fontId="1"/>
  </si>
  <si>
    <t>Y</t>
    <phoneticPr fontId="1"/>
  </si>
  <si>
    <t>日誌ID</t>
    <rPh sb="0" eb="2">
      <t>ニッセィ</t>
    </rPh>
    <phoneticPr fontId="1"/>
  </si>
  <si>
    <t>場所名</t>
    <rPh sb="0" eb="3">
      <t>バショム</t>
    </rPh>
    <phoneticPr fontId="1"/>
  </si>
  <si>
    <t>表示名</t>
    <rPh sb="0" eb="3">
      <t>ヒョウ</t>
    </rPh>
    <phoneticPr fontId="1"/>
  </si>
  <si>
    <t>通算日</t>
    <rPh sb="0" eb="3">
      <t>ツウサn</t>
    </rPh>
    <phoneticPr fontId="1"/>
  </si>
  <si>
    <t>E001-13</t>
  </si>
  <si>
    <t>E001-14</t>
  </si>
  <si>
    <t>E001-15</t>
  </si>
  <si>
    <t>E001-16</t>
  </si>
  <si>
    <t>E001-17</t>
  </si>
  <si>
    <t>E001-18</t>
  </si>
  <si>
    <t>E001-19</t>
  </si>
  <si>
    <t>E001-20</t>
  </si>
  <si>
    <t>E001-21</t>
  </si>
  <si>
    <t>E001-22</t>
  </si>
  <si>
    <t>登場キャラID</t>
    <rPh sb="0" eb="2">
      <t>トウジョウ</t>
    </rPh>
    <phoneticPr fontId="1"/>
  </si>
  <si>
    <t>登場キャラ</t>
    <rPh sb="0" eb="2">
      <t>トウジョウ</t>
    </rPh>
    <phoneticPr fontId="1"/>
  </si>
  <si>
    <t>誕生年（海円暦）</t>
    <rPh sb="0" eb="3">
      <t>タンジョウ</t>
    </rPh>
    <phoneticPr fontId="1"/>
  </si>
  <si>
    <t>死亡年（海円暦）</t>
    <rPh sb="0" eb="2">
      <t>シボウ</t>
    </rPh>
    <rPh sb="2" eb="3">
      <t>タンジョウ2</t>
    </rPh>
    <phoneticPr fontId="1"/>
  </si>
  <si>
    <t>登場日</t>
    <rPh sb="0" eb="3">
      <t>トウジョウ</t>
    </rPh>
    <phoneticPr fontId="1"/>
  </si>
  <si>
    <t>退場日</t>
    <rPh sb="0" eb="3">
      <t>タイジョウ</t>
    </rPh>
    <phoneticPr fontId="1"/>
  </si>
  <si>
    <t>L-007</t>
  </si>
  <si>
    <t>不明</t>
    <rPh sb="0" eb="2">
      <t>フメイ</t>
    </rPh>
    <phoneticPr fontId="1"/>
  </si>
  <si>
    <t>フーシャ村を出航</t>
    <rPh sb="6" eb="8">
      <t>シュッコウ</t>
    </rPh>
    <phoneticPr fontId="1"/>
  </si>
  <si>
    <t>E001-23</t>
  </si>
  <si>
    <t>E001-24</t>
  </si>
  <si>
    <t>E001-25</t>
  </si>
  <si>
    <t>E001-26</t>
  </si>
  <si>
    <t>E001-27</t>
  </si>
  <si>
    <t>処刑される</t>
    <rPh sb="0" eb="2">
      <t>ショケイ</t>
    </rPh>
    <phoneticPr fontId="1"/>
  </si>
  <si>
    <t>アルビダの雑用係になる</t>
    <rPh sb="5" eb="8">
      <t>ザツヨウ</t>
    </rPh>
    <phoneticPr fontId="1"/>
  </si>
  <si>
    <t>G-001</t>
  </si>
  <si>
    <t>賞金稼ぎ</t>
    <rPh sb="0" eb="3">
      <t>ショウキn</t>
    </rPh>
    <phoneticPr fontId="1"/>
  </si>
  <si>
    <t>脱退年（通算日）</t>
    <rPh sb="0" eb="3">
      <t>ダッタイ</t>
    </rPh>
    <rPh sb="4" eb="7">
      <t>ツウサn</t>
    </rPh>
    <phoneticPr fontId="1"/>
  </si>
  <si>
    <t>磔にされる</t>
    <rPh sb="0" eb="1">
      <t>ハリツケ</t>
    </rPh>
    <phoneticPr fontId="1"/>
  </si>
  <si>
    <t>冒険の夜明け</t>
    <rPh sb="0" eb="2">
      <t>ボウケn</t>
    </rPh>
    <rPh sb="3" eb="5">
      <t>ヨアケ</t>
    </rPh>
    <phoneticPr fontId="1"/>
  </si>
  <si>
    <t>L-008</t>
  </si>
  <si>
    <t>シェルズタウン近海</t>
    <rPh sb="7" eb="9">
      <t>キンカ</t>
    </rPh>
    <phoneticPr fontId="1"/>
  </si>
  <si>
    <t>バギーの手下に会う</t>
    <rPh sb="4" eb="6">
      <t>テセィ</t>
    </rPh>
    <rPh sb="7" eb="8">
      <t xml:space="preserve">アウ </t>
    </rPh>
    <phoneticPr fontId="1"/>
  </si>
  <si>
    <t>ルフィと出会う</t>
    <rPh sb="4" eb="6">
      <t>デアウ</t>
    </rPh>
    <phoneticPr fontId="1"/>
  </si>
  <si>
    <t>仮説</t>
    <rPh sb="0" eb="2">
      <t>カセテゥ</t>
    </rPh>
    <phoneticPr fontId="1"/>
  </si>
  <si>
    <t>仮説（場所）</t>
    <rPh sb="0" eb="2">
      <t>カセテゥ</t>
    </rPh>
    <rPh sb="3" eb="5">
      <t>バショ</t>
    </rPh>
    <phoneticPr fontId="1"/>
  </si>
  <si>
    <t>仮説</t>
    <rPh sb="0" eb="1">
      <t>カセテゥ</t>
    </rPh>
    <phoneticPr fontId="1"/>
  </si>
  <si>
    <t>懸賞金</t>
    <rPh sb="0" eb="3">
      <t>ケンショウキn</t>
    </rPh>
    <phoneticPr fontId="1"/>
  </si>
  <si>
    <t>区分</t>
    <rPh sb="0" eb="2">
      <t>クブn</t>
    </rPh>
    <phoneticPr fontId="1"/>
  </si>
  <si>
    <t>通算日</t>
    <rPh sb="0" eb="3">
      <t>ツウサンブ</t>
    </rPh>
    <phoneticPr fontId="1"/>
  </si>
  <si>
    <t>通算日は仮</t>
    <rPh sb="0" eb="2">
      <t>ツウサn</t>
    </rPh>
    <rPh sb="2" eb="3">
      <t xml:space="preserve">ヒ </t>
    </rPh>
    <rPh sb="4" eb="5">
      <t xml:space="preserve">カリ </t>
    </rPh>
    <phoneticPr fontId="1"/>
  </si>
  <si>
    <t>無所属</t>
    <rPh sb="0" eb="3">
      <t>ムショゾク</t>
    </rPh>
    <phoneticPr fontId="1"/>
  </si>
  <si>
    <t>加入・脱退</t>
    <rPh sb="0" eb="1">
      <t>カニュウ</t>
    </rPh>
    <rPh sb="3" eb="5">
      <t>ダッタイ</t>
    </rPh>
    <phoneticPr fontId="1"/>
  </si>
  <si>
    <t>脱退</t>
    <rPh sb="0" eb="1">
      <t>ダッタイ</t>
    </rPh>
    <phoneticPr fontId="1"/>
  </si>
  <si>
    <t>創設</t>
    <rPh sb="0" eb="1">
      <t>ソウセテゥ</t>
    </rPh>
    <phoneticPr fontId="1"/>
  </si>
  <si>
    <t>偉大なる航路</t>
    <rPh sb="0" eb="2">
      <t>イダイ</t>
    </rPh>
    <rPh sb="4" eb="6">
      <t>コウロ</t>
    </rPh>
    <phoneticPr fontId="1"/>
  </si>
  <si>
    <t>バラバラの実</t>
    <rPh sb="5" eb="6">
      <t xml:space="preserve">ミ </t>
    </rPh>
    <phoneticPr fontId="1"/>
  </si>
  <si>
    <t>宝の地図集め</t>
    <rPh sb="0" eb="1">
      <t>タカラ</t>
    </rPh>
    <rPh sb="2" eb="4">
      <t>チズ</t>
    </rPh>
    <rPh sb="4" eb="5">
      <t>アツメ</t>
    </rPh>
    <phoneticPr fontId="1"/>
  </si>
  <si>
    <t>下町の工場長</t>
    <rPh sb="0" eb="2">
      <t>シタマティ</t>
    </rPh>
    <rPh sb="3" eb="6">
      <t>コウジョウク</t>
    </rPh>
    <phoneticPr fontId="1"/>
  </si>
  <si>
    <t>夏島の冬</t>
    <rPh sb="0" eb="2">
      <t>ナテゥ</t>
    </rPh>
    <rPh sb="3" eb="4">
      <t>フユ</t>
    </rPh>
    <phoneticPr fontId="1"/>
  </si>
  <si>
    <t>元ロジャー海賊団見習い/元王下七武海/四皇</t>
    <rPh sb="0" eb="1">
      <t>モト</t>
    </rPh>
    <rPh sb="5" eb="8">
      <t>カイゾク</t>
    </rPh>
    <rPh sb="8" eb="10">
      <t>m</t>
    </rPh>
    <rPh sb="12" eb="13">
      <t>モト</t>
    </rPh>
    <rPh sb="13" eb="14">
      <t xml:space="preserve">オウカ </t>
    </rPh>
    <rPh sb="14" eb="15">
      <t xml:space="preserve">シタ </t>
    </rPh>
    <rPh sb="15" eb="18">
      <t>シチブカイ</t>
    </rPh>
    <rPh sb="19" eb="21">
      <t>ヨンコウ</t>
    </rPh>
    <phoneticPr fontId="1"/>
  </si>
  <si>
    <t>どーも君</t>
    <rPh sb="3" eb="4">
      <t>クン</t>
    </rPh>
    <phoneticPr fontId="1"/>
  </si>
  <si>
    <t>ー</t>
    <phoneticPr fontId="1"/>
  </si>
  <si>
    <t>宇宙人</t>
    <rPh sb="0" eb="3">
      <t>ウチュウ</t>
    </rPh>
    <phoneticPr fontId="1"/>
  </si>
  <si>
    <t>ンーケ君という仲間がいる</t>
    <rPh sb="3" eb="4">
      <t xml:space="preserve">クン </t>
    </rPh>
    <rPh sb="7" eb="9">
      <t>ナカ</t>
    </rPh>
    <phoneticPr fontId="1"/>
  </si>
  <si>
    <t>軽業フワーズ</t>
    <rPh sb="0" eb="2">
      <t>カルワザ</t>
    </rPh>
    <phoneticPr fontId="1"/>
  </si>
  <si>
    <t>軽やかにナミを襲った四人組</t>
    <rPh sb="0" eb="1">
      <t>カロヤカ</t>
    </rPh>
    <rPh sb="7" eb="8">
      <t>オソッタ</t>
    </rPh>
    <rPh sb="10" eb="13">
      <t>ヨニ</t>
    </rPh>
    <phoneticPr fontId="1"/>
  </si>
  <si>
    <t>モージ</t>
  </si>
  <si>
    <t>ビッグトップ号</t>
    <rPh sb="6" eb="7">
      <t>ゴウ</t>
    </rPh>
    <phoneticPr fontId="1"/>
  </si>
  <si>
    <t>猛獣使いのモージ</t>
    <rPh sb="0" eb="3">
      <t>モウジュウ</t>
    </rPh>
    <phoneticPr fontId="1"/>
  </si>
  <si>
    <t>肉</t>
    <rPh sb="0" eb="1">
      <t>ニク</t>
    </rPh>
    <phoneticPr fontId="1"/>
  </si>
  <si>
    <t>オレンジの町</t>
    <rPh sb="5" eb="6">
      <t>マティ</t>
    </rPh>
    <phoneticPr fontId="1"/>
  </si>
  <si>
    <t>店番</t>
    <rPh sb="0" eb="2">
      <t>ミセバn</t>
    </rPh>
    <phoneticPr fontId="1"/>
  </si>
  <si>
    <t>犬（人間で言うと78歳）</t>
    <rPh sb="0" eb="1">
      <t>イヌ</t>
    </rPh>
    <rPh sb="2" eb="4">
      <t>ニn</t>
    </rPh>
    <rPh sb="5" eb="6">
      <t>イウト</t>
    </rPh>
    <rPh sb="10" eb="11">
      <t>サイ</t>
    </rPh>
    <phoneticPr fontId="1"/>
  </si>
  <si>
    <t>ブードル</t>
  </si>
  <si>
    <t>町長</t>
    <rPh sb="0" eb="2">
      <t>チョウチョウ</t>
    </rPh>
    <phoneticPr fontId="1"/>
  </si>
  <si>
    <t>ペットフード店</t>
    <rPh sb="6" eb="7">
      <t>テn</t>
    </rPh>
    <phoneticPr fontId="1"/>
  </si>
  <si>
    <t>店長</t>
    <rPh sb="0" eb="2">
      <t>テンチョウ</t>
    </rPh>
    <phoneticPr fontId="1"/>
  </si>
  <si>
    <t>本屋</t>
    <rPh sb="0" eb="2">
      <t>ホンヤ</t>
    </rPh>
    <phoneticPr fontId="1"/>
  </si>
  <si>
    <t>避難所にいて町民の統率をとっていた人</t>
    <rPh sb="0" eb="3">
      <t>ヒナn</t>
    </rPh>
    <rPh sb="6" eb="8">
      <t>チョウミn</t>
    </rPh>
    <rPh sb="9" eb="11">
      <t>トウソテゥ</t>
    </rPh>
    <phoneticPr fontId="1"/>
  </si>
  <si>
    <t>カバジ</t>
  </si>
  <si>
    <t>曲芸のカバジ</t>
    <rPh sb="0" eb="2">
      <t>キョクゲイ</t>
    </rPh>
    <phoneticPr fontId="1"/>
  </si>
  <si>
    <t>参謀長</t>
    <rPh sb="0" eb="3">
      <t>サンボウ</t>
    </rPh>
    <phoneticPr fontId="1"/>
  </si>
  <si>
    <t>ホットドック</t>
  </si>
  <si>
    <t>トマト</t>
  </si>
  <si>
    <t>パンダ</t>
  </si>
  <si>
    <t>オダマキ</t>
  </si>
  <si>
    <t>つけもの</t>
  </si>
  <si>
    <t>リッチー</t>
  </si>
  <si>
    <t>シュシュ</t>
  </si>
  <si>
    <t>オレンジの町</t>
  </si>
  <si>
    <t>ドッグフード</t>
  </si>
  <si>
    <t>サーモン</t>
  </si>
  <si>
    <t>ホッカー</t>
  </si>
  <si>
    <t>ポロ</t>
  </si>
  <si>
    <t>ポップコーン</t>
  </si>
  <si>
    <t>バギー</t>
    <phoneticPr fontId="1"/>
  </si>
  <si>
    <t>今の年齢</t>
    <rPh sb="0" eb="1">
      <t>イマ</t>
    </rPh>
    <rPh sb="2" eb="4">
      <t>ネn</t>
    </rPh>
    <phoneticPr fontId="1"/>
  </si>
  <si>
    <t>C002-01</t>
  </si>
  <si>
    <t>C002-01</t>
    <phoneticPr fontId="1"/>
  </si>
  <si>
    <t>C002-02</t>
  </si>
  <si>
    <t>C002-03</t>
  </si>
  <si>
    <t>C002-04</t>
  </si>
  <si>
    <t>C002-05</t>
  </si>
  <si>
    <t>C002-06</t>
  </si>
  <si>
    <t>C002-07</t>
  </si>
  <si>
    <t>C002-08</t>
  </si>
  <si>
    <t>C002-09</t>
  </si>
  <si>
    <t>C002-10</t>
  </si>
  <si>
    <t>ゴーイング・メリー号</t>
    <rPh sb="9" eb="10">
      <t>ゴウ</t>
    </rPh>
    <phoneticPr fontId="1"/>
  </si>
  <si>
    <t>S-002</t>
  </si>
  <si>
    <t>S-003</t>
  </si>
  <si>
    <t>S-004</t>
  </si>
  <si>
    <t>S-005</t>
  </si>
  <si>
    <t>S-006</t>
  </si>
  <si>
    <t>S-007</t>
  </si>
  <si>
    <t>S-008</t>
  </si>
  <si>
    <t>S-009</t>
  </si>
  <si>
    <t>S-010</t>
  </si>
  <si>
    <t>道化のバギー</t>
    <rPh sb="0" eb="2">
      <t>ドウケノ</t>
    </rPh>
    <phoneticPr fontId="1"/>
  </si>
  <si>
    <t>F-002</t>
  </si>
  <si>
    <t>バギー海賊団</t>
    <rPh sb="3" eb="6">
      <t>カイゾクダン</t>
    </rPh>
    <phoneticPr fontId="1"/>
  </si>
  <si>
    <t>-</t>
    <phoneticPr fontId="1"/>
  </si>
  <si>
    <t>宇宙人</t>
    <rPh sb="0" eb="3">
      <t>ウチュウジン</t>
    </rPh>
    <phoneticPr fontId="1"/>
  </si>
  <si>
    <t>ライオン</t>
    <phoneticPr fontId="1"/>
  </si>
  <si>
    <t>犬</t>
    <rPh sb="0" eb="1">
      <t>イヌ</t>
    </rPh>
    <phoneticPr fontId="1"/>
  </si>
  <si>
    <t>B</t>
  </si>
  <si>
    <t>C</t>
  </si>
  <si>
    <t>”魔性の女”</t>
    <rPh sb="1" eb="3">
      <t>マショウ</t>
    </rPh>
    <rPh sb="4" eb="5">
      <t>オンナ</t>
    </rPh>
    <phoneticPr fontId="1"/>
  </si>
  <si>
    <t>”酒場の一件”</t>
    <rPh sb="1" eb="3">
      <t>サカバ</t>
    </rPh>
    <rPh sb="4" eb="6">
      <t>イッケn</t>
    </rPh>
    <phoneticPr fontId="1"/>
  </si>
  <si>
    <t>”敗走”</t>
    <rPh sb="1" eb="3">
      <t xml:space="preserve">ハイソウ </t>
    </rPh>
    <phoneticPr fontId="1"/>
  </si>
  <si>
    <t>”犬”</t>
    <rPh sb="1" eb="2">
      <t>イヌ</t>
    </rPh>
    <phoneticPr fontId="1"/>
  </si>
  <si>
    <t>”宝物”</t>
    <rPh sb="1" eb="3">
      <t>タカラ</t>
    </rPh>
    <phoneticPr fontId="1"/>
  </si>
  <si>
    <t>”無謀っ！！”</t>
    <rPh sb="1" eb="3">
      <t>ムボウ</t>
    </rPh>
    <phoneticPr fontId="1"/>
  </si>
  <si>
    <t>”GONG”</t>
    <phoneticPr fontId="1"/>
  </si>
  <si>
    <t>”VERSUS!!バギー海賊団”</t>
    <rPh sb="12" eb="15">
      <t>カイゾク</t>
    </rPh>
    <phoneticPr fontId="1"/>
  </si>
  <si>
    <t>”格”</t>
    <rPh sb="1" eb="2">
      <t xml:space="preserve">カク </t>
    </rPh>
    <phoneticPr fontId="1"/>
  </si>
  <si>
    <t>特製バギー玉</t>
    <rPh sb="0" eb="2">
      <t xml:space="preserve">トクセイゔ </t>
    </rPh>
    <phoneticPr fontId="1"/>
  </si>
  <si>
    <t>M-004</t>
  </si>
  <si>
    <t>射撃</t>
    <rPh sb="0" eb="2">
      <t>シャゲキ</t>
    </rPh>
    <phoneticPr fontId="1"/>
  </si>
  <si>
    <t>F-002</t>
    <phoneticPr fontId="1"/>
  </si>
  <si>
    <t>バラバラ砲</t>
    <rPh sb="4" eb="5">
      <t xml:space="preserve">ホウ </t>
    </rPh>
    <phoneticPr fontId="1"/>
  </si>
  <si>
    <t>ゴムゴムの槌（ツチ）</t>
    <rPh sb="5" eb="6">
      <t xml:space="preserve">ツチ </t>
    </rPh>
    <phoneticPr fontId="1"/>
  </si>
  <si>
    <t>ゴムゴムの風船</t>
    <rPh sb="5" eb="7">
      <t>フウ</t>
    </rPh>
    <phoneticPr fontId="1"/>
  </si>
  <si>
    <t>特殊</t>
    <rPh sb="0" eb="2">
      <t>トクシュ</t>
    </rPh>
    <phoneticPr fontId="1"/>
  </si>
  <si>
    <t>曲技”火事おやじ”</t>
    <rPh sb="0" eb="2">
      <t>キョク</t>
    </rPh>
    <rPh sb="3" eb="5">
      <t xml:space="preserve">カジ </t>
    </rPh>
    <phoneticPr fontId="1"/>
  </si>
  <si>
    <t>曲技”湯けむり殺人事件”</t>
    <rPh sb="0" eb="2">
      <t>キョク</t>
    </rPh>
    <rPh sb="3" eb="4">
      <t xml:space="preserve">ユケムリ </t>
    </rPh>
    <rPh sb="7" eb="11">
      <t>サツジn</t>
    </rPh>
    <phoneticPr fontId="1"/>
  </si>
  <si>
    <t>曲技”カミカゼ百コマ劇場”</t>
    <rPh sb="0" eb="2">
      <t>キョク</t>
    </rPh>
    <rPh sb="7" eb="8">
      <t>ヒャッコ</t>
    </rPh>
    <rPh sb="10" eb="12">
      <t>ゲキジョウ</t>
    </rPh>
    <phoneticPr fontId="1"/>
  </si>
  <si>
    <t>曲技”山登ろー”</t>
    <rPh sb="0" eb="2">
      <t>キョク</t>
    </rPh>
    <rPh sb="3" eb="5">
      <t>ヤマ</t>
    </rPh>
    <phoneticPr fontId="1"/>
  </si>
  <si>
    <t>曲技”納涼打ち上げ花火”</t>
    <rPh sb="0" eb="2">
      <t>キョク</t>
    </rPh>
    <rPh sb="3" eb="5">
      <t>ノウリョウ</t>
    </rPh>
    <rPh sb="5" eb="6">
      <t>ウチアゲ</t>
    </rPh>
    <phoneticPr fontId="1"/>
  </si>
  <si>
    <t>”一輪刺し”</t>
    <rPh sb="1" eb="4">
      <t>イチリn</t>
    </rPh>
    <phoneticPr fontId="1"/>
  </si>
  <si>
    <t>斬撃</t>
    <rPh sb="0" eb="2">
      <t>ザンゲキ</t>
    </rPh>
    <phoneticPr fontId="1"/>
  </si>
  <si>
    <t>地をはう”バラバラ砲”</t>
    <rPh sb="0" eb="1">
      <t>チヲ</t>
    </rPh>
    <rPh sb="9" eb="10">
      <t xml:space="preserve">ホウ </t>
    </rPh>
    <phoneticPr fontId="1"/>
  </si>
  <si>
    <t>鬼斬り</t>
  </si>
  <si>
    <t>M-005</t>
  </si>
  <si>
    <t>M-006</t>
  </si>
  <si>
    <t>M-007</t>
  </si>
  <si>
    <t>M-008</t>
  </si>
  <si>
    <t>M-009</t>
  </si>
  <si>
    <t>M-010</t>
  </si>
  <si>
    <t>M-011</t>
  </si>
  <si>
    <t>M-012</t>
  </si>
  <si>
    <t>M-013</t>
  </si>
  <si>
    <t>M-014</t>
  </si>
  <si>
    <t>M-015</t>
  </si>
  <si>
    <t>E001-07</t>
  </si>
  <si>
    <t>E001-09</t>
  </si>
  <si>
    <t>E001-28</t>
  </si>
  <si>
    <t>E001-29</t>
  </si>
  <si>
    <t>E001-30</t>
  </si>
  <si>
    <t>E001-31</t>
  </si>
  <si>
    <t>E001-32</t>
  </si>
  <si>
    <t>E001-33</t>
  </si>
  <si>
    <t>海賊専門泥棒</t>
    <rPh sb="0" eb="4">
      <t>カイゾクセンモン</t>
    </rPh>
    <rPh sb="4" eb="6">
      <t>ドロボウ</t>
    </rPh>
    <phoneticPr fontId="1"/>
  </si>
  <si>
    <t>泥棒</t>
    <rPh sb="0" eb="2">
      <t>ドロボウ</t>
    </rPh>
    <phoneticPr fontId="1"/>
  </si>
  <si>
    <t>オレンジの町に到着</t>
    <rPh sb="5" eb="6">
      <t>マチ</t>
    </rPh>
    <rPh sb="7" eb="9">
      <t>トウチャク</t>
    </rPh>
    <phoneticPr fontId="1"/>
  </si>
  <si>
    <t>通算日</t>
    <rPh sb="0" eb="3">
      <t>ツウサンビ</t>
    </rPh>
    <phoneticPr fontId="1"/>
  </si>
  <si>
    <t>L-006</t>
    <phoneticPr fontId="1"/>
  </si>
  <si>
    <t>B001-06</t>
  </si>
  <si>
    <t>B001-07</t>
  </si>
  <si>
    <t>技ID</t>
    <rPh sb="0" eb="1">
      <t>ワザ</t>
    </rPh>
    <phoneticPr fontId="1"/>
  </si>
  <si>
    <t>海賊専門泥棒</t>
    <rPh sb="0" eb="6">
      <t>カイゾクセンモンドロボウ</t>
    </rPh>
    <phoneticPr fontId="1"/>
  </si>
  <si>
    <t>船長</t>
    <rPh sb="0" eb="2">
      <t>センチョウ</t>
    </rPh>
    <phoneticPr fontId="1"/>
  </si>
  <si>
    <t>E001-34</t>
  </si>
  <si>
    <t>ペットフード店開店</t>
    <phoneticPr fontId="1"/>
  </si>
  <si>
    <t>ペットフード店の店主が亡くなる</t>
    <rPh sb="8" eb="10">
      <t>テンシュ</t>
    </rPh>
    <rPh sb="11" eb="12">
      <t>ナ</t>
    </rPh>
    <phoneticPr fontId="1"/>
  </si>
  <si>
    <t>曲芸のカバジ</t>
    <rPh sb="0" eb="2">
      <t>キョクゲイ</t>
    </rPh>
    <phoneticPr fontId="1"/>
  </si>
  <si>
    <t>バギー海賊団と戦い勝利する</t>
    <rPh sb="3" eb="6">
      <t>カイゾクダン</t>
    </rPh>
    <rPh sb="7" eb="8">
      <t>タタカ</t>
    </rPh>
    <rPh sb="9" eb="11">
      <t>ショウリ</t>
    </rPh>
    <phoneticPr fontId="1"/>
  </si>
  <si>
    <t>麦わらの一味に敗北する</t>
    <rPh sb="0" eb="1">
      <t>ムギ</t>
    </rPh>
    <rPh sb="4" eb="6">
      <t>イチミ</t>
    </rPh>
    <rPh sb="7" eb="9">
      <t>ハイボク</t>
    </rPh>
    <phoneticPr fontId="1"/>
  </si>
  <si>
    <t>C002-04</t>
    <phoneticPr fontId="1"/>
  </si>
  <si>
    <t>C002-10</t>
    <phoneticPr fontId="1"/>
  </si>
  <si>
    <t>海賊にやられ、荒れ地になった土地に町を興す</t>
    <rPh sb="0" eb="2">
      <t>カイゾク</t>
    </rPh>
    <rPh sb="7" eb="8">
      <t>ア</t>
    </rPh>
    <rPh sb="9" eb="10">
      <t>チ</t>
    </rPh>
    <rPh sb="14" eb="16">
      <t>トチ</t>
    </rPh>
    <rPh sb="17" eb="18">
      <t>マチ</t>
    </rPh>
    <rPh sb="19" eb="20">
      <t>オコ</t>
    </rPh>
    <phoneticPr fontId="1"/>
  </si>
  <si>
    <t>なし</t>
    <phoneticPr fontId="1"/>
  </si>
  <si>
    <t>ココックス</t>
    <phoneticPr fontId="1"/>
  </si>
  <si>
    <t>珍獣島</t>
    <rPh sb="0" eb="2">
      <t>チンジュウ</t>
    </rPh>
    <rPh sb="2" eb="3">
      <t>シマ</t>
    </rPh>
    <phoneticPr fontId="1"/>
  </si>
  <si>
    <t>珍獣</t>
    <rPh sb="0" eb="2">
      <t>チンジュウ</t>
    </rPh>
    <phoneticPr fontId="1"/>
  </si>
  <si>
    <t>ニワトリとイヌの特徴「コケコッコー」と鳴く</t>
    <rPh sb="8" eb="10">
      <t>トクチョウ</t>
    </rPh>
    <rPh sb="19" eb="20">
      <t xml:space="preserve">ナク </t>
    </rPh>
    <phoneticPr fontId="1"/>
  </si>
  <si>
    <t>ガイモン</t>
  </si>
  <si>
    <t>マチナ・ハレルヤ号</t>
    <rPh sb="8" eb="9">
      <t>ゴウ</t>
    </rPh>
    <phoneticPr fontId="1"/>
  </si>
  <si>
    <t>住民</t>
    <rPh sb="0" eb="2">
      <t>ジュウミn</t>
    </rPh>
    <phoneticPr fontId="1"/>
  </si>
  <si>
    <t>珍獣島で採れるメロン</t>
    <rPh sb="0" eb="2">
      <t>チンジュ</t>
    </rPh>
    <rPh sb="4" eb="5">
      <t xml:space="preserve">トレル </t>
    </rPh>
    <phoneticPr fontId="1"/>
  </si>
  <si>
    <t>元海賊</t>
    <rPh sb="0" eb="3">
      <t>モトカイ</t>
    </rPh>
    <phoneticPr fontId="1"/>
  </si>
  <si>
    <t>モーニン</t>
    <phoneticPr fontId="1"/>
  </si>
  <si>
    <t>朝はコーヒー派</t>
    <rPh sb="0" eb="1">
      <t>アサ</t>
    </rPh>
    <rPh sb="6" eb="7">
      <t xml:space="preserve">ハ </t>
    </rPh>
    <phoneticPr fontId="1"/>
  </si>
  <si>
    <t>にんじん</t>
  </si>
  <si>
    <t>ウソップ海賊団</t>
    <rPh sb="4" eb="7">
      <t>カイゾク</t>
    </rPh>
    <phoneticPr fontId="1"/>
  </si>
  <si>
    <t>団員</t>
    <rPh sb="0" eb="2">
      <t>ダンイn</t>
    </rPh>
    <phoneticPr fontId="1"/>
  </si>
  <si>
    <t>にんじんジュース</t>
    <phoneticPr fontId="1"/>
  </si>
  <si>
    <t>夢：酒場を経営</t>
    <rPh sb="0" eb="1">
      <t>ユメ</t>
    </rPh>
    <rPh sb="1" eb="2">
      <t>：</t>
    </rPh>
    <rPh sb="2" eb="4">
      <t>サカバ</t>
    </rPh>
    <rPh sb="5" eb="7">
      <t>ケイエイ</t>
    </rPh>
    <phoneticPr fontId="1"/>
  </si>
  <si>
    <t>ピーマン</t>
  </si>
  <si>
    <t>XF</t>
    <phoneticPr fontId="1"/>
  </si>
  <si>
    <t>ピーマンの肉詰め</t>
    <rPh sb="5" eb="7">
      <t>ニク</t>
    </rPh>
    <phoneticPr fontId="1"/>
  </si>
  <si>
    <t>夢：大工の棟梁</t>
    <rPh sb="0" eb="1">
      <t>ユメ</t>
    </rPh>
    <rPh sb="2" eb="4">
      <t>ダイク</t>
    </rPh>
    <rPh sb="5" eb="7">
      <t>トウリョウ</t>
    </rPh>
    <phoneticPr fontId="1"/>
  </si>
  <si>
    <t>たまねぎ</t>
  </si>
  <si>
    <t>S</t>
    <phoneticPr fontId="1"/>
  </si>
  <si>
    <t>オニオンリングフライ</t>
    <phoneticPr fontId="1"/>
  </si>
  <si>
    <t>夢：小説家</t>
    <rPh sb="0" eb="1">
      <t>ユメ</t>
    </rPh>
    <rPh sb="2" eb="5">
      <t>ショウセテゥ</t>
    </rPh>
    <phoneticPr fontId="1"/>
  </si>
  <si>
    <t>クロ</t>
  </si>
  <si>
    <t>べザン・ブラック号</t>
    <rPh sb="8" eb="9">
      <t>ゴウ</t>
    </rPh>
    <phoneticPr fontId="1"/>
  </si>
  <si>
    <t>百計のクロ</t>
    <rPh sb="0" eb="1">
      <t>ヒャッケイ</t>
    </rPh>
    <rPh sb="1" eb="2">
      <t>ケイカク</t>
    </rPh>
    <phoneticPr fontId="1"/>
  </si>
  <si>
    <t>クロネコ海賊団</t>
    <rPh sb="4" eb="7">
      <t>カイゾク</t>
    </rPh>
    <phoneticPr fontId="1"/>
  </si>
  <si>
    <t>元船長</t>
    <rPh sb="0" eb="1">
      <t>モト</t>
    </rPh>
    <rPh sb="1" eb="3">
      <t>センチョウ</t>
    </rPh>
    <phoneticPr fontId="1"/>
  </si>
  <si>
    <t>猫の手</t>
    <rPh sb="0" eb="1">
      <t>ネコン</t>
    </rPh>
    <phoneticPr fontId="1"/>
  </si>
  <si>
    <t>バナナ</t>
    <phoneticPr fontId="1"/>
  </si>
  <si>
    <t>クラハドール</t>
    <phoneticPr fontId="1"/>
  </si>
  <si>
    <t>カヤ</t>
  </si>
  <si>
    <t>屋敷の主</t>
    <rPh sb="0" eb="2">
      <t>ヤシキ</t>
    </rPh>
    <rPh sb="3" eb="4">
      <t>アルジ</t>
    </rPh>
    <phoneticPr fontId="1"/>
  </si>
  <si>
    <t>F</t>
    <phoneticPr fontId="1"/>
  </si>
  <si>
    <t>魚介類</t>
    <rPh sb="0" eb="3">
      <t>ギョカイ</t>
    </rPh>
    <phoneticPr fontId="1"/>
  </si>
  <si>
    <t>医者志望</t>
    <rPh sb="0" eb="2">
      <t>イシャ</t>
    </rPh>
    <rPh sb="2" eb="4">
      <t>シボウ</t>
    </rPh>
    <phoneticPr fontId="1"/>
  </si>
  <si>
    <t>門番</t>
    <rPh sb="0" eb="2">
      <t>モンバn</t>
    </rPh>
    <phoneticPr fontId="1"/>
  </si>
  <si>
    <t>門番派遣会社「テッスル」</t>
    <rPh sb="0" eb="4">
      <t xml:space="preserve">モンバンハケン </t>
    </rPh>
    <rPh sb="4" eb="6">
      <t>カイ</t>
    </rPh>
    <phoneticPr fontId="1"/>
  </si>
  <si>
    <t>社員</t>
    <rPh sb="0" eb="2">
      <t>シャイn</t>
    </rPh>
    <phoneticPr fontId="1"/>
  </si>
  <si>
    <t>カヤの屋敷の門番</t>
    <rPh sb="3" eb="5">
      <t>ヤシキ</t>
    </rPh>
    <rPh sb="6" eb="8">
      <t>モンバn</t>
    </rPh>
    <phoneticPr fontId="1"/>
  </si>
  <si>
    <t>メリー</t>
    <phoneticPr fontId="1"/>
  </si>
  <si>
    <t>カヤの執事</t>
    <rPh sb="3" eb="5">
      <t>シツジ</t>
    </rPh>
    <phoneticPr fontId="1"/>
  </si>
  <si>
    <t>ジャンゴ</t>
  </si>
  <si>
    <t>チャクラム</t>
    <phoneticPr fontId="1"/>
  </si>
  <si>
    <t>キノコのスパゲティ</t>
    <phoneticPr fontId="1"/>
  </si>
  <si>
    <t>元海賊/1・2のジャンゴ/ダンサーから海賊に転身歴あり</t>
    <rPh sb="0" eb="3">
      <t>モトカイ</t>
    </rPh>
    <rPh sb="19" eb="21">
      <t>カイゾク</t>
    </rPh>
    <rPh sb="22" eb="24">
      <t>テンシn</t>
    </rPh>
    <phoneticPr fontId="1"/>
  </si>
  <si>
    <t>秋島のサンマ、旬の魚が大好き</t>
    <rPh sb="0" eb="1">
      <t xml:space="preserve">アキジマ </t>
    </rPh>
    <rPh sb="1" eb="2">
      <t xml:space="preserve">シマ </t>
    </rPh>
    <rPh sb="7" eb="8">
      <t>シュn</t>
    </rPh>
    <rPh sb="9" eb="10">
      <t>サカナ</t>
    </rPh>
    <rPh sb="11" eb="13">
      <t>ダイスキ</t>
    </rPh>
    <phoneticPr fontId="1"/>
  </si>
  <si>
    <t>キノコ類（当たった事がある）</t>
    <rPh sb="3" eb="4">
      <t>ルイ</t>
    </rPh>
    <rPh sb="5" eb="6">
      <t xml:space="preserve">アタッタ </t>
    </rPh>
    <rPh sb="9" eb="10">
      <t xml:space="preserve">コトガ </t>
    </rPh>
    <phoneticPr fontId="1"/>
  </si>
  <si>
    <t>アルマジロ</t>
    <phoneticPr fontId="1"/>
  </si>
  <si>
    <t>そげキング/ウソップ海賊団・船長</t>
    <rPh sb="10" eb="13">
      <t>カイゾク</t>
    </rPh>
    <rPh sb="14" eb="16">
      <t>センチョウ</t>
    </rPh>
    <phoneticPr fontId="1"/>
  </si>
  <si>
    <t>C003-01</t>
    <phoneticPr fontId="1"/>
  </si>
  <si>
    <t>C003-02</t>
  </si>
  <si>
    <t>C003-03</t>
  </si>
  <si>
    <t>C003-04</t>
  </si>
  <si>
    <t>C003-05</t>
  </si>
  <si>
    <t>C003-06</t>
  </si>
  <si>
    <t>C003-07</t>
  </si>
  <si>
    <t>C003-08</t>
  </si>
  <si>
    <t>C003-09</t>
  </si>
  <si>
    <t>C003-10</t>
  </si>
  <si>
    <t>C003-11</t>
  </si>
  <si>
    <t>C003-12</t>
  </si>
  <si>
    <t>ウソップ</t>
    <phoneticPr fontId="1"/>
  </si>
  <si>
    <t>L-009</t>
  </si>
  <si>
    <t>L-010</t>
  </si>
  <si>
    <t>珍獣島</t>
    <rPh sb="0" eb="3">
      <t>チンジュウシマ</t>
    </rPh>
    <phoneticPr fontId="1"/>
  </si>
  <si>
    <t>ゲッコー諸島</t>
    <rPh sb="4" eb="6">
      <t>ショトウ</t>
    </rPh>
    <phoneticPr fontId="1"/>
  </si>
  <si>
    <t>1・2のジャンゴ</t>
  </si>
  <si>
    <t>船長</t>
    <rPh sb="0" eb="2">
      <t>センチョウ</t>
    </rPh>
    <phoneticPr fontId="1"/>
  </si>
  <si>
    <t>ウソップ海賊団</t>
    <rPh sb="4" eb="7">
      <t>カイゾクダン</t>
    </rPh>
    <phoneticPr fontId="1"/>
  </si>
  <si>
    <t>市民</t>
    <rPh sb="0" eb="2">
      <t>シミン</t>
    </rPh>
    <phoneticPr fontId="1"/>
  </si>
  <si>
    <t>G-011</t>
  </si>
  <si>
    <t>-</t>
    <phoneticPr fontId="1"/>
  </si>
  <si>
    <t>珍獣</t>
    <rPh sb="0" eb="2">
      <t>チンジュウ</t>
    </rPh>
    <phoneticPr fontId="1"/>
  </si>
  <si>
    <t>元海賊</t>
    <rPh sb="0" eb="1">
      <t>モト</t>
    </rPh>
    <rPh sb="1" eb="3">
      <t>カイゾク</t>
    </rPh>
    <phoneticPr fontId="1"/>
  </si>
  <si>
    <t>海賊</t>
    <rPh sb="0" eb="2">
      <t>カイゾク</t>
    </rPh>
    <phoneticPr fontId="1"/>
  </si>
  <si>
    <t>C</t>
    <phoneticPr fontId="1"/>
  </si>
  <si>
    <t>B</t>
    <phoneticPr fontId="1"/>
  </si>
  <si>
    <t>A</t>
    <phoneticPr fontId="1"/>
  </si>
  <si>
    <t>海賊”道化のバギー”</t>
    <rPh sb="0" eb="1">
      <t>カイゾク</t>
    </rPh>
    <rPh sb="3" eb="5">
      <t xml:space="preserve">ドウケ </t>
    </rPh>
    <phoneticPr fontId="1"/>
  </si>
  <si>
    <t>”悪魔の実”</t>
    <rPh sb="1" eb="3">
      <t>アクマ</t>
    </rPh>
    <phoneticPr fontId="1"/>
  </si>
  <si>
    <t>”泥棒道”</t>
    <rPh sb="1" eb="3">
      <t>ドロボウ</t>
    </rPh>
    <rPh sb="3" eb="4">
      <t>ミティ</t>
    </rPh>
    <phoneticPr fontId="1"/>
  </si>
  <si>
    <t>”町”</t>
    <rPh sb="1" eb="2">
      <t>マティ</t>
    </rPh>
    <phoneticPr fontId="1"/>
  </si>
  <si>
    <t>”あんたが珍獣”</t>
    <rPh sb="5" eb="7">
      <t>チンジュウ</t>
    </rPh>
    <phoneticPr fontId="1"/>
  </si>
  <si>
    <t>”キャプテン・ウソップ登場”</t>
    <rPh sb="11" eb="13">
      <t>トウジョウ</t>
    </rPh>
    <phoneticPr fontId="1"/>
  </si>
  <si>
    <t>”偽れぬもの”</t>
    <rPh sb="1" eb="2">
      <t>イツワレ</t>
    </rPh>
    <phoneticPr fontId="1"/>
  </si>
  <si>
    <t>”ウソ８００”</t>
  </si>
  <si>
    <t>”キャプテン・クロの一計”</t>
    <rPh sb="10" eb="12">
      <t>イッケイ</t>
    </rPh>
    <phoneticPr fontId="1"/>
  </si>
  <si>
    <t>VS.クロネコ海賊団</t>
    <rPh sb="7" eb="10">
      <t>カイゾクダン</t>
    </rPh>
    <phoneticPr fontId="1"/>
  </si>
  <si>
    <t>シロップ村</t>
    <rPh sb="4" eb="5">
      <t>ムラ</t>
    </rPh>
    <phoneticPr fontId="1"/>
  </si>
  <si>
    <t>M-016</t>
  </si>
  <si>
    <t>M-017</t>
  </si>
  <si>
    <t>M-018</t>
  </si>
  <si>
    <t>M-019</t>
  </si>
  <si>
    <t>M-020</t>
  </si>
  <si>
    <t>バラバラせんべい</t>
    <phoneticPr fontId="1"/>
  </si>
  <si>
    <t>バラバラ緊急脱出</t>
    <rPh sb="4" eb="8">
      <t>キンキュウ</t>
    </rPh>
    <phoneticPr fontId="1"/>
  </si>
  <si>
    <t>バラバラ砲・切り離し</t>
    <rPh sb="4" eb="5">
      <t xml:space="preserve">ホウ </t>
    </rPh>
    <rPh sb="6" eb="7">
      <t>キ</t>
    </rPh>
    <rPh sb="8" eb="9">
      <t>ハナ</t>
    </rPh>
    <phoneticPr fontId="1"/>
  </si>
  <si>
    <t>ゴムゴムの鎌</t>
    <rPh sb="5" eb="6">
      <t xml:space="preserve">カマ </t>
    </rPh>
    <phoneticPr fontId="1"/>
  </si>
  <si>
    <t>バラバラフェスティバル</t>
    <phoneticPr fontId="1"/>
  </si>
  <si>
    <t>M-021</t>
  </si>
  <si>
    <t>M-022</t>
  </si>
  <si>
    <t>ゴムゴムのバズーカ</t>
    <phoneticPr fontId="1"/>
  </si>
  <si>
    <t>ワン・ツー・ジャンゴ</t>
    <phoneticPr fontId="1"/>
  </si>
  <si>
    <t>E001-35</t>
  </si>
  <si>
    <t>E001-36</t>
  </si>
  <si>
    <t>E001-37</t>
  </si>
  <si>
    <t>E001-38</t>
  </si>
  <si>
    <t>E001-39</t>
  </si>
  <si>
    <t>E001-40</t>
  </si>
  <si>
    <t>E001-41</t>
  </si>
  <si>
    <t>E001-42</t>
  </si>
  <si>
    <t>E001-43</t>
  </si>
  <si>
    <t>バラバラの実を食べる</t>
    <rPh sb="5" eb="6">
      <t>ミ</t>
    </rPh>
    <rPh sb="7" eb="8">
      <t>タ</t>
    </rPh>
    <phoneticPr fontId="1"/>
  </si>
  <si>
    <t>北極と南極のどっちが寒いか言い争う</t>
    <rPh sb="0" eb="2">
      <t>ホッキョク</t>
    </rPh>
    <rPh sb="3" eb="5">
      <t>ナンキョク</t>
    </rPh>
    <rPh sb="10" eb="11">
      <t>サム</t>
    </rPh>
    <rPh sb="13" eb="14">
      <t>イ</t>
    </rPh>
    <rPh sb="15" eb="16">
      <t>アラソ</t>
    </rPh>
    <phoneticPr fontId="1"/>
  </si>
  <si>
    <t>L-011</t>
  </si>
  <si>
    <t>L-012</t>
  </si>
  <si>
    <t>オレンジの町近海</t>
    <rPh sb="5" eb="6">
      <t xml:space="preserve">マチ </t>
    </rPh>
    <rPh sb="6" eb="8">
      <t>キンカイ</t>
    </rPh>
    <phoneticPr fontId="1"/>
  </si>
  <si>
    <t>ルフィに吹っ飛ばされる</t>
    <rPh sb="4" eb="5">
      <t>フ</t>
    </rPh>
    <rPh sb="6" eb="7">
      <t>ト</t>
    </rPh>
    <phoneticPr fontId="1"/>
  </si>
  <si>
    <t>珍獣島に到達</t>
    <rPh sb="0" eb="3">
      <t>チンジュウジマ</t>
    </rPh>
    <rPh sb="4" eb="6">
      <t>トウタツ</t>
    </rPh>
    <phoneticPr fontId="1"/>
  </si>
  <si>
    <t>ルフィらに会う</t>
    <rPh sb="5" eb="6">
      <t>ア</t>
    </rPh>
    <phoneticPr fontId="1"/>
  </si>
  <si>
    <t>シロップ村に上陸する</t>
    <rPh sb="4" eb="5">
      <t>ムラ</t>
    </rPh>
    <rPh sb="6" eb="8">
      <t>ジョウリク</t>
    </rPh>
    <phoneticPr fontId="1"/>
  </si>
  <si>
    <t>E001-44</t>
  </si>
  <si>
    <t>E001-45</t>
  </si>
  <si>
    <t>E001-46</t>
  </si>
  <si>
    <t>E001-47</t>
  </si>
  <si>
    <t>E001-48</t>
  </si>
  <si>
    <t>E001-49</t>
  </si>
  <si>
    <t>E001-50</t>
  </si>
  <si>
    <t>E001-51</t>
  </si>
  <si>
    <t>E001-52</t>
  </si>
  <si>
    <t>E001-53</t>
  </si>
  <si>
    <t>E001-54</t>
  </si>
  <si>
    <t>E001-55</t>
  </si>
  <si>
    <t>E001-56</t>
  </si>
  <si>
    <t>E001-57</t>
  </si>
  <si>
    <t>E001-58</t>
  </si>
  <si>
    <t>E001-59</t>
  </si>
  <si>
    <t>E001-60</t>
  </si>
  <si>
    <t>銀河パチンコ</t>
    <rPh sb="0" eb="2">
      <t>ギンガ</t>
    </rPh>
    <phoneticPr fontId="1"/>
  </si>
  <si>
    <t>棒</t>
    <rPh sb="0" eb="1">
      <t>ボウ</t>
    </rPh>
    <phoneticPr fontId="1"/>
  </si>
  <si>
    <t>ルフィたちと出会う</t>
    <rPh sb="6" eb="8">
      <t>デア</t>
    </rPh>
    <phoneticPr fontId="1"/>
  </si>
  <si>
    <t>屋敷の執事として住み始める</t>
    <rPh sb="0" eb="2">
      <t>ヤシキ</t>
    </rPh>
    <rPh sb="3" eb="5">
      <t>シツジ</t>
    </rPh>
    <rPh sb="8" eb="9">
      <t>ス</t>
    </rPh>
    <rPh sb="10" eb="11">
      <t>ハジ</t>
    </rPh>
    <phoneticPr fontId="1"/>
  </si>
  <si>
    <t>お嬢様暗殺計画について話し合う</t>
    <rPh sb="1" eb="3">
      <t>ジョウサマ</t>
    </rPh>
    <rPh sb="3" eb="7">
      <t>アンサツケイカク</t>
    </rPh>
    <rPh sb="11" eb="12">
      <t>ハナ</t>
    </rPh>
    <rPh sb="13" eb="14">
      <t>ア</t>
    </rPh>
    <phoneticPr fontId="1"/>
  </si>
  <si>
    <t>脱退</t>
    <rPh sb="0" eb="2">
      <t>ダッタイ</t>
    </rPh>
    <phoneticPr fontId="1"/>
  </si>
  <si>
    <t>シロップ村近海</t>
    <rPh sb="4" eb="5">
      <t>ムラ</t>
    </rPh>
    <rPh sb="5" eb="7">
      <t>キンカイ</t>
    </rPh>
    <phoneticPr fontId="1"/>
  </si>
  <si>
    <t>お嬢様暗殺計画のため停泊する</t>
    <rPh sb="1" eb="3">
      <t>ジョウサマ</t>
    </rPh>
    <rPh sb="3" eb="7">
      <t>アンサツケイカク</t>
    </rPh>
    <rPh sb="10" eb="12">
      <t>テイハク</t>
    </rPh>
    <phoneticPr fontId="1"/>
  </si>
  <si>
    <t>カヤを励まし始める</t>
    <rPh sb="3" eb="4">
      <t>ハゲ</t>
    </rPh>
    <rPh sb="6" eb="7">
      <t>ハジ</t>
    </rPh>
    <phoneticPr fontId="1"/>
  </si>
  <si>
    <t>珍獣島にて宝箱にハマる</t>
    <rPh sb="0" eb="3">
      <t>チンジュウジマ</t>
    </rPh>
    <rPh sb="5" eb="7">
      <t>タカラバコ</t>
    </rPh>
    <phoneticPr fontId="1"/>
  </si>
  <si>
    <t>ゴール・D・ロジャー</t>
    <phoneticPr fontId="1"/>
  </si>
  <si>
    <t>アルビダ</t>
    <phoneticPr fontId="1"/>
  </si>
  <si>
    <t>ジャンゴ</t>
    <phoneticPr fontId="1"/>
  </si>
  <si>
    <t>持ち主</t>
    <rPh sb="0" eb="1">
      <t>モ</t>
    </rPh>
    <rPh sb="2" eb="3">
      <t>ヌシ</t>
    </rPh>
    <phoneticPr fontId="1"/>
  </si>
  <si>
    <t>C004-01</t>
  </si>
  <si>
    <t>C004-01</t>
    <phoneticPr fontId="1"/>
  </si>
  <si>
    <t>C004-02</t>
  </si>
  <si>
    <t>シャム</t>
  </si>
  <si>
    <t>船の番人</t>
    <rPh sb="0" eb="1">
      <t>フネ</t>
    </rPh>
    <rPh sb="2" eb="4">
      <t>バンニn</t>
    </rPh>
    <phoneticPr fontId="1"/>
  </si>
  <si>
    <t>焼き魚</t>
    <rPh sb="0" eb="1">
      <t>ヤキザカ</t>
    </rPh>
    <phoneticPr fontId="1"/>
  </si>
  <si>
    <t>ニャーバン・兄弟（ブラザーズ）</t>
    <rPh sb="6" eb="8">
      <t>キョウダイ</t>
    </rPh>
    <phoneticPr fontId="1"/>
  </si>
  <si>
    <t>ブチ</t>
  </si>
  <si>
    <t>クロネコ海賊団</t>
    <rPh sb="4" eb="7">
      <t>カイゾ</t>
    </rPh>
    <phoneticPr fontId="1"/>
  </si>
  <si>
    <t>船の番人</t>
    <rPh sb="0" eb="1">
      <t>フネン</t>
    </rPh>
    <rPh sb="2" eb="4">
      <t>バンニn</t>
    </rPh>
    <phoneticPr fontId="1"/>
  </si>
  <si>
    <t>フィッシュ＆チップス</t>
    <phoneticPr fontId="1"/>
  </si>
  <si>
    <t>ヌギレ・ヤイヌ</t>
    <phoneticPr fontId="1"/>
  </si>
  <si>
    <t>クロの身代わりに処刑された男</t>
    <rPh sb="3" eb="5">
      <t>ミガワリ</t>
    </rPh>
    <rPh sb="8" eb="10">
      <t>ショケイ</t>
    </rPh>
    <rPh sb="13" eb="14">
      <t>オトコ</t>
    </rPh>
    <phoneticPr fontId="1"/>
  </si>
  <si>
    <t>”筋”</t>
    <phoneticPr fontId="1"/>
  </si>
  <si>
    <t>”三日月”</t>
    <phoneticPr fontId="1"/>
  </si>
  <si>
    <t>”坂道”</t>
    <rPh sb="1" eb="3">
      <t>サカム</t>
    </rPh>
    <phoneticPr fontId="1"/>
  </si>
  <si>
    <t>”GREAT !!!"</t>
    <phoneticPr fontId="1"/>
  </si>
  <si>
    <t>”真実”</t>
    <phoneticPr fontId="1"/>
  </si>
  <si>
    <t>”大凶”</t>
    <rPh sb="1" eb="3">
      <t>ダイキョウ</t>
    </rPh>
    <phoneticPr fontId="1"/>
  </si>
  <si>
    <t>”音無き男”</t>
    <rPh sb="0" eb="1">
      <t>ダイキョウ</t>
    </rPh>
    <rPh sb="1" eb="2">
      <t>オトナ</t>
    </rPh>
    <rPh sb="2" eb="3">
      <t xml:space="preserve">ナキ </t>
    </rPh>
    <rPh sb="4" eb="5">
      <t>オトコ</t>
    </rPh>
    <phoneticPr fontId="1"/>
  </si>
  <si>
    <t>”執事クラハドール”</t>
    <rPh sb="1" eb="3">
      <t>シツジ</t>
    </rPh>
    <phoneticPr fontId="1"/>
  </si>
  <si>
    <t>”ネオ坂道”</t>
    <phoneticPr fontId="1"/>
  </si>
  <si>
    <t>C005-01</t>
    <phoneticPr fontId="1"/>
  </si>
  <si>
    <t>C005-02</t>
  </si>
  <si>
    <t>C005-03</t>
  </si>
  <si>
    <t>C005-04</t>
  </si>
  <si>
    <t>C005-05</t>
  </si>
  <si>
    <t>C005-06</t>
  </si>
  <si>
    <t>C005-07</t>
  </si>
  <si>
    <t>C005-08</t>
  </si>
  <si>
    <t>M-023</t>
  </si>
  <si>
    <t>M-024</t>
  </si>
  <si>
    <t>M-025</t>
  </si>
  <si>
    <t>M-026</t>
  </si>
  <si>
    <t>M-027</t>
  </si>
  <si>
    <t>M-028</t>
  </si>
  <si>
    <t>まきびし地獄</t>
    <rPh sb="4" eb="6">
      <t>ジゴク</t>
    </rPh>
    <phoneticPr fontId="1"/>
  </si>
  <si>
    <t>射撃</t>
    <rPh sb="0" eb="1">
      <t>シャゲキ</t>
    </rPh>
    <phoneticPr fontId="1"/>
  </si>
  <si>
    <t>ゴムゴムの銃乱打（ガトリング）</t>
  </si>
  <si>
    <t>ネコババ</t>
    <phoneticPr fontId="1"/>
  </si>
  <si>
    <t>猫殺　キャット・ザ・フンジャッタ</t>
    <rPh sb="0" eb="1">
      <t>ネコ</t>
    </rPh>
    <rPh sb="1" eb="2">
      <t>コロス</t>
    </rPh>
    <phoneticPr fontId="1"/>
  </si>
  <si>
    <t>ネコ柳大行進</t>
    <rPh sb="2" eb="3">
      <t>ヤナギ</t>
    </rPh>
    <rPh sb="3" eb="6">
      <t>ダイコウ</t>
    </rPh>
    <phoneticPr fontId="1"/>
  </si>
  <si>
    <t>M-029</t>
  </si>
  <si>
    <t>M-030</t>
  </si>
  <si>
    <t>M-031</t>
  </si>
  <si>
    <t>M-032</t>
  </si>
  <si>
    <t>鉛星</t>
    <rPh sb="0" eb="2">
      <t>ナマリボシ</t>
    </rPh>
    <phoneticPr fontId="1"/>
  </si>
  <si>
    <t>抜き足</t>
    <rPh sb="0" eb="1">
      <t>ヌキ</t>
    </rPh>
    <phoneticPr fontId="1"/>
  </si>
  <si>
    <t>虎狩り</t>
    <rPh sb="0" eb="1">
      <t>トラ</t>
    </rPh>
    <rPh sb="1" eb="2">
      <t>カリ</t>
    </rPh>
    <phoneticPr fontId="1"/>
  </si>
  <si>
    <t>E001-61</t>
  </si>
  <si>
    <t>E001-62</t>
  </si>
  <si>
    <t>E001-63</t>
  </si>
  <si>
    <t>オレンジの町を襲撃する</t>
    <rPh sb="0" eb="1">
      <t>オレンジノ</t>
    </rPh>
    <rPh sb="5" eb="6">
      <t>マティ</t>
    </rPh>
    <rPh sb="7" eb="9">
      <t>シュウゲキ</t>
    </rPh>
    <phoneticPr fontId="1"/>
  </si>
  <si>
    <t>クロネコ海賊団と戦闘し勝利する</t>
    <rPh sb="4" eb="7">
      <t>カイゾク</t>
    </rPh>
    <rPh sb="8" eb="10">
      <t>セントウ</t>
    </rPh>
    <rPh sb="11" eb="13">
      <t>ショウリ</t>
    </rPh>
    <phoneticPr fontId="1"/>
  </si>
  <si>
    <t>E001-64</t>
  </si>
  <si>
    <t>E001-65</t>
  </si>
  <si>
    <t>E001-66</t>
  </si>
  <si>
    <t>E001-67</t>
  </si>
  <si>
    <t>E001-68</t>
  </si>
  <si>
    <t>E001-69</t>
  </si>
  <si>
    <t>麦わらの一味に敗北する</t>
    <rPh sb="0" eb="2">
      <t>ムギワ</t>
    </rPh>
    <rPh sb="4" eb="5">
      <t>イチミ</t>
    </rPh>
    <rPh sb="7" eb="8">
      <t>ハイボク</t>
    </rPh>
    <phoneticPr fontId="1"/>
  </si>
  <si>
    <t>B001-08</t>
  </si>
  <si>
    <t>B001-09</t>
  </si>
  <si>
    <t>B001-10</t>
  </si>
  <si>
    <t>B001-11</t>
  </si>
  <si>
    <t>短期集中表紙連載開始!!</t>
    <rPh sb="0" eb="4">
      <t>タンキ</t>
    </rPh>
    <rPh sb="4" eb="6">
      <t>ヒョウセィ</t>
    </rPh>
    <rPh sb="6" eb="8">
      <t>レンサイ</t>
    </rPh>
    <rPh sb="8" eb="10">
      <t>カイ</t>
    </rPh>
    <phoneticPr fontId="1"/>
  </si>
  <si>
    <t>バギー一味のその後</t>
    <rPh sb="3" eb="5">
      <t>イチミ</t>
    </rPh>
    <phoneticPr fontId="1"/>
  </si>
  <si>
    <t>ニャーバン・兄弟</t>
    <rPh sb="6" eb="8">
      <t>キョウダイ</t>
    </rPh>
    <phoneticPr fontId="1"/>
  </si>
  <si>
    <t>バギー一味のその後</t>
    <phoneticPr fontId="1"/>
  </si>
  <si>
    <t>バンキーナ</t>
    <phoneticPr fontId="1"/>
  </si>
  <si>
    <t>ウソップの母親</t>
    <rPh sb="5" eb="7">
      <t>ハハオヤ</t>
    </rPh>
    <phoneticPr fontId="1"/>
  </si>
  <si>
    <t>ヨサク</t>
  </si>
  <si>
    <t>バウンティ丸</t>
    <rPh sb="5" eb="6">
      <t xml:space="preserve">マル </t>
    </rPh>
    <phoneticPr fontId="1"/>
  </si>
  <si>
    <t>菜斬り刀</t>
    <rPh sb="0" eb="1">
      <t>ナギリトウ</t>
    </rPh>
    <rPh sb="1" eb="2">
      <t xml:space="preserve">キル </t>
    </rPh>
    <phoneticPr fontId="1"/>
  </si>
  <si>
    <t>モヤシいため</t>
    <phoneticPr fontId="1"/>
  </si>
  <si>
    <t>ジョニー</t>
  </si>
  <si>
    <t>バウンティ丸</t>
    <rPh sb="5" eb="6">
      <t>マル</t>
    </rPh>
    <phoneticPr fontId="1"/>
  </si>
  <si>
    <t>ポテチ</t>
    <phoneticPr fontId="1"/>
  </si>
  <si>
    <t>フルボディ</t>
  </si>
  <si>
    <t>海軍本部</t>
    <rPh sb="0" eb="4">
      <t>カイグn</t>
    </rPh>
    <phoneticPr fontId="1"/>
  </si>
  <si>
    <t>鉄拳</t>
    <rPh sb="0" eb="2">
      <t>テッケn</t>
    </rPh>
    <phoneticPr fontId="1"/>
  </si>
  <si>
    <t>赤ワイン（イテュルツブルガー・シュタイン）</t>
    <rPh sb="0" eb="1">
      <t>アカワイn</t>
    </rPh>
    <phoneticPr fontId="1"/>
  </si>
  <si>
    <t>鉄拳のフルボディ/元海軍本部大尉</t>
    <rPh sb="0" eb="2">
      <t>テッケn</t>
    </rPh>
    <rPh sb="9" eb="14">
      <t xml:space="preserve">モト </t>
    </rPh>
    <rPh sb="14" eb="16">
      <t>タイイ</t>
    </rPh>
    <phoneticPr fontId="1"/>
  </si>
  <si>
    <t>モッツェルおじさん</t>
    <phoneticPr fontId="1"/>
  </si>
  <si>
    <t>バラティエにて娘の料理をつまみ食い</t>
    <rPh sb="7" eb="8">
      <t>ムスメ</t>
    </rPh>
    <rPh sb="9" eb="11">
      <t>リョウリ</t>
    </rPh>
    <phoneticPr fontId="1"/>
  </si>
  <si>
    <t>ムーディ</t>
    <phoneticPr fontId="1"/>
  </si>
  <si>
    <t>フルボディと食事をしていた女性</t>
    <rPh sb="6" eb="8">
      <t>ショクジ</t>
    </rPh>
    <rPh sb="13" eb="15">
      <t>ジョセイ</t>
    </rPh>
    <phoneticPr fontId="1"/>
  </si>
  <si>
    <t>ゼフ</t>
  </si>
  <si>
    <t>赫足のゼフ</t>
    <rPh sb="0" eb="2">
      <t xml:space="preserve">アカアシ </t>
    </rPh>
    <phoneticPr fontId="1"/>
  </si>
  <si>
    <t>海上レストランバラティエ</t>
    <rPh sb="0" eb="2">
      <t>カイジョウ</t>
    </rPh>
    <phoneticPr fontId="1"/>
  </si>
  <si>
    <t>オーナー兼料理長</t>
    <rPh sb="4" eb="5">
      <t xml:space="preserve">ケン </t>
    </rPh>
    <rPh sb="5" eb="8">
      <t>リョウリ</t>
    </rPh>
    <phoneticPr fontId="1"/>
  </si>
  <si>
    <t>足技</t>
    <rPh sb="0" eb="2">
      <t>アシワザ</t>
    </rPh>
    <phoneticPr fontId="1"/>
  </si>
  <si>
    <t>激辛チキンウイング</t>
    <rPh sb="0" eb="2">
      <t>ゲキカラ</t>
    </rPh>
    <phoneticPr fontId="1"/>
  </si>
  <si>
    <t>元海賊/クック海賊団船長</t>
    <rPh sb="0" eb="1">
      <t>モト</t>
    </rPh>
    <rPh sb="1" eb="3">
      <t>カ</t>
    </rPh>
    <rPh sb="7" eb="10">
      <t>カイゾク</t>
    </rPh>
    <rPh sb="10" eb="12">
      <t>センチョウ</t>
    </rPh>
    <phoneticPr fontId="1"/>
  </si>
  <si>
    <t>バッチー</t>
    <phoneticPr fontId="1"/>
  </si>
  <si>
    <t>ハエ目短角亜目イエバエ科</t>
    <rPh sb="2" eb="3">
      <t xml:space="preserve">モク </t>
    </rPh>
    <rPh sb="3" eb="4">
      <t xml:space="preserve">タンカク </t>
    </rPh>
    <rPh sb="5" eb="6">
      <t xml:space="preserve">ア </t>
    </rPh>
    <rPh sb="6" eb="7">
      <t>モク</t>
    </rPh>
    <rPh sb="11" eb="12">
      <t>カモク</t>
    </rPh>
    <phoneticPr fontId="1"/>
  </si>
  <si>
    <t>ただのハエ</t>
    <phoneticPr fontId="1"/>
  </si>
  <si>
    <t>パティ</t>
  </si>
  <si>
    <t>バラティエ</t>
    <phoneticPr fontId="1"/>
  </si>
  <si>
    <t>プリン</t>
    <phoneticPr fontId="1"/>
  </si>
  <si>
    <t>10数年で300軒クビになる/連結式デザート艦”シスターアンコー”責任者</t>
    <rPh sb="8" eb="9">
      <t xml:space="preserve">ケン </t>
    </rPh>
    <rPh sb="15" eb="18">
      <t>レンケテゥ</t>
    </rPh>
    <rPh sb="22" eb="23">
      <t xml:space="preserve">カン </t>
    </rPh>
    <rPh sb="33" eb="36">
      <t>セキニn</t>
    </rPh>
    <phoneticPr fontId="1"/>
  </si>
  <si>
    <t>ラインズ一等兵</t>
    <rPh sb="4" eb="7">
      <t>イットウ</t>
    </rPh>
    <phoneticPr fontId="1"/>
  </si>
  <si>
    <t>一等兵</t>
    <rPh sb="0" eb="3">
      <t>イット</t>
    </rPh>
    <phoneticPr fontId="1"/>
  </si>
  <si>
    <t>ギンの脱走をフルボディに伝えた</t>
    <rPh sb="3" eb="5">
      <t>ダッソウ</t>
    </rPh>
    <rPh sb="12" eb="13">
      <t>ツタエ</t>
    </rPh>
    <phoneticPr fontId="1"/>
  </si>
  <si>
    <t>パンダマン</t>
    <phoneticPr fontId="1"/>
  </si>
  <si>
    <t>2月29日</t>
    <rPh sb="1" eb="2">
      <t>ガテゥ</t>
    </rPh>
    <rPh sb="4" eb="5">
      <t>ニティ</t>
    </rPh>
    <phoneticPr fontId="1"/>
  </si>
  <si>
    <t>チベット</t>
    <phoneticPr fontId="1"/>
  </si>
  <si>
    <t>悪魔超人</t>
    <rPh sb="0" eb="4">
      <t>アクマ</t>
    </rPh>
    <phoneticPr fontId="1"/>
  </si>
  <si>
    <t>体重122kg /笹を食べて330万パワー、食前330万パワー/必殺技「S.P.D（笹の葉パンダドロップ）」「ジャイアントパンダデスロック」</t>
    <rPh sb="0" eb="2">
      <t>タイジュ</t>
    </rPh>
    <rPh sb="9" eb="10">
      <t>ササヲ</t>
    </rPh>
    <rPh sb="17" eb="18">
      <t>Mann</t>
    </rPh>
    <rPh sb="22" eb="24">
      <t>ショクゼn</t>
    </rPh>
    <rPh sb="27" eb="28">
      <t>Mann</t>
    </rPh>
    <rPh sb="32" eb="35">
      <t>ヒッサテゥ</t>
    </rPh>
    <rPh sb="42" eb="43">
      <t>ササ</t>
    </rPh>
    <phoneticPr fontId="1"/>
  </si>
  <si>
    <t>ギン</t>
  </si>
  <si>
    <t>ドレッドノート・サーベル号</t>
    <rPh sb="12" eb="13">
      <t>ゴウ</t>
    </rPh>
    <phoneticPr fontId="1"/>
  </si>
  <si>
    <t>鬼人のギン</t>
    <rPh sb="0" eb="2">
      <t>キジn</t>
    </rPh>
    <phoneticPr fontId="1"/>
  </si>
  <si>
    <t>クリーク海賊団</t>
    <rPh sb="4" eb="7">
      <t>カイゾク</t>
    </rPh>
    <phoneticPr fontId="1"/>
  </si>
  <si>
    <t>戦闘総隊長</t>
    <rPh sb="0" eb="2">
      <t>セントウ</t>
    </rPh>
    <rPh sb="2" eb="5">
      <t>ソウタイ</t>
    </rPh>
    <phoneticPr fontId="1"/>
  </si>
  <si>
    <t>鉄球</t>
    <rPh sb="0" eb="2">
      <t>テッキュウ</t>
    </rPh>
    <phoneticPr fontId="1"/>
  </si>
  <si>
    <t>サンジが作ったピラフ</t>
    <rPh sb="4" eb="5">
      <t>ツクッタ</t>
    </rPh>
    <phoneticPr fontId="1"/>
  </si>
  <si>
    <t>ジェルマ王国</t>
    <rPh sb="4" eb="6">
      <t>オウ</t>
    </rPh>
    <phoneticPr fontId="1"/>
  </si>
  <si>
    <t>S型RH-</t>
    <rPh sb="1" eb="2">
      <t>ガタ</t>
    </rPh>
    <phoneticPr fontId="1"/>
  </si>
  <si>
    <t>辛口海鮮パスタ、紅茶に合う物</t>
    <rPh sb="0" eb="2">
      <t>カラク</t>
    </rPh>
    <rPh sb="2" eb="4">
      <t>カイ</t>
    </rPh>
    <rPh sb="8" eb="10">
      <t>コウチャニ</t>
    </rPh>
    <rPh sb="11" eb="12">
      <t>アウモン</t>
    </rPh>
    <rPh sb="13" eb="14">
      <t xml:space="preserve">モノ </t>
    </rPh>
    <phoneticPr fontId="1"/>
  </si>
  <si>
    <t>こんにゃく（栄養ないから）</t>
    <rPh sb="6" eb="8">
      <t>エイヨウ</t>
    </rPh>
    <phoneticPr fontId="1"/>
  </si>
  <si>
    <t>アヒル</t>
    <phoneticPr fontId="1"/>
  </si>
  <si>
    <t>海上レストラン/副料理長</t>
    <rPh sb="0" eb="1">
      <t>カイジョウ</t>
    </rPh>
    <rPh sb="8" eb="12">
      <t>フクリョウ</t>
    </rPh>
    <phoneticPr fontId="1"/>
  </si>
  <si>
    <t>サンジ</t>
    <phoneticPr fontId="1"/>
  </si>
  <si>
    <t>C005-09</t>
  </si>
  <si>
    <t>C005-10</t>
  </si>
  <si>
    <t>C005-11</t>
  </si>
  <si>
    <t>C005-12</t>
  </si>
  <si>
    <t>C005-13</t>
  </si>
  <si>
    <t>C005-14</t>
  </si>
  <si>
    <t>鉄拳のフルボディ</t>
    <rPh sb="0" eb="2">
      <t>リョウ</t>
    </rPh>
    <phoneticPr fontId="1"/>
  </si>
  <si>
    <t>クッキング・ジョージ号</t>
  </si>
  <si>
    <t>S-011</t>
  </si>
  <si>
    <t>S-012</t>
  </si>
  <si>
    <t>S-013</t>
  </si>
  <si>
    <t>S-014</t>
  </si>
  <si>
    <t>S-015</t>
  </si>
  <si>
    <t>S-016</t>
  </si>
  <si>
    <t>狙撃手</t>
    <rPh sb="0" eb="1">
      <t>ソゲキ</t>
    </rPh>
    <phoneticPr fontId="1"/>
  </si>
  <si>
    <t>航海士</t>
    <rPh sb="0" eb="3">
      <t>コウカ</t>
    </rPh>
    <phoneticPr fontId="1"/>
  </si>
  <si>
    <t>賞金稼ぎ</t>
    <rPh sb="0" eb="3">
      <t>ショウキンカス</t>
    </rPh>
    <phoneticPr fontId="1"/>
  </si>
  <si>
    <t>G-012</t>
  </si>
  <si>
    <t>G-013</t>
  </si>
  <si>
    <t>副料理長</t>
    <rPh sb="0" eb="1">
      <t>フクリョウ</t>
    </rPh>
    <phoneticPr fontId="1"/>
  </si>
  <si>
    <t>-</t>
  </si>
  <si>
    <t>ハエ</t>
    <phoneticPr fontId="1"/>
  </si>
  <si>
    <t>悪魔超人</t>
    <rPh sb="0" eb="2">
      <t>アク</t>
    </rPh>
    <rPh sb="2" eb="4">
      <t xml:space="preserve">チョウジン </t>
    </rPh>
    <phoneticPr fontId="1"/>
  </si>
  <si>
    <t>大尉</t>
    <rPh sb="0" eb="2">
      <t xml:space="preserve">タイイ </t>
    </rPh>
    <phoneticPr fontId="1"/>
  </si>
  <si>
    <t>L-013</t>
  </si>
  <si>
    <t>ゼフ</t>
    <phoneticPr fontId="1"/>
  </si>
  <si>
    <t>サンバス海域</t>
    <rPh sb="4" eb="6">
      <t>カイイキ</t>
    </rPh>
    <phoneticPr fontId="1"/>
  </si>
  <si>
    <t>ゴムゴムの槍（ヤリ）</t>
    <rPh sb="5" eb="6">
      <t xml:space="preserve">ヤリ </t>
    </rPh>
    <phoneticPr fontId="1"/>
  </si>
  <si>
    <t>コショー目つぶし</t>
    <rPh sb="4" eb="5">
      <t>メ</t>
    </rPh>
    <phoneticPr fontId="1"/>
  </si>
  <si>
    <t>M-033</t>
  </si>
  <si>
    <t>M-034</t>
  </si>
  <si>
    <t>M-035</t>
  </si>
  <si>
    <t>M-036</t>
  </si>
  <si>
    <t>M-037</t>
  </si>
  <si>
    <t>M-038</t>
  </si>
  <si>
    <t>M-039</t>
  </si>
  <si>
    <t>杓死</t>
    <rPh sb="0" eb="1">
      <t>シャク</t>
    </rPh>
    <rPh sb="1" eb="2">
      <t xml:space="preserve">シ </t>
    </rPh>
    <phoneticPr fontId="1"/>
  </si>
  <si>
    <t>火薬星</t>
    <phoneticPr fontId="1"/>
  </si>
  <si>
    <t>ゴムゴムの鐘（カネ）</t>
  </si>
  <si>
    <t>料理長義足キック</t>
  </si>
  <si>
    <t>料理長ドロップ</t>
  </si>
  <si>
    <t>M-002</t>
    <phoneticPr fontId="1"/>
  </si>
  <si>
    <t>M-003</t>
    <phoneticPr fontId="1"/>
  </si>
  <si>
    <t>M-004</t>
    <phoneticPr fontId="1"/>
  </si>
  <si>
    <t>M-005</t>
    <phoneticPr fontId="1"/>
  </si>
  <si>
    <t>M-006</t>
    <phoneticPr fontId="1"/>
  </si>
  <si>
    <t>M-007</t>
    <phoneticPr fontId="1"/>
  </si>
  <si>
    <t>M-008</t>
    <phoneticPr fontId="1"/>
  </si>
  <si>
    <t>M-009</t>
    <phoneticPr fontId="1"/>
  </si>
  <si>
    <t>M-010</t>
    <phoneticPr fontId="1"/>
  </si>
  <si>
    <t>M-011</t>
    <phoneticPr fontId="1"/>
  </si>
  <si>
    <t>M-012</t>
    <phoneticPr fontId="1"/>
  </si>
  <si>
    <t>M-013</t>
    <phoneticPr fontId="1"/>
  </si>
  <si>
    <t>M-014</t>
    <phoneticPr fontId="1"/>
  </si>
  <si>
    <t>M-015</t>
    <phoneticPr fontId="1"/>
  </si>
  <si>
    <t>M-016</t>
    <phoneticPr fontId="1"/>
  </si>
  <si>
    <t>M-017</t>
    <phoneticPr fontId="1"/>
  </si>
  <si>
    <t>M-018</t>
    <phoneticPr fontId="1"/>
  </si>
  <si>
    <t>M-019</t>
    <phoneticPr fontId="1"/>
  </si>
  <si>
    <t>M-020</t>
    <phoneticPr fontId="1"/>
  </si>
  <si>
    <t>M-021</t>
    <phoneticPr fontId="1"/>
  </si>
  <si>
    <t>M-022</t>
    <phoneticPr fontId="1"/>
  </si>
  <si>
    <t>M-023</t>
    <phoneticPr fontId="1"/>
  </si>
  <si>
    <t>M-024</t>
    <phoneticPr fontId="1"/>
  </si>
  <si>
    <t>M-025</t>
    <phoneticPr fontId="1"/>
  </si>
  <si>
    <t>M-026</t>
    <phoneticPr fontId="1"/>
  </si>
  <si>
    <t>M-027</t>
    <phoneticPr fontId="1"/>
  </si>
  <si>
    <t>M-028</t>
    <phoneticPr fontId="1"/>
  </si>
  <si>
    <t>M-029</t>
    <phoneticPr fontId="1"/>
  </si>
  <si>
    <t>M-030</t>
    <phoneticPr fontId="1"/>
  </si>
  <si>
    <t>M-031</t>
    <phoneticPr fontId="1"/>
  </si>
  <si>
    <t>L-010</t>
    <phoneticPr fontId="1"/>
  </si>
  <si>
    <t>B001-12</t>
  </si>
  <si>
    <t>B001-13</t>
  </si>
  <si>
    <t>B001-14</t>
  </si>
  <si>
    <t>B001-15</t>
  </si>
  <si>
    <t>M-035</t>
    <phoneticPr fontId="1"/>
  </si>
  <si>
    <t>”追え！！”</t>
    <rPh sb="1" eb="2">
      <t xml:space="preserve">オエ </t>
    </rPh>
    <phoneticPr fontId="1"/>
  </si>
  <si>
    <t>バギー一味冒険記vol.2</t>
    <rPh sb="3" eb="5">
      <t>イチミ</t>
    </rPh>
    <rPh sb="5" eb="8">
      <t>ボウケn</t>
    </rPh>
    <phoneticPr fontId="1"/>
  </si>
  <si>
    <t>モージとカバジ</t>
    <phoneticPr fontId="1"/>
  </si>
  <si>
    <t>海賊”百計のクロ”</t>
    <rPh sb="0" eb="2">
      <t>カイゾク</t>
    </rPh>
    <rPh sb="2" eb="3">
      <t>”</t>
    </rPh>
    <rPh sb="3" eb="4">
      <t>ヒャッケイ</t>
    </rPh>
    <rPh sb="4" eb="5">
      <t xml:space="preserve">ケイ </t>
    </rPh>
    <phoneticPr fontId="1"/>
  </si>
  <si>
    <t>バギー一味冒険記vol.3</t>
    <rPh sb="3" eb="5">
      <t>イチミ</t>
    </rPh>
    <rPh sb="5" eb="8">
      <t>ボウケn</t>
    </rPh>
    <phoneticPr fontId="1"/>
  </si>
  <si>
    <t>バギーの冒険</t>
    <rPh sb="0" eb="2">
      <t>バギー</t>
    </rPh>
    <rPh sb="4" eb="6">
      <t>ボウケn</t>
    </rPh>
    <phoneticPr fontId="1"/>
  </si>
  <si>
    <t>”海賊団”</t>
    <rPh sb="1" eb="4">
      <t>カイゾクデ</t>
    </rPh>
    <phoneticPr fontId="1"/>
  </si>
  <si>
    <t>”誰が為に鐘は鳴る”</t>
    <rPh sb="1" eb="2">
      <t>ダレ</t>
    </rPh>
    <rPh sb="3" eb="4">
      <t xml:space="preserve">タメニ </t>
    </rPh>
    <rPh sb="5" eb="6">
      <t>カネハ</t>
    </rPh>
    <rPh sb="7" eb="8">
      <t xml:space="preserve">ナル </t>
    </rPh>
    <phoneticPr fontId="1"/>
  </si>
  <si>
    <t>バギー一味冒険記vol.4</t>
    <rPh sb="3" eb="5">
      <t>イチミ</t>
    </rPh>
    <rPh sb="5" eb="8">
      <t>ボウケn</t>
    </rPh>
    <phoneticPr fontId="1"/>
  </si>
  <si>
    <t>バギーと大鳥</t>
    <rPh sb="4" eb="6">
      <t>オオトリ</t>
    </rPh>
    <phoneticPr fontId="1"/>
  </si>
  <si>
    <t>”ウソップ海賊団”</t>
    <rPh sb="5" eb="8">
      <t>カイゾク</t>
    </rPh>
    <phoneticPr fontId="1"/>
  </si>
  <si>
    <t>バギー一味冒険記vol.5</t>
    <rPh sb="3" eb="5">
      <t>イチミ</t>
    </rPh>
    <rPh sb="5" eb="8">
      <t>ボウケn</t>
    </rPh>
    <phoneticPr fontId="1"/>
  </si>
  <si>
    <t>知力戦</t>
    <rPh sb="0" eb="2">
      <t>チリョク</t>
    </rPh>
    <rPh sb="2" eb="3">
      <t>セン</t>
    </rPh>
    <phoneticPr fontId="1"/>
  </si>
  <si>
    <t>”海へ”</t>
    <rPh sb="1" eb="2">
      <t>ウミ</t>
    </rPh>
    <phoneticPr fontId="1"/>
  </si>
  <si>
    <t>”ヨサクとジョニー”</t>
    <phoneticPr fontId="1"/>
  </si>
  <si>
    <t>バギー一味冒険記vol.6</t>
    <rPh sb="3" eb="5">
      <t>イチミ</t>
    </rPh>
    <rPh sb="5" eb="8">
      <t>ボウケn</t>
    </rPh>
    <phoneticPr fontId="1"/>
  </si>
  <si>
    <t>空の旅パート2</t>
    <rPh sb="0" eb="1">
      <t>ソラノ</t>
    </rPh>
    <phoneticPr fontId="1"/>
  </si>
  <si>
    <t>”サンジ登場”</t>
    <rPh sb="4" eb="6">
      <t>トウジョウ</t>
    </rPh>
    <phoneticPr fontId="1"/>
  </si>
  <si>
    <t>バギー一味冒険記vol.7</t>
    <rPh sb="3" eb="5">
      <t>イチミ</t>
    </rPh>
    <rPh sb="5" eb="8">
      <t>ボウケn</t>
    </rPh>
    <phoneticPr fontId="1"/>
  </si>
  <si>
    <t>墜落珍獣の島</t>
    <rPh sb="0" eb="2">
      <t>ツイラク</t>
    </rPh>
    <rPh sb="2" eb="4">
      <t>チンジュウ</t>
    </rPh>
    <rPh sb="5" eb="6">
      <t>シマ</t>
    </rPh>
    <phoneticPr fontId="1"/>
  </si>
  <si>
    <t>”三人のコック”</t>
    <rPh sb="1" eb="2">
      <t>サンニn</t>
    </rPh>
    <phoneticPr fontId="1"/>
  </si>
  <si>
    <t>ウソップ海賊団解散</t>
    <rPh sb="7" eb="9">
      <t>カイ</t>
    </rPh>
    <phoneticPr fontId="1"/>
  </si>
  <si>
    <t>E001-70</t>
  </si>
  <si>
    <t>E001-71</t>
  </si>
  <si>
    <t>E001-72</t>
  </si>
  <si>
    <t>E001-73</t>
  </si>
  <si>
    <t>E001-74</t>
  </si>
  <si>
    <t>E001-75</t>
  </si>
  <si>
    <t>E001-76</t>
  </si>
  <si>
    <t>E001-77</t>
  </si>
  <si>
    <t>ウソップ海賊団結成</t>
    <rPh sb="7" eb="9">
      <t>ケッセイ</t>
    </rPh>
    <phoneticPr fontId="1"/>
  </si>
  <si>
    <t>村を飛び出し海賊になる</t>
    <rPh sb="0" eb="1">
      <t>ムラ</t>
    </rPh>
    <rPh sb="2" eb="3">
      <t>トビ</t>
    </rPh>
    <rPh sb="6" eb="8">
      <t>カイゾク</t>
    </rPh>
    <phoneticPr fontId="1"/>
  </si>
  <si>
    <t>仮説（年）</t>
    <rPh sb="0" eb="2">
      <t>カセテゥ</t>
    </rPh>
    <rPh sb="3" eb="4">
      <t>トセィ</t>
    </rPh>
    <phoneticPr fontId="1"/>
  </si>
  <si>
    <t>母が病死する</t>
    <rPh sb="0" eb="1">
      <t>ハハ</t>
    </rPh>
    <rPh sb="2" eb="4">
      <t>ビョウセィ</t>
    </rPh>
    <phoneticPr fontId="1"/>
  </si>
  <si>
    <t>シロップ村を出航</t>
    <rPh sb="0" eb="1">
      <t>シロップムラ</t>
    </rPh>
    <rPh sb="6" eb="8">
      <t>シュッコウ</t>
    </rPh>
    <phoneticPr fontId="1"/>
  </si>
  <si>
    <t>ヨサクとジョニーと出会う</t>
    <rPh sb="9" eb="11">
      <t>デアウ</t>
    </rPh>
    <phoneticPr fontId="1"/>
  </si>
  <si>
    <t>E001-78</t>
  </si>
  <si>
    <t>E001-79</t>
  </si>
  <si>
    <t>E001-80</t>
  </si>
  <si>
    <t>E001-81</t>
  </si>
  <si>
    <t>E001-82</t>
  </si>
  <si>
    <t>E001-83</t>
  </si>
  <si>
    <t>E001-84</t>
  </si>
  <si>
    <t>麦わらの一味と出会う</t>
    <rPh sb="0" eb="1">
      <t>ムギワラン</t>
    </rPh>
    <rPh sb="4" eb="6">
      <t>イチミ</t>
    </rPh>
    <rPh sb="7" eb="9">
      <t>デアウ</t>
    </rPh>
    <phoneticPr fontId="1"/>
  </si>
  <si>
    <t>珍獣島に墜落する</t>
    <rPh sb="0" eb="2">
      <t>チンジュ</t>
    </rPh>
    <rPh sb="2" eb="3">
      <t>s</t>
    </rPh>
    <rPh sb="4" eb="6">
      <t>ツイラク</t>
    </rPh>
    <phoneticPr fontId="1"/>
  </si>
  <si>
    <t>L-014</t>
  </si>
  <si>
    <t>L-015</t>
  </si>
  <si>
    <t>バラティエに到着</t>
    <rPh sb="6" eb="8">
      <t>トウチャク</t>
    </rPh>
    <phoneticPr fontId="1"/>
  </si>
  <si>
    <t>E001-85</t>
  </si>
  <si>
    <t>E001-86</t>
  </si>
  <si>
    <t>E001-87</t>
  </si>
  <si>
    <t>E001-88</t>
  </si>
  <si>
    <t>E001-89</t>
  </si>
  <si>
    <t>E001-90</t>
  </si>
  <si>
    <t>E001-91</t>
  </si>
  <si>
    <t>大尉</t>
    <rPh sb="0" eb="2">
      <t>タイイ</t>
    </rPh>
    <phoneticPr fontId="1"/>
  </si>
  <si>
    <t>副料理長</t>
    <rPh sb="0" eb="1">
      <t>フクリョウリ</t>
    </rPh>
    <phoneticPr fontId="1"/>
  </si>
  <si>
    <t>L-013</t>
    <phoneticPr fontId="1"/>
  </si>
  <si>
    <t>海軍に捕まる</t>
    <rPh sb="0" eb="2">
      <t>カイグn</t>
    </rPh>
    <rPh sb="3" eb="4">
      <t>ツカマル</t>
    </rPh>
    <phoneticPr fontId="1"/>
  </si>
  <si>
    <t>VS.クリーク海賊団</t>
    <rPh sb="7" eb="10">
      <t>カイゾク</t>
    </rPh>
    <phoneticPr fontId="1"/>
  </si>
  <si>
    <t>E001-92</t>
  </si>
  <si>
    <t>E001-93</t>
  </si>
  <si>
    <t>バラティエに勤務</t>
    <rPh sb="5" eb="6">
      <t>ニ</t>
    </rPh>
    <rPh sb="6" eb="8">
      <t>キンム</t>
    </rPh>
    <phoneticPr fontId="1"/>
  </si>
  <si>
    <t>本船</t>
    <rPh sb="0" eb="2">
      <t>ホンセn</t>
    </rPh>
    <phoneticPr fontId="1"/>
  </si>
  <si>
    <t>-</t>
    <phoneticPr fontId="1"/>
  </si>
  <si>
    <t>C</t>
    <phoneticPr fontId="1"/>
  </si>
  <si>
    <t>C005-15</t>
  </si>
  <si>
    <t>C005-10</t>
    <phoneticPr fontId="1"/>
  </si>
  <si>
    <t>C005-06</t>
    <phoneticPr fontId="1"/>
  </si>
  <si>
    <t>C005-04</t>
    <phoneticPr fontId="1"/>
  </si>
  <si>
    <t>C005-05</t>
    <phoneticPr fontId="1"/>
  </si>
  <si>
    <t>C005-09</t>
    <phoneticPr fontId="1"/>
  </si>
  <si>
    <t>C005-15</t>
    <phoneticPr fontId="1"/>
  </si>
  <si>
    <t>C005-09</t>
    <phoneticPr fontId="1"/>
  </si>
  <si>
    <t>C005-12</t>
    <phoneticPr fontId="1"/>
  </si>
  <si>
    <t>G-013</t>
    <phoneticPr fontId="1"/>
  </si>
  <si>
    <t>C005-15</t>
    <phoneticPr fontId="1"/>
  </si>
  <si>
    <t>C005-06</t>
    <phoneticPr fontId="1"/>
  </si>
  <si>
    <t>C006-01</t>
    <phoneticPr fontId="1"/>
  </si>
  <si>
    <t>C006-02</t>
  </si>
  <si>
    <t>C006-03</t>
  </si>
  <si>
    <t>C006-04</t>
  </si>
  <si>
    <t>カルネ</t>
  </si>
  <si>
    <t>バラティエ</t>
  </si>
  <si>
    <t>ローストビーフ</t>
  </si>
  <si>
    <t>連結式鉄板焼艦”ナスがシラ号”責任者</t>
    <rPh sb="0" eb="3">
      <t>レンケテゥ</t>
    </rPh>
    <rPh sb="3" eb="6">
      <t>テッパn</t>
    </rPh>
    <rPh sb="6" eb="7">
      <t xml:space="preserve">カン </t>
    </rPh>
    <rPh sb="13" eb="14">
      <t>ゴウ</t>
    </rPh>
    <rPh sb="15" eb="18">
      <t>セキニn</t>
    </rPh>
    <phoneticPr fontId="1"/>
  </si>
  <si>
    <t>ロクサーヌ</t>
  </si>
  <si>
    <t>バラティエの客</t>
    <rPh sb="6" eb="7">
      <t>キャク</t>
    </rPh>
    <phoneticPr fontId="1"/>
  </si>
  <si>
    <t>クリーク</t>
  </si>
  <si>
    <t>海賊艦隊提督”首領・クリーク”/ダマし討ちのクリーク</t>
    <rPh sb="0" eb="4">
      <t>カイゾクカンテ</t>
    </rPh>
    <rPh sb="4" eb="6">
      <t>テイトク</t>
    </rPh>
    <rPh sb="7" eb="9">
      <t>シュリョウ</t>
    </rPh>
    <rPh sb="19" eb="20">
      <t xml:space="preserve">ウチ </t>
    </rPh>
    <phoneticPr fontId="1"/>
  </si>
  <si>
    <t>首領</t>
    <rPh sb="0" eb="2">
      <t>シュリョウ</t>
    </rPh>
    <phoneticPr fontId="1"/>
  </si>
  <si>
    <t>仕込み武器</t>
    <rPh sb="0" eb="2">
      <t>シコミ</t>
    </rPh>
    <phoneticPr fontId="1"/>
  </si>
  <si>
    <t>海王類の丸焼き</t>
    <rPh sb="0" eb="3">
      <t>カイオウ</t>
    </rPh>
    <rPh sb="4" eb="6">
      <t>マル</t>
    </rPh>
    <phoneticPr fontId="1"/>
  </si>
  <si>
    <t>ジュラキュール・ミホーク</t>
  </si>
  <si>
    <t>赤ワイン</t>
    <rPh sb="0" eb="1">
      <t>アカワイn</t>
    </rPh>
    <phoneticPr fontId="1"/>
  </si>
  <si>
    <t>鍋</t>
    <rPh sb="0" eb="1">
      <t xml:space="preserve">ナベ </t>
    </rPh>
    <phoneticPr fontId="1"/>
  </si>
  <si>
    <t>のんびり農作業、ワイン収集</t>
    <rPh sb="4" eb="7">
      <t>ノウサギョウ</t>
    </rPh>
    <rPh sb="11" eb="13">
      <t>シュウシュウ</t>
    </rPh>
    <phoneticPr fontId="1"/>
  </si>
  <si>
    <t>鷹</t>
  </si>
  <si>
    <t>世界最強の剣士/元王下七武海</t>
    <rPh sb="0" eb="2">
      <t>セカイ</t>
    </rPh>
    <rPh sb="2" eb="4">
      <t>サイキョウ</t>
    </rPh>
    <rPh sb="5" eb="7">
      <t>ケンセィ</t>
    </rPh>
    <rPh sb="8" eb="9">
      <t>モト</t>
    </rPh>
    <rPh sb="9" eb="14">
      <t>オウカシチブカイ</t>
    </rPh>
    <phoneticPr fontId="1"/>
  </si>
  <si>
    <t>”嵐前”</t>
    <rPh sb="1" eb="2">
      <t>アラセィ</t>
    </rPh>
    <rPh sb="2" eb="3">
      <t>マエ</t>
    </rPh>
    <phoneticPr fontId="1"/>
  </si>
  <si>
    <t>”招かれざる客”</t>
    <rPh sb="1" eb="2">
      <t>マネカレ</t>
    </rPh>
    <rPh sb="6" eb="7">
      <t>キャク</t>
    </rPh>
    <phoneticPr fontId="1"/>
  </si>
  <si>
    <t>バギー一味冒険記vol.8</t>
    <rPh sb="3" eb="5">
      <t>イチミ</t>
    </rPh>
    <rPh sb="5" eb="8">
      <t>ボウケn</t>
    </rPh>
    <phoneticPr fontId="1"/>
  </si>
  <si>
    <t>裁きの森の決斗</t>
    <rPh sb="0" eb="1">
      <t>サバキ</t>
    </rPh>
    <rPh sb="3" eb="4">
      <t>モリ</t>
    </rPh>
    <rPh sb="5" eb="6">
      <t>ケットウ</t>
    </rPh>
    <rPh sb="6" eb="7">
      <t xml:space="preserve">ト </t>
    </rPh>
    <phoneticPr fontId="1"/>
  </si>
  <si>
    <t>海賊艦隊提督”首領・クリーク”</t>
    <rPh sb="0" eb="4">
      <t>カイゾク</t>
    </rPh>
    <rPh sb="4" eb="6">
      <t>テイトク</t>
    </rPh>
    <rPh sb="7" eb="9">
      <t>シュリョウ</t>
    </rPh>
    <phoneticPr fontId="1"/>
  </si>
  <si>
    <t>バギー一味冒険記vol.9</t>
    <rPh sb="3" eb="5">
      <t>イチミ</t>
    </rPh>
    <rPh sb="5" eb="8">
      <t>ボウケn</t>
    </rPh>
    <phoneticPr fontId="1"/>
  </si>
  <si>
    <t>あんたも珍獣</t>
    <rPh sb="4" eb="6">
      <t>チンジュウ</t>
    </rPh>
    <phoneticPr fontId="1"/>
  </si>
  <si>
    <t>”その航路、やめときな”</t>
    <rPh sb="3" eb="5">
      <t>コウロ</t>
    </rPh>
    <phoneticPr fontId="1"/>
  </si>
  <si>
    <t>バギー一味冒険記vol.10</t>
    <rPh sb="3" eb="5">
      <t>イチミ</t>
    </rPh>
    <rPh sb="5" eb="8">
      <t>ボウケn</t>
    </rPh>
    <phoneticPr fontId="1"/>
  </si>
  <si>
    <t>強敵（とも）との別れ</t>
    <rPh sb="0" eb="2">
      <t>キョウテキ</t>
    </rPh>
    <rPh sb="8" eb="9">
      <t>ワカレ</t>
    </rPh>
    <phoneticPr fontId="1"/>
  </si>
  <si>
    <t>”嵐”</t>
    <rPh sb="1" eb="2">
      <t>アラセィ</t>
    </rPh>
    <phoneticPr fontId="1"/>
  </si>
  <si>
    <t>”己々が路”</t>
    <rPh sb="1" eb="2">
      <t>オノレ</t>
    </rPh>
    <phoneticPr fontId="1"/>
  </si>
  <si>
    <t>バギー一味冒険記vol.11</t>
    <rPh sb="3" eb="5">
      <t>イチミ</t>
    </rPh>
    <rPh sb="5" eb="8">
      <t>ボウケn</t>
    </rPh>
    <phoneticPr fontId="1"/>
  </si>
  <si>
    <t>強襲のカニ</t>
    <rPh sb="0" eb="1">
      <t>キョウシュウ</t>
    </rPh>
    <phoneticPr fontId="1"/>
  </si>
  <si>
    <t>”ロロノア・ゾロ海に散る”</t>
    <rPh sb="8" eb="9">
      <t>ウミ</t>
    </rPh>
    <rPh sb="10" eb="11">
      <t xml:space="preserve">チル </t>
    </rPh>
    <phoneticPr fontId="1"/>
  </si>
  <si>
    <t>バギー一味冒険記vol.12</t>
    <rPh sb="3" eb="5">
      <t>イチミ</t>
    </rPh>
    <rPh sb="5" eb="8">
      <t>ボウケn</t>
    </rPh>
    <phoneticPr fontId="1"/>
  </si>
  <si>
    <t>謎の女海賊登場</t>
    <rPh sb="0" eb="1">
      <t>ナゾ</t>
    </rPh>
    <rPh sb="2" eb="5">
      <t>オンナ</t>
    </rPh>
    <rPh sb="5" eb="7">
      <t>トウジョウ</t>
    </rPh>
    <phoneticPr fontId="1"/>
  </si>
  <si>
    <t>”誓い”</t>
    <rPh sb="1" eb="2">
      <t xml:space="preserve">チカイ </t>
    </rPh>
    <phoneticPr fontId="1"/>
  </si>
  <si>
    <t>”サバガシラ１号”</t>
    <rPh sb="7" eb="8">
      <t>ゴウ</t>
    </rPh>
    <phoneticPr fontId="1"/>
  </si>
  <si>
    <t>バギー一味冒険記vol.13</t>
    <rPh sb="3" eb="5">
      <t>イチミ</t>
    </rPh>
    <rPh sb="5" eb="8">
      <t>ボウケn</t>
    </rPh>
    <phoneticPr fontId="1"/>
  </si>
  <si>
    <t>探し人</t>
    <rPh sb="0" eb="1">
      <t>サガセィ</t>
    </rPh>
    <rPh sb="2" eb="3">
      <t>ヒト</t>
    </rPh>
    <phoneticPr fontId="1"/>
  </si>
  <si>
    <t>棺船</t>
    <rPh sb="0" eb="1">
      <t>ヒツギ</t>
    </rPh>
    <rPh sb="1" eb="2">
      <t>フネ</t>
    </rPh>
    <phoneticPr fontId="1"/>
  </si>
  <si>
    <t>王下七武海</t>
    <rPh sb="0" eb="1">
      <t xml:space="preserve">オウカ </t>
    </rPh>
    <rPh sb="1" eb="2">
      <t xml:space="preserve">カ </t>
    </rPh>
    <rPh sb="2" eb="5">
      <t>シチブ</t>
    </rPh>
    <phoneticPr fontId="1"/>
  </si>
  <si>
    <t>世界政府</t>
    <rPh sb="0" eb="2">
      <t>セカイ</t>
    </rPh>
    <rPh sb="2" eb="4">
      <t>セイフ</t>
    </rPh>
    <phoneticPr fontId="1"/>
  </si>
  <si>
    <t>B</t>
    <phoneticPr fontId="1"/>
  </si>
  <si>
    <t>鷹の目のミホーク,世界最強の剣士</t>
    <rPh sb="0" eb="1">
      <t>タカノ</t>
    </rPh>
    <phoneticPr fontId="1"/>
  </si>
  <si>
    <t>G-014</t>
  </si>
  <si>
    <t>G-015</t>
  </si>
  <si>
    <t>G-014</t>
    <phoneticPr fontId="1"/>
  </si>
  <si>
    <t>所有者ID</t>
    <rPh sb="0" eb="3">
      <t>ショユウシャ</t>
    </rPh>
    <phoneticPr fontId="1"/>
  </si>
  <si>
    <t>製作者ID</t>
    <rPh sb="0" eb="3">
      <t>セイサクシャ</t>
    </rPh>
    <phoneticPr fontId="1"/>
  </si>
  <si>
    <t>W-002</t>
  </si>
  <si>
    <t>W-003</t>
  </si>
  <si>
    <t>W-004</t>
  </si>
  <si>
    <t>W-005</t>
  </si>
  <si>
    <t>W-006</t>
  </si>
  <si>
    <t>W-007</t>
  </si>
  <si>
    <t>W-008</t>
  </si>
  <si>
    <t>W-009</t>
  </si>
  <si>
    <t>W-010</t>
  </si>
  <si>
    <t>食あたり砲弾（ミートボール）</t>
  </si>
  <si>
    <t>三刀流奥義　三・千・世・界</t>
    <phoneticPr fontId="1"/>
  </si>
  <si>
    <t>M-040</t>
  </si>
  <si>
    <t>M-041</t>
  </si>
  <si>
    <t>M-042</t>
  </si>
  <si>
    <t>M-043</t>
  </si>
  <si>
    <t>M-044</t>
  </si>
  <si>
    <t>M-045</t>
  </si>
  <si>
    <t>ゴムゴムの大鎌</t>
    <rPh sb="5" eb="7">
      <t>オオガマ</t>
    </rPh>
    <phoneticPr fontId="1"/>
  </si>
  <si>
    <t>C005-12</t>
    <phoneticPr fontId="1"/>
  </si>
  <si>
    <t>M-038</t>
    <phoneticPr fontId="1"/>
  </si>
  <si>
    <t>C006-04</t>
    <phoneticPr fontId="1"/>
  </si>
  <si>
    <t>雑用ただ働き</t>
    <rPh sb="0" eb="2">
      <t>ザツヨウ</t>
    </rPh>
    <rPh sb="4" eb="5">
      <t>バタラ</t>
    </rPh>
    <phoneticPr fontId="1"/>
  </si>
  <si>
    <t>提督</t>
    <rPh sb="0" eb="2">
      <t>テイトク</t>
    </rPh>
    <phoneticPr fontId="1"/>
  </si>
  <si>
    <t>首領・クリーク</t>
    <phoneticPr fontId="1"/>
  </si>
  <si>
    <t>赫足のゼフ</t>
    <rPh sb="0" eb="2">
      <t>アカアシ</t>
    </rPh>
    <phoneticPr fontId="1"/>
  </si>
  <si>
    <t>珍獣島近海</t>
    <rPh sb="0" eb="3">
      <t>チンジュウシマ</t>
    </rPh>
    <rPh sb="3" eb="5">
      <t>キンカイ</t>
    </rPh>
    <phoneticPr fontId="1"/>
  </si>
  <si>
    <t>クック海賊団</t>
    <rPh sb="3" eb="6">
      <t>カイゾクダン</t>
    </rPh>
    <phoneticPr fontId="1"/>
  </si>
  <si>
    <t>船長兼コック</t>
    <rPh sb="0" eb="2">
      <t>センチョウ</t>
    </rPh>
    <rPh sb="2" eb="3">
      <t>ケン</t>
    </rPh>
    <phoneticPr fontId="1"/>
  </si>
  <si>
    <t>バラティエを襲撃する</t>
    <rPh sb="6" eb="8">
      <t>シュウゲキ</t>
    </rPh>
    <phoneticPr fontId="1"/>
  </si>
  <si>
    <t>E001-94</t>
  </si>
  <si>
    <t>E001-95</t>
  </si>
  <si>
    <t>E001-96</t>
  </si>
  <si>
    <t>E001-97</t>
  </si>
  <si>
    <t>E001-98</t>
  </si>
  <si>
    <t>E001-99</t>
  </si>
  <si>
    <t>E001-100</t>
  </si>
  <si>
    <t>E001-101</t>
  </si>
  <si>
    <t>E001-102</t>
  </si>
  <si>
    <t>偉大なる航路に入る</t>
    <rPh sb="0" eb="2">
      <t>イダイ</t>
    </rPh>
    <rPh sb="4" eb="6">
      <t>コウロ</t>
    </rPh>
    <rPh sb="7" eb="8">
      <t>ハイ</t>
    </rPh>
    <phoneticPr fontId="1"/>
  </si>
  <si>
    <t>バラティエ近海</t>
    <rPh sb="5" eb="7">
      <t>キンカイ</t>
    </rPh>
    <phoneticPr fontId="1"/>
  </si>
  <si>
    <t>L-015</t>
    <phoneticPr fontId="1"/>
  </si>
  <si>
    <t>宝と船をもって逃げる</t>
    <rPh sb="0" eb="1">
      <t>タカラ</t>
    </rPh>
    <rPh sb="2" eb="3">
      <t>フネ</t>
    </rPh>
    <rPh sb="7" eb="8">
      <t>ニ</t>
    </rPh>
    <phoneticPr fontId="1"/>
  </si>
  <si>
    <t>B001-16</t>
  </si>
  <si>
    <t>B001-17</t>
  </si>
  <si>
    <t>B001-18</t>
  </si>
  <si>
    <t>B001-19</t>
  </si>
  <si>
    <t>B001-20</t>
  </si>
  <si>
    <t>C006-04</t>
    <phoneticPr fontId="1"/>
  </si>
  <si>
    <t>世界最強の剣士</t>
    <rPh sb="0" eb="4">
      <t>セカイサイキョウ</t>
    </rPh>
    <rPh sb="5" eb="7">
      <t>ケンシ</t>
    </rPh>
    <phoneticPr fontId="1"/>
  </si>
  <si>
    <t>世界政府</t>
    <rPh sb="0" eb="4">
      <t>セカイセイフ</t>
    </rPh>
    <phoneticPr fontId="1"/>
  </si>
  <si>
    <t>ミホークに敗北する</t>
    <rPh sb="5" eb="7">
      <t>ハイボク</t>
    </rPh>
    <phoneticPr fontId="1"/>
  </si>
  <si>
    <t>C001-21</t>
    <phoneticPr fontId="1"/>
  </si>
  <si>
    <t>暇つぶしにクリークを追ってくる</t>
    <rPh sb="0" eb="1">
      <t>ヒマ</t>
    </rPh>
    <rPh sb="10" eb="11">
      <t>オ</t>
    </rPh>
    <phoneticPr fontId="1"/>
  </si>
  <si>
    <t>E001-103</t>
  </si>
  <si>
    <t>E001-104</t>
  </si>
  <si>
    <t>E001-105</t>
  </si>
  <si>
    <t>E001-106</t>
  </si>
  <si>
    <t>E001-107</t>
  </si>
  <si>
    <t>E001-108</t>
  </si>
  <si>
    <t>E001-109</t>
  </si>
  <si>
    <t>E001-110</t>
  </si>
  <si>
    <t>ナミを追いかける</t>
    <rPh sb="3" eb="4">
      <t>オ</t>
    </rPh>
    <phoneticPr fontId="1"/>
  </si>
  <si>
    <t>ミホークに艦隊を壊滅させられる</t>
    <rPh sb="5" eb="7">
      <t>カンタイ</t>
    </rPh>
    <rPh sb="8" eb="10">
      <t>カイメツ</t>
    </rPh>
    <phoneticPr fontId="1"/>
  </si>
  <si>
    <t>クリーク艦隊を壊滅させる</t>
    <rPh sb="4" eb="6">
      <t>カンタイ</t>
    </rPh>
    <rPh sb="7" eb="9">
      <t>カイメツ</t>
    </rPh>
    <phoneticPr fontId="1"/>
  </si>
  <si>
    <t>”パールさん”</t>
    <phoneticPr fontId="1"/>
  </si>
  <si>
    <t>バギー一味冒険記vol.14</t>
    <rPh sb="3" eb="5">
      <t>イチミ</t>
    </rPh>
    <rPh sb="5" eb="8">
      <t>ボウケn</t>
    </rPh>
    <phoneticPr fontId="1"/>
  </si>
  <si>
    <t>”JUNGLE BLOOD”</t>
    <phoneticPr fontId="1"/>
  </si>
  <si>
    <t>バギー一味冒険記vol.15</t>
    <rPh sb="3" eb="5">
      <t>イチミ</t>
    </rPh>
    <rPh sb="5" eb="8">
      <t>ボウケn</t>
    </rPh>
    <phoneticPr fontId="1"/>
  </si>
  <si>
    <t>”やなこった”</t>
    <phoneticPr fontId="1"/>
  </si>
  <si>
    <t>”夢在るがゆえ”</t>
    <rPh sb="1" eb="2">
      <t>ユメ</t>
    </rPh>
    <rPh sb="2" eb="3">
      <t xml:space="preserve">アル </t>
    </rPh>
    <phoneticPr fontId="1"/>
  </si>
  <si>
    <t>バギー一味冒険記vol.16</t>
    <rPh sb="3" eb="5">
      <t>イチミ</t>
    </rPh>
    <rPh sb="5" eb="8">
      <t>ボウケn</t>
    </rPh>
    <phoneticPr fontId="1"/>
  </si>
  <si>
    <t>”クソジジイ”</t>
    <phoneticPr fontId="1"/>
  </si>
  <si>
    <t>バギー一味冒険記vol.17</t>
    <rPh sb="3" eb="5">
      <t>イチミ</t>
    </rPh>
    <rPh sb="5" eb="8">
      <t>ボウケn</t>
    </rPh>
    <phoneticPr fontId="1"/>
  </si>
  <si>
    <t>”恩”</t>
    <rPh sb="1" eb="2">
      <t>オン"</t>
    </rPh>
    <phoneticPr fontId="1"/>
  </si>
  <si>
    <t>バギー一味冒険記vol.18</t>
    <rPh sb="3" eb="5">
      <t>イチミ</t>
    </rPh>
    <rPh sb="5" eb="8">
      <t>ボウケn</t>
    </rPh>
    <phoneticPr fontId="1"/>
  </si>
  <si>
    <t>”ケジメ”</t>
    <phoneticPr fontId="1"/>
  </si>
  <si>
    <t>バギー一味冒険記vol.19</t>
    <rPh sb="3" eb="5">
      <t>イチミ</t>
    </rPh>
    <rPh sb="5" eb="8">
      <t>ボウケn</t>
    </rPh>
    <phoneticPr fontId="1"/>
  </si>
  <si>
    <t>”鬼”</t>
    <rPh sb="1" eb="2">
      <t xml:space="preserve">オニ </t>
    </rPh>
    <phoneticPr fontId="1"/>
  </si>
  <si>
    <t>”M・H・５”</t>
    <phoneticPr fontId="1"/>
  </si>
  <si>
    <t>リッチー一味冒険記vol.1</t>
    <rPh sb="4" eb="6">
      <t>イチミ</t>
    </rPh>
    <rPh sb="6" eb="9">
      <t>ボウケn</t>
    </rPh>
    <phoneticPr fontId="1"/>
  </si>
  <si>
    <t>海賊同盟</t>
    <rPh sb="0" eb="2">
      <t>カイゾク</t>
    </rPh>
    <rPh sb="2" eb="4">
      <t>ドウメイ</t>
    </rPh>
    <phoneticPr fontId="1"/>
  </si>
  <si>
    <t>おおキャプテン、我らが胸に</t>
    <rPh sb="8" eb="9">
      <t>ワレラグ</t>
    </rPh>
    <rPh sb="11" eb="12">
      <t>ムネニ</t>
    </rPh>
    <phoneticPr fontId="1"/>
  </si>
  <si>
    <t>次期船長決定戦</t>
    <rPh sb="0" eb="4">
      <t>ジキセn</t>
    </rPh>
    <rPh sb="4" eb="7">
      <t>k</t>
    </rPh>
    <phoneticPr fontId="1"/>
  </si>
  <si>
    <t>激闘12時間</t>
    <rPh sb="0" eb="2">
      <t>ゲキトウ</t>
    </rPh>
    <rPh sb="4" eb="6">
      <t>ジカn</t>
    </rPh>
    <phoneticPr fontId="1"/>
  </si>
  <si>
    <t>炸裂!!”寝ボケリッチー”</t>
    <rPh sb="0" eb="2">
      <t>サクレy</t>
    </rPh>
    <rPh sb="5" eb="6">
      <t>ネボケ</t>
    </rPh>
    <phoneticPr fontId="1"/>
  </si>
  <si>
    <t>結成!!リッチー海賊団</t>
    <rPh sb="0" eb="2">
      <t>ケッセイ</t>
    </rPh>
    <rPh sb="8" eb="11">
      <t>カイゾク</t>
    </rPh>
    <phoneticPr fontId="1"/>
  </si>
  <si>
    <t>島の先住民クマテ族</t>
    <rPh sb="0" eb="1">
      <t>シマ</t>
    </rPh>
    <rPh sb="2" eb="5">
      <t>セn</t>
    </rPh>
    <rPh sb="8" eb="9">
      <t>ゾク</t>
    </rPh>
    <phoneticPr fontId="1"/>
  </si>
  <si>
    <t>C007-01</t>
    <phoneticPr fontId="1"/>
  </si>
  <si>
    <t>C007-02</t>
  </si>
  <si>
    <t>C007-03</t>
  </si>
  <si>
    <t>C007-04</t>
  </si>
  <si>
    <t>パール</t>
  </si>
  <si>
    <t>鉄壁のパール</t>
    <rPh sb="0" eb="2">
      <t>テッペキ</t>
    </rPh>
    <phoneticPr fontId="1"/>
  </si>
  <si>
    <t>第２部隊　隊長</t>
    <rPh sb="0" eb="2">
      <t>ダイニブタ</t>
    </rPh>
    <rPh sb="2" eb="4">
      <t>ブタイ</t>
    </rPh>
    <rPh sb="5" eb="7">
      <t>タイチョウ</t>
    </rPh>
    <phoneticPr fontId="1"/>
  </si>
  <si>
    <t>盾</t>
    <rPh sb="0" eb="1">
      <t xml:space="preserve">タテ </t>
    </rPh>
    <phoneticPr fontId="1"/>
  </si>
  <si>
    <t>ホタテ</t>
    <phoneticPr fontId="1"/>
  </si>
  <si>
    <t>タテ男でダテ男。過去６１回の死闘を無傷で勝利。</t>
    <rPh sb="2" eb="3">
      <t>オトコ</t>
    </rPh>
    <rPh sb="6" eb="7">
      <t>オトコ</t>
    </rPh>
    <rPh sb="8" eb="10">
      <t>カコ</t>
    </rPh>
    <rPh sb="12" eb="13">
      <t>カイ</t>
    </rPh>
    <rPh sb="14" eb="16">
      <t>シトウ</t>
    </rPh>
    <rPh sb="17" eb="19">
      <t>ムキズデ</t>
    </rPh>
    <rPh sb="20" eb="22">
      <t>ショウリ</t>
    </rPh>
    <phoneticPr fontId="1"/>
  </si>
  <si>
    <t>アイデアマン</t>
    <phoneticPr fontId="1"/>
  </si>
  <si>
    <t>参謀</t>
    <rPh sb="0" eb="2">
      <t>サンボウ</t>
    </rPh>
    <phoneticPr fontId="1"/>
  </si>
  <si>
    <t>ハッスル</t>
    <phoneticPr fontId="1"/>
  </si>
  <si>
    <t>戦闘インストラクター</t>
    <rPh sb="0" eb="2">
      <t>セントウ</t>
    </rPh>
    <phoneticPr fontId="1"/>
  </si>
  <si>
    <t>クマテ族</t>
    <rPh sb="3" eb="4">
      <t>ゾク</t>
    </rPh>
    <phoneticPr fontId="1"/>
  </si>
  <si>
    <t>30~50人以上</t>
    <rPh sb="5" eb="6">
      <t>ニn</t>
    </rPh>
    <rPh sb="6" eb="8">
      <t>イジョウ</t>
    </rPh>
    <phoneticPr fontId="1"/>
  </si>
  <si>
    <t>カギッコ</t>
    <phoneticPr fontId="1"/>
  </si>
  <si>
    <t>クリーク海賊団</t>
    <phoneticPr fontId="1"/>
  </si>
  <si>
    <t>錠前師</t>
    <rPh sb="0" eb="2">
      <t>ジョウマ</t>
    </rPh>
    <rPh sb="2" eb="3">
      <t xml:space="preserve">シ </t>
    </rPh>
    <phoneticPr fontId="1"/>
  </si>
  <si>
    <t>-</t>
    <phoneticPr fontId="1"/>
  </si>
  <si>
    <t>ファイヤーパール大特典</t>
  </si>
  <si>
    <t>ファイヤーパールプレゼント</t>
  </si>
  <si>
    <t>超天然パールプレゼント</t>
  </si>
  <si>
    <t>パールクローズ</t>
  </si>
  <si>
    <t>サービスパールイブシギンプレゼント</t>
  </si>
  <si>
    <t>M-046</t>
  </si>
  <si>
    <t>M-047</t>
  </si>
  <si>
    <t>M-048</t>
  </si>
  <si>
    <t>M-049</t>
  </si>
  <si>
    <t>M-050</t>
  </si>
  <si>
    <t>ダメ押しパールプレゼント</t>
    <rPh sb="2" eb="3">
      <t>オ</t>
    </rPh>
    <phoneticPr fontId="1"/>
  </si>
  <si>
    <t>ゴムゴムの戦斧（オノ）</t>
  </si>
  <si>
    <t>炸裂手裏剣</t>
  </si>
  <si>
    <t>M・H・５</t>
  </si>
  <si>
    <t>アルビダと出会い、海賊同盟を結ぶ</t>
    <rPh sb="5" eb="7">
      <t>デア</t>
    </rPh>
    <rPh sb="9" eb="13">
      <t>カイゾ</t>
    </rPh>
    <rPh sb="14" eb="15">
      <t>ムス</t>
    </rPh>
    <phoneticPr fontId="1"/>
  </si>
  <si>
    <t>バギーと出会い、海賊同盟を結ぶ</t>
    <rPh sb="4" eb="6">
      <t>デア</t>
    </rPh>
    <rPh sb="8" eb="12">
      <t>カイゾクドウメイ</t>
    </rPh>
    <rPh sb="13" eb="14">
      <t>ムス</t>
    </rPh>
    <phoneticPr fontId="1"/>
  </si>
  <si>
    <t>L-016</t>
  </si>
  <si>
    <t>L-017</t>
  </si>
  <si>
    <t>L-018</t>
  </si>
  <si>
    <t>L-019</t>
  </si>
  <si>
    <t>L-020</t>
  </si>
  <si>
    <t>先住民のいる島</t>
    <rPh sb="0" eb="3">
      <t>センジュウミン</t>
    </rPh>
    <rPh sb="6" eb="7">
      <t>シマ</t>
    </rPh>
    <phoneticPr fontId="1"/>
  </si>
  <si>
    <t>E001-111</t>
  </si>
  <si>
    <t>E001-112</t>
  </si>
  <si>
    <t>E001-113</t>
  </si>
  <si>
    <t>E001-114</t>
  </si>
  <si>
    <t>E001-115</t>
  </si>
  <si>
    <t>E001-116</t>
  </si>
  <si>
    <t>E001-117</t>
  </si>
  <si>
    <t>E001-118</t>
  </si>
  <si>
    <t>E001-119</t>
  </si>
  <si>
    <t>E001-120</t>
  </si>
  <si>
    <t>E001-121</t>
  </si>
  <si>
    <t>バギーを弔う</t>
    <rPh sb="4" eb="5">
      <t>トムラ</t>
    </rPh>
    <phoneticPr fontId="1"/>
  </si>
  <si>
    <t>C007-01</t>
    <phoneticPr fontId="1"/>
  </si>
  <si>
    <t>G-016</t>
  </si>
  <si>
    <t>G-017</t>
  </si>
  <si>
    <t>G-018</t>
  </si>
  <si>
    <t>G-019</t>
  </si>
  <si>
    <t>G-020</t>
  </si>
  <si>
    <t>客船</t>
    <rPh sb="0" eb="2">
      <t>キャクセン</t>
    </rPh>
    <phoneticPr fontId="1"/>
  </si>
  <si>
    <t>客船オービット号</t>
    <rPh sb="0" eb="2">
      <t>キャクセン</t>
    </rPh>
    <rPh sb="7" eb="8">
      <t>ゴウ</t>
    </rPh>
    <phoneticPr fontId="1"/>
  </si>
  <si>
    <t>コック見習い</t>
    <rPh sb="3" eb="5">
      <t>ミナラ</t>
    </rPh>
    <phoneticPr fontId="1"/>
  </si>
  <si>
    <t>客船オービット号を襲撃</t>
    <rPh sb="0" eb="2">
      <t>キャクセン</t>
    </rPh>
    <rPh sb="7" eb="8">
      <t>ゴウ</t>
    </rPh>
    <rPh sb="9" eb="11">
      <t>シュウゲキ</t>
    </rPh>
    <phoneticPr fontId="1"/>
  </si>
  <si>
    <t>クック海賊団から襲撃を受ける</t>
    <rPh sb="3" eb="6">
      <t>カイゾクダン</t>
    </rPh>
    <rPh sb="8" eb="10">
      <t>シュウゲキ</t>
    </rPh>
    <rPh sb="11" eb="12">
      <t>ウ</t>
    </rPh>
    <phoneticPr fontId="1"/>
  </si>
  <si>
    <t>遭難するも救助される</t>
    <rPh sb="0" eb="2">
      <t>ソウナン</t>
    </rPh>
    <rPh sb="5" eb="7">
      <t>キュウジョ</t>
    </rPh>
    <phoneticPr fontId="1"/>
  </si>
  <si>
    <t>戦闘総隊長</t>
    <rPh sb="0" eb="2">
      <t>セントウ</t>
    </rPh>
    <rPh sb="2" eb="5">
      <t>ソウタイチョウ</t>
    </rPh>
    <phoneticPr fontId="1"/>
  </si>
  <si>
    <t>次期船長をめぐりカバジと決闘をするもリッチーに敗北する</t>
    <rPh sb="0" eb="4">
      <t>ジキセンチョウ</t>
    </rPh>
    <rPh sb="12" eb="14">
      <t>ケットウ</t>
    </rPh>
    <rPh sb="23" eb="25">
      <t>ハイボク</t>
    </rPh>
    <phoneticPr fontId="1"/>
  </si>
  <si>
    <t>次期船長をめぐりモージと決闘をするもリッチーに敗北する</t>
    <rPh sb="0" eb="4">
      <t>ジキセンチョウ</t>
    </rPh>
    <rPh sb="12" eb="14">
      <t>ケットウ</t>
    </rPh>
    <rPh sb="23" eb="25">
      <t>ハイボク</t>
    </rPh>
    <phoneticPr fontId="1"/>
  </si>
  <si>
    <t>C006-03</t>
    <phoneticPr fontId="1"/>
  </si>
  <si>
    <t>C008-01</t>
    <phoneticPr fontId="1"/>
  </si>
  <si>
    <t>C008-02</t>
  </si>
  <si>
    <t>C008-03</t>
  </si>
  <si>
    <t>C008-04</t>
  </si>
  <si>
    <t>C008-05</t>
  </si>
  <si>
    <t>C008-06</t>
  </si>
  <si>
    <t>C008-07</t>
  </si>
  <si>
    <t>C008-08</t>
  </si>
  <si>
    <t>C008-09</t>
  </si>
  <si>
    <t>パンサメ</t>
    <phoneticPr fontId="1"/>
  </si>
  <si>
    <t>ナミ魚人</t>
    <rPh sb="2" eb="4">
      <t>ギョジn</t>
    </rPh>
    <phoneticPr fontId="1"/>
  </si>
  <si>
    <t>ネズミ</t>
  </si>
  <si>
    <t>海軍第16支部</t>
    <rPh sb="0" eb="2">
      <t>カイグn</t>
    </rPh>
    <phoneticPr fontId="1"/>
  </si>
  <si>
    <t>チーズ</t>
    <phoneticPr fontId="1"/>
  </si>
  <si>
    <t>アーロン</t>
  </si>
  <si>
    <t>シャーク・スパーブ号</t>
    <rPh sb="9" eb="10">
      <t>ゴウ</t>
    </rPh>
    <phoneticPr fontId="1"/>
  </si>
  <si>
    <t>魚人島・リュウグウ王国　魚人街</t>
    <rPh sb="0" eb="3">
      <t>ギョジn</t>
    </rPh>
    <rPh sb="9" eb="11">
      <t>オウ</t>
    </rPh>
    <rPh sb="12" eb="15">
      <t>ギョジn</t>
    </rPh>
    <phoneticPr fontId="1"/>
  </si>
  <si>
    <t>ノコギリのアーロン</t>
    <phoneticPr fontId="1"/>
  </si>
  <si>
    <t>アーロン一味</t>
    <rPh sb="4" eb="6">
      <t>イチミ</t>
    </rPh>
    <phoneticPr fontId="1"/>
  </si>
  <si>
    <t>キリバチ</t>
    <phoneticPr fontId="1"/>
  </si>
  <si>
    <t>牛の丸焼き</t>
    <rPh sb="0" eb="1">
      <t>ウシノ</t>
    </rPh>
    <rPh sb="2" eb="4">
      <t>マル</t>
    </rPh>
    <phoneticPr fontId="1"/>
  </si>
  <si>
    <t>ノコギリザメの魚人</t>
    <rPh sb="7" eb="9">
      <t>ギョジn</t>
    </rPh>
    <phoneticPr fontId="1"/>
  </si>
  <si>
    <t>はっちゃん</t>
  </si>
  <si>
    <t>六刀流のハチ</t>
    <rPh sb="0" eb="3">
      <t>６ト</t>
    </rPh>
    <phoneticPr fontId="1"/>
  </si>
  <si>
    <t>たこ焼き、たこ焼き煎餅</t>
    <phoneticPr fontId="1"/>
  </si>
  <si>
    <t>タコの魚人/元アーロン一味</t>
    <rPh sb="3" eb="5">
      <t>ギョジn</t>
    </rPh>
    <rPh sb="6" eb="7">
      <t xml:space="preserve">モト </t>
    </rPh>
    <rPh sb="11" eb="13">
      <t>イチミ</t>
    </rPh>
    <phoneticPr fontId="1"/>
  </si>
  <si>
    <t>チャボ</t>
    <phoneticPr fontId="1"/>
  </si>
  <si>
    <t>ゴサの町</t>
    <rPh sb="3" eb="4">
      <t>マティ</t>
    </rPh>
    <phoneticPr fontId="1"/>
  </si>
  <si>
    <t>ノジコ</t>
  </si>
  <si>
    <t>みかん</t>
    <phoneticPr fontId="1"/>
  </si>
  <si>
    <t>ゲンゾウ</t>
  </si>
  <si>
    <t>駐在</t>
    <rPh sb="0" eb="2">
      <t>チュウ</t>
    </rPh>
    <phoneticPr fontId="1"/>
  </si>
  <si>
    <t>生ハムメロン</t>
    <rPh sb="0" eb="1">
      <t>ナマハム</t>
    </rPh>
    <phoneticPr fontId="1"/>
  </si>
  <si>
    <t>-</t>
    <phoneticPr fontId="1"/>
  </si>
  <si>
    <t>幹部</t>
    <rPh sb="0" eb="2">
      <t>カンブ</t>
    </rPh>
    <phoneticPr fontId="1"/>
  </si>
  <si>
    <t>魚人</t>
    <rPh sb="0" eb="2">
      <t>ギョジン</t>
    </rPh>
    <phoneticPr fontId="1"/>
  </si>
  <si>
    <t>B</t>
    <phoneticPr fontId="1"/>
  </si>
  <si>
    <t>C</t>
    <phoneticPr fontId="1"/>
  </si>
  <si>
    <t>パンサメ</t>
    <phoneticPr fontId="1"/>
  </si>
  <si>
    <t>コノミ諸島</t>
    <rPh sb="3" eb="5">
      <t>ショトウ</t>
    </rPh>
    <phoneticPr fontId="1"/>
  </si>
  <si>
    <t>アーロンパーク</t>
    <phoneticPr fontId="1"/>
  </si>
  <si>
    <t>M-051</t>
  </si>
  <si>
    <t>M-052</t>
  </si>
  <si>
    <t>M-053</t>
  </si>
  <si>
    <t>M-054</t>
  </si>
  <si>
    <t>M-055</t>
  </si>
  <si>
    <t>M-056</t>
  </si>
  <si>
    <t>M-057</t>
  </si>
  <si>
    <t>M-058</t>
  </si>
  <si>
    <t>M-059</t>
  </si>
  <si>
    <t>M-060</t>
  </si>
  <si>
    <t>剣山マント</t>
  </si>
  <si>
    <t>ゴムゴムの銃弾（ブレット）</t>
    <rPh sb="5" eb="7">
      <t>ジュウダン</t>
    </rPh>
    <phoneticPr fontId="1"/>
  </si>
  <si>
    <t>大戦槍</t>
    <rPh sb="0" eb="2">
      <t>ダイセn</t>
    </rPh>
    <rPh sb="2" eb="3">
      <t xml:space="preserve">ヤリスギ </t>
    </rPh>
    <phoneticPr fontId="1"/>
  </si>
  <si>
    <t>ゴムゴムの大槌（オオヅチ）</t>
    <rPh sb="5" eb="7">
      <t>オオテゥ</t>
    </rPh>
    <phoneticPr fontId="1"/>
  </si>
  <si>
    <t>”死なねェよ”</t>
    <rPh sb="1" eb="2">
      <t xml:space="preserve">シナネェヨ </t>
    </rPh>
    <phoneticPr fontId="1"/>
  </si>
  <si>
    <t>リッチー一味冒険記最終話</t>
    <rPh sb="4" eb="6">
      <t>イチミ</t>
    </rPh>
    <rPh sb="6" eb="9">
      <t>ボウケn</t>
    </rPh>
    <rPh sb="9" eb="12">
      <t>サイシュウ</t>
    </rPh>
    <phoneticPr fontId="1"/>
  </si>
  <si>
    <t>リッチー一味粉砕</t>
    <rPh sb="4" eb="6">
      <t>イチミ</t>
    </rPh>
    <rPh sb="6" eb="8">
      <t>フンサイ</t>
    </rPh>
    <phoneticPr fontId="1"/>
  </si>
  <si>
    <t>”大戦槍”</t>
    <rPh sb="1" eb="2">
      <t>ダイセn</t>
    </rPh>
    <rPh sb="3" eb="4">
      <t xml:space="preserve">ヤリスギ </t>
    </rPh>
    <phoneticPr fontId="1"/>
  </si>
  <si>
    <t>”覚悟”</t>
    <rPh sb="1" eb="3">
      <t>カクゴ</t>
    </rPh>
    <phoneticPr fontId="1"/>
  </si>
  <si>
    <t>バギー一味冒険記vol.20</t>
    <rPh sb="3" eb="5">
      <t>イチミ</t>
    </rPh>
    <rPh sb="5" eb="8">
      <t>ボウケn</t>
    </rPh>
    <phoneticPr fontId="1"/>
  </si>
  <si>
    <t>発見!!我が海賊船!!</t>
    <rPh sb="0" eb="2">
      <t>ハッケn</t>
    </rPh>
    <rPh sb="4" eb="5">
      <t>ワガ</t>
    </rPh>
    <rPh sb="6" eb="9">
      <t>カイゾク</t>
    </rPh>
    <phoneticPr fontId="1"/>
  </si>
  <si>
    <t>”噛み殺した槍”</t>
    <rPh sb="1" eb="2">
      <t>カミコロシタ</t>
    </rPh>
    <rPh sb="6" eb="7">
      <t>ヤリ</t>
    </rPh>
    <phoneticPr fontId="1"/>
  </si>
  <si>
    <t>バギー一味冒険記vol.21</t>
    <rPh sb="3" eb="5">
      <t>イチミ</t>
    </rPh>
    <rPh sb="5" eb="8">
      <t>ボウケn</t>
    </rPh>
    <phoneticPr fontId="1"/>
  </si>
  <si>
    <t>再開ーそんなバナナー</t>
    <rPh sb="0" eb="2">
      <t>サイカイ</t>
    </rPh>
    <phoneticPr fontId="1"/>
  </si>
  <si>
    <t>”soup"</t>
    <phoneticPr fontId="1"/>
  </si>
  <si>
    <t>バギー一味冒険記vol.22</t>
    <rPh sb="3" eb="5">
      <t>イチミ</t>
    </rPh>
    <rPh sb="5" eb="8">
      <t>ボウケn</t>
    </rPh>
    <phoneticPr fontId="1"/>
  </si>
  <si>
    <t>リッチーズ・オー・ヴァン（リッチー一味の赤ワイン煮込み）</t>
    <rPh sb="0" eb="4">
      <t>リッチーズ</t>
    </rPh>
    <rPh sb="17" eb="19">
      <t>イチミ</t>
    </rPh>
    <rPh sb="20" eb="21">
      <t>アカワイn</t>
    </rPh>
    <rPh sb="24" eb="26">
      <t>ニコミ</t>
    </rPh>
    <rPh sb="27" eb="28">
      <t>ニコミ</t>
    </rPh>
    <phoneticPr fontId="1"/>
  </si>
  <si>
    <t>”４人目”</t>
    <rPh sb="2" eb="4">
      <t>ニn</t>
    </rPh>
    <phoneticPr fontId="1"/>
  </si>
  <si>
    <t>バギー一味冒険記vol.23</t>
    <rPh sb="3" eb="5">
      <t>イチミ</t>
    </rPh>
    <rPh sb="5" eb="8">
      <t>ボウケn</t>
    </rPh>
    <phoneticPr fontId="1"/>
  </si>
  <si>
    <t>不審なパーツ</t>
    <rPh sb="0" eb="2">
      <t>フシn</t>
    </rPh>
    <phoneticPr fontId="1"/>
  </si>
  <si>
    <t>”アーロンパーク”</t>
    <phoneticPr fontId="1"/>
  </si>
  <si>
    <t>”男ウソップ大冒険”</t>
    <rPh sb="1" eb="2">
      <t>オトコ</t>
    </rPh>
    <rPh sb="6" eb="9">
      <t xml:space="preserve">ダイボウケン </t>
    </rPh>
    <phoneticPr fontId="1"/>
  </si>
  <si>
    <t>”万物の霊長”</t>
    <rPh sb="1" eb="3">
      <t>バンブテゥ</t>
    </rPh>
    <rPh sb="4" eb="6">
      <t>0チョウ</t>
    </rPh>
    <phoneticPr fontId="1"/>
  </si>
  <si>
    <t>バギー一味冒険記vol.24</t>
    <rPh sb="3" eb="5">
      <t>イチミ</t>
    </rPh>
    <rPh sb="5" eb="8">
      <t>ボウケn</t>
    </rPh>
    <phoneticPr fontId="1"/>
  </si>
  <si>
    <t>暴れ出せパーツ!!</t>
    <rPh sb="0" eb="1">
      <t>アバレ</t>
    </rPh>
    <phoneticPr fontId="1"/>
  </si>
  <si>
    <t>”分相応”</t>
    <rPh sb="1" eb="4">
      <t>ブンソウオウ</t>
    </rPh>
    <phoneticPr fontId="1"/>
  </si>
  <si>
    <t>バギー一味冒険記vol.25</t>
    <rPh sb="3" eb="5">
      <t>イチミ</t>
    </rPh>
    <rPh sb="5" eb="8">
      <t>ボウケn</t>
    </rPh>
    <phoneticPr fontId="1"/>
  </si>
  <si>
    <t>空の彼方に光る影</t>
    <rPh sb="0" eb="1">
      <t>ソラノカナテ</t>
    </rPh>
    <rPh sb="5" eb="6">
      <t>ヒカル</t>
    </rPh>
    <phoneticPr fontId="1"/>
  </si>
  <si>
    <t>”偉大なる航路”から来た怪物</t>
    <rPh sb="1" eb="3">
      <t>イダイ</t>
    </rPh>
    <rPh sb="5" eb="7">
      <t>コウロ</t>
    </rPh>
    <rPh sb="10" eb="11">
      <t xml:space="preserve">キタ </t>
    </rPh>
    <rPh sb="12" eb="14">
      <t>カイブテゥ</t>
    </rPh>
    <phoneticPr fontId="1"/>
  </si>
  <si>
    <t>バギー一味冒険記vol.26</t>
    <rPh sb="3" eb="5">
      <t>イチミ</t>
    </rPh>
    <rPh sb="5" eb="8">
      <t>ボウケn</t>
    </rPh>
    <phoneticPr fontId="1"/>
  </si>
  <si>
    <t>またせたな!!!野郎共!!!</t>
    <rPh sb="8" eb="10">
      <t>ヤロウドモ</t>
    </rPh>
    <phoneticPr fontId="1"/>
  </si>
  <si>
    <t>”仕事”（ビジネス）</t>
    <rPh sb="1" eb="3">
      <t>シゴト</t>
    </rPh>
    <phoneticPr fontId="1"/>
  </si>
  <si>
    <t>バギー一味冒険記vol.27</t>
    <rPh sb="3" eb="5">
      <t>イチミ</t>
    </rPh>
    <rPh sb="5" eb="8">
      <t>ボウケn</t>
    </rPh>
    <phoneticPr fontId="1"/>
  </si>
  <si>
    <t>パレード!!</t>
    <phoneticPr fontId="1"/>
  </si>
  <si>
    <t>”海図と魚人”</t>
    <rPh sb="1" eb="2">
      <t>カイ</t>
    </rPh>
    <rPh sb="4" eb="6">
      <t>ギョジn</t>
    </rPh>
    <phoneticPr fontId="1"/>
  </si>
  <si>
    <t>バギー一味冒険記最終回</t>
    <rPh sb="3" eb="5">
      <t>イチミ</t>
    </rPh>
    <rPh sb="5" eb="8">
      <t>ボウケn</t>
    </rPh>
    <rPh sb="8" eb="10">
      <t>サイシュウワ</t>
    </rPh>
    <rPh sb="10" eb="11">
      <t>カイ</t>
    </rPh>
    <phoneticPr fontId="1"/>
  </si>
  <si>
    <t>おおキャプテン我が船長よ!!</t>
    <rPh sb="7" eb="8">
      <t>ワガ</t>
    </rPh>
    <rPh sb="9" eb="11">
      <t>センチョウ</t>
    </rPh>
    <phoneticPr fontId="1"/>
  </si>
  <si>
    <t>”ねる”</t>
    <phoneticPr fontId="1"/>
  </si>
  <si>
    <t>”夢の一歩”</t>
    <rPh sb="1" eb="2">
      <t>ユメ</t>
    </rPh>
    <rPh sb="3" eb="5">
      <t>イッポ</t>
    </rPh>
    <phoneticPr fontId="1"/>
  </si>
  <si>
    <t>”ベルメールさん”</t>
    <phoneticPr fontId="1"/>
  </si>
  <si>
    <t>”生きる”</t>
    <rPh sb="1" eb="2">
      <t>イキル</t>
    </rPh>
    <phoneticPr fontId="1"/>
  </si>
  <si>
    <t>”罪は罪”</t>
    <rPh sb="1" eb="2">
      <t>ツミ</t>
    </rPh>
    <rPh sb="3" eb="4">
      <t>ツミ</t>
    </rPh>
    <phoneticPr fontId="1"/>
  </si>
  <si>
    <t>”涙”</t>
    <rPh sb="1" eb="2">
      <t>ナミダ</t>
    </rPh>
    <phoneticPr fontId="1"/>
  </si>
  <si>
    <t>VS.アーロン一味</t>
    <rPh sb="7" eb="9">
      <t>イチミ</t>
    </rPh>
    <phoneticPr fontId="1"/>
  </si>
  <si>
    <t>アーロンパーク</t>
    <phoneticPr fontId="1"/>
  </si>
  <si>
    <t>クリーク海賊団を撃破する</t>
    <rPh sb="4" eb="7">
      <t>カイゾクダン</t>
    </rPh>
    <rPh sb="8" eb="10">
      <t>ゲキハ</t>
    </rPh>
    <phoneticPr fontId="1"/>
  </si>
  <si>
    <t>ルフィらに敗北する</t>
    <rPh sb="5" eb="7">
      <t>ハイボク</t>
    </rPh>
    <phoneticPr fontId="1"/>
  </si>
  <si>
    <t>E001-122</t>
  </si>
  <si>
    <t>E001-123</t>
  </si>
  <si>
    <t>E001-124</t>
  </si>
  <si>
    <t>E001-125</t>
  </si>
  <si>
    <t>E001-126</t>
  </si>
  <si>
    <t>E001-127</t>
  </si>
  <si>
    <t>E001-128</t>
  </si>
  <si>
    <t>E001-129</t>
  </si>
  <si>
    <t>E001-130</t>
  </si>
  <si>
    <t>モージらと合流する</t>
    <rPh sb="5" eb="7">
      <t>ゴウリュウ</t>
    </rPh>
    <phoneticPr fontId="1"/>
  </si>
  <si>
    <t>船長</t>
    <rPh sb="0" eb="2">
      <t>センチョウ</t>
    </rPh>
    <phoneticPr fontId="1"/>
  </si>
  <si>
    <t>パンサメに食われながらバラティエに到着する</t>
    <rPh sb="5" eb="6">
      <t>ク</t>
    </rPh>
    <rPh sb="17" eb="19">
      <t>トウチャク</t>
    </rPh>
    <phoneticPr fontId="1"/>
  </si>
  <si>
    <t>バラティエを出航</t>
    <rPh sb="6" eb="8">
      <t>シュッコウ</t>
    </rPh>
    <phoneticPr fontId="1"/>
  </si>
  <si>
    <t>コック</t>
    <phoneticPr fontId="1"/>
  </si>
  <si>
    <t>C008-04</t>
    <phoneticPr fontId="1"/>
  </si>
  <si>
    <t>第16支部</t>
    <rPh sb="0" eb="1">
      <t>ダイ</t>
    </rPh>
    <rPh sb="3" eb="5">
      <t>シブ</t>
    </rPh>
    <phoneticPr fontId="1"/>
  </si>
  <si>
    <t>大佐</t>
    <rPh sb="0" eb="2">
      <t>タイサ</t>
    </rPh>
    <phoneticPr fontId="1"/>
  </si>
  <si>
    <t>第2部隊　隊長</t>
    <rPh sb="0" eb="1">
      <t>ダイ</t>
    </rPh>
    <rPh sb="2" eb="4">
      <t>ブタイ</t>
    </rPh>
    <rPh sb="5" eb="6">
      <t>タイ</t>
    </rPh>
    <phoneticPr fontId="1"/>
  </si>
  <si>
    <t>C008-05</t>
    <phoneticPr fontId="1"/>
  </si>
  <si>
    <t>ノコギリのアーロン</t>
    <phoneticPr fontId="1"/>
  </si>
  <si>
    <t>C008-06</t>
    <phoneticPr fontId="1"/>
  </si>
  <si>
    <t>幹部</t>
    <rPh sb="0" eb="2">
      <t>カンブ</t>
    </rPh>
    <phoneticPr fontId="1"/>
  </si>
  <si>
    <t>ネズミに賄賂を渡す</t>
    <rPh sb="4" eb="6">
      <t>ワイロ</t>
    </rPh>
    <rPh sb="7" eb="8">
      <t>ワタ</t>
    </rPh>
    <phoneticPr fontId="1"/>
  </si>
  <si>
    <t>ネズミを送る</t>
    <rPh sb="4" eb="5">
      <t>オク</t>
    </rPh>
    <phoneticPr fontId="1"/>
  </si>
  <si>
    <t>アーロンパークに帰還する</t>
    <rPh sb="8" eb="10">
      <t>キカン</t>
    </rPh>
    <phoneticPr fontId="1"/>
  </si>
  <si>
    <t>E001-131</t>
  </si>
  <si>
    <t>E001-132</t>
  </si>
  <si>
    <t>E001-133</t>
  </si>
  <si>
    <t>E001-134</t>
  </si>
  <si>
    <t>E001-135</t>
  </si>
  <si>
    <t>E001-136</t>
  </si>
  <si>
    <t>E001-137</t>
  </si>
  <si>
    <t>E001-138</t>
  </si>
  <si>
    <t>E001-139</t>
  </si>
  <si>
    <t>E001-140</t>
  </si>
  <si>
    <t>E001-141</t>
  </si>
  <si>
    <t>アーロンパークに到着する</t>
    <rPh sb="8" eb="10">
      <t>トウチャク</t>
    </rPh>
    <phoneticPr fontId="1"/>
  </si>
  <si>
    <t>ゴサの町に上陸する</t>
    <rPh sb="3" eb="4">
      <t>マチ</t>
    </rPh>
    <rPh sb="5" eb="7">
      <t>ジョウリク</t>
    </rPh>
    <phoneticPr fontId="1"/>
  </si>
  <si>
    <t>クマテ族を倒す</t>
    <rPh sb="3" eb="4">
      <t>ゾク</t>
    </rPh>
    <rPh sb="5" eb="6">
      <t>タオ</t>
    </rPh>
    <phoneticPr fontId="1"/>
  </si>
  <si>
    <t>ココヤシ村に向かう</t>
    <rPh sb="4" eb="5">
      <t>ムラ</t>
    </rPh>
    <rPh sb="6" eb="7">
      <t>ム</t>
    </rPh>
    <phoneticPr fontId="1"/>
  </si>
  <si>
    <t>ゾロと戦闘後満足して帰る</t>
    <rPh sb="3" eb="6">
      <t>セントウゴ</t>
    </rPh>
    <rPh sb="6" eb="8">
      <t>マンゾク</t>
    </rPh>
    <rPh sb="10" eb="11">
      <t>カエ</t>
    </rPh>
    <phoneticPr fontId="1"/>
  </si>
  <si>
    <t>E001-142</t>
  </si>
  <si>
    <t>和道一文字</t>
    <rPh sb="0" eb="1">
      <t xml:space="preserve">ワ </t>
    </rPh>
    <rPh sb="1" eb="2">
      <t xml:space="preserve">ミチ </t>
    </rPh>
    <rPh sb="2" eb="5">
      <t>１モn</t>
    </rPh>
    <phoneticPr fontId="1"/>
  </si>
  <si>
    <t>C001-21</t>
    <phoneticPr fontId="1"/>
  </si>
  <si>
    <t>霜月コウ三郎</t>
    <rPh sb="0" eb="2">
      <t>シモツキ</t>
    </rPh>
    <rPh sb="4" eb="6">
      <t>サブロウ</t>
    </rPh>
    <phoneticPr fontId="1"/>
  </si>
  <si>
    <t>夜</t>
    <rPh sb="0" eb="1">
      <t>ヨル</t>
    </rPh>
    <phoneticPr fontId="1"/>
  </si>
  <si>
    <t>最上大業物</t>
    <rPh sb="0" eb="5">
      <t>サイジョウ</t>
    </rPh>
    <phoneticPr fontId="1"/>
  </si>
  <si>
    <t>C009-01</t>
    <phoneticPr fontId="1"/>
  </si>
  <si>
    <t>C009-02</t>
  </si>
  <si>
    <t>C009-03</t>
  </si>
  <si>
    <t>C009-04</t>
  </si>
  <si>
    <t>C009-05</t>
  </si>
  <si>
    <t>C009-06</t>
  </si>
  <si>
    <t>C009-07</t>
  </si>
  <si>
    <t>C009-08</t>
  </si>
  <si>
    <t>C009-09</t>
  </si>
  <si>
    <t>C009-10</t>
  </si>
  <si>
    <t>カネシロ</t>
    <phoneticPr fontId="1"/>
  </si>
  <si>
    <t>リュウグウ王国</t>
    <rPh sb="5" eb="7">
      <t>オウ</t>
    </rPh>
    <phoneticPr fontId="1"/>
  </si>
  <si>
    <t>魚人街</t>
    <rPh sb="0" eb="2">
      <t>ギョジn</t>
    </rPh>
    <rPh sb="2" eb="3">
      <t xml:space="preserve">ガイ </t>
    </rPh>
    <phoneticPr fontId="1"/>
  </si>
  <si>
    <t>船大工</t>
    <rPh sb="0" eb="3">
      <t>フナダ</t>
    </rPh>
    <phoneticPr fontId="1"/>
  </si>
  <si>
    <t>金魚の魚人</t>
    <rPh sb="0" eb="2">
      <t>キンギョ</t>
    </rPh>
    <rPh sb="3" eb="5">
      <t>ギョジn</t>
    </rPh>
    <phoneticPr fontId="1"/>
  </si>
  <si>
    <t>ピサロ</t>
    <phoneticPr fontId="1"/>
  </si>
  <si>
    <t>シャーク・スパーブ号</t>
  </si>
  <si>
    <t>リュウグウ王国</t>
  </si>
  <si>
    <t>魚人街</t>
  </si>
  <si>
    <t>モーム</t>
  </si>
  <si>
    <t>海牛モーム</t>
    <rPh sb="0" eb="2">
      <t xml:space="preserve">カイギュウ </t>
    </rPh>
    <phoneticPr fontId="1"/>
  </si>
  <si>
    <t>ブタの丸焼き、サメ</t>
    <rPh sb="3" eb="5">
      <t>マル</t>
    </rPh>
    <phoneticPr fontId="1"/>
  </si>
  <si>
    <t>元アーロン一味/海獣</t>
    <rPh sb="0" eb="1">
      <t>モト</t>
    </rPh>
    <rPh sb="5" eb="7">
      <t>イチミ</t>
    </rPh>
    <rPh sb="8" eb="10">
      <t>カイジュウ</t>
    </rPh>
    <phoneticPr fontId="1"/>
  </si>
  <si>
    <t>チュウ</t>
  </si>
  <si>
    <t>水鉄砲</t>
    <rPh sb="0" eb="3">
      <t>ミズ</t>
    </rPh>
    <phoneticPr fontId="1"/>
  </si>
  <si>
    <t>アサリの味噌汁</t>
    <rPh sb="4" eb="7">
      <t>ミソ</t>
    </rPh>
    <phoneticPr fontId="1"/>
  </si>
  <si>
    <t>キスの魚人</t>
    <rPh sb="3" eb="5">
      <t>ギョジn</t>
    </rPh>
    <phoneticPr fontId="1"/>
  </si>
  <si>
    <t>クロオビ</t>
  </si>
  <si>
    <t>魚人空手40段</t>
    <rPh sb="0" eb="4">
      <t>ギョジn</t>
    </rPh>
    <rPh sb="6" eb="7">
      <t xml:space="preserve">ダン </t>
    </rPh>
    <phoneticPr fontId="1"/>
  </si>
  <si>
    <t>エビの刺身</t>
    <rPh sb="3" eb="5">
      <t>サシミ</t>
    </rPh>
    <phoneticPr fontId="1"/>
  </si>
  <si>
    <t>エイの魚人</t>
    <rPh sb="3" eb="5">
      <t>ギョジn</t>
    </rPh>
    <phoneticPr fontId="1"/>
  </si>
  <si>
    <t>シオヤキ</t>
    <phoneticPr fontId="1"/>
  </si>
  <si>
    <t>宴会部長</t>
    <rPh sb="0" eb="4">
      <t>エンカイ</t>
    </rPh>
    <phoneticPr fontId="1"/>
  </si>
  <si>
    <t>サケの魚人</t>
    <rPh sb="3" eb="5">
      <t>ギョジn</t>
    </rPh>
    <phoneticPr fontId="1"/>
  </si>
  <si>
    <t>タケ</t>
    <phoneticPr fontId="1"/>
  </si>
  <si>
    <t>コンパ隊長</t>
    <rPh sb="3" eb="5">
      <t>タイチョウ</t>
    </rPh>
    <phoneticPr fontId="1"/>
  </si>
  <si>
    <t>コイの魚人</t>
    <rPh sb="3" eb="5">
      <t>ギョジn</t>
    </rPh>
    <phoneticPr fontId="1"/>
  </si>
  <si>
    <t>プリンプリン</t>
    <phoneticPr fontId="1"/>
  </si>
  <si>
    <t>海軍第77支部</t>
    <rPh sb="0" eb="2">
      <t>カイグn</t>
    </rPh>
    <rPh sb="2" eb="3">
      <t xml:space="preserve">ダイ </t>
    </rPh>
    <rPh sb="5" eb="7">
      <t>シブ</t>
    </rPh>
    <phoneticPr fontId="1"/>
  </si>
  <si>
    <t>准将</t>
    <rPh sb="0" eb="2">
      <t>ジュンショウ</t>
    </rPh>
    <phoneticPr fontId="1"/>
  </si>
  <si>
    <t>ベルメール</t>
  </si>
  <si>
    <t>Dr.ナコー</t>
    <phoneticPr fontId="1"/>
  </si>
  <si>
    <t>マミーミー</t>
    <phoneticPr fontId="1"/>
  </si>
  <si>
    <t>孤児院の寮母</t>
    <rPh sb="0" eb="3">
      <t>コジイn</t>
    </rPh>
    <rPh sb="4" eb="6">
      <t>リョウ</t>
    </rPh>
    <phoneticPr fontId="1"/>
  </si>
  <si>
    <t>C009-11</t>
  </si>
  <si>
    <t>ー</t>
    <phoneticPr fontId="1"/>
  </si>
  <si>
    <t>海獣</t>
    <rPh sb="0" eb="2">
      <t>カイジュウ</t>
    </rPh>
    <phoneticPr fontId="1"/>
  </si>
  <si>
    <t>-</t>
    <phoneticPr fontId="1"/>
  </si>
  <si>
    <t>B</t>
    <phoneticPr fontId="1"/>
  </si>
  <si>
    <t>C</t>
    <phoneticPr fontId="1"/>
  </si>
  <si>
    <t>卵星</t>
    <phoneticPr fontId="1"/>
  </si>
  <si>
    <t>首肉（コリエ）シュート</t>
  </si>
  <si>
    <t>煙星</t>
    <phoneticPr fontId="1"/>
  </si>
  <si>
    <t>水鉄砲</t>
  </si>
  <si>
    <t>M-055</t>
    <phoneticPr fontId="1"/>
  </si>
  <si>
    <t>C008-05</t>
    <phoneticPr fontId="1"/>
  </si>
  <si>
    <t>E001-143</t>
  </si>
  <si>
    <t>E001-144</t>
  </si>
  <si>
    <t>E001-145</t>
  </si>
  <si>
    <t>E001-146</t>
  </si>
  <si>
    <t>E001-147</t>
  </si>
  <si>
    <t>E001-148</t>
  </si>
  <si>
    <t>E001-149</t>
  </si>
  <si>
    <t>E001-150</t>
  </si>
  <si>
    <t>ゾロをココヤシ村に送る</t>
    <rPh sb="7" eb="8">
      <t>ムラ</t>
    </rPh>
    <rPh sb="9" eb="10">
      <t>オク</t>
    </rPh>
    <phoneticPr fontId="1"/>
  </si>
  <si>
    <t>アーロンパーク近海</t>
    <rPh sb="7" eb="9">
      <t>キンカイ</t>
    </rPh>
    <phoneticPr fontId="1"/>
  </si>
  <si>
    <t>L-020</t>
    <phoneticPr fontId="1"/>
  </si>
  <si>
    <t>モームをぶっ飛ばす</t>
    <rPh sb="6" eb="7">
      <t>ト</t>
    </rPh>
    <phoneticPr fontId="1"/>
  </si>
  <si>
    <t>戦闘員</t>
    <rPh sb="0" eb="3">
      <t>セントウイン</t>
    </rPh>
    <phoneticPr fontId="1"/>
  </si>
  <si>
    <t>アーロンに捕まる</t>
    <rPh sb="5" eb="6">
      <t>ツカ</t>
    </rPh>
    <phoneticPr fontId="1"/>
  </si>
  <si>
    <t>ココヤシ村でアーロンに立ち向かう</t>
    <rPh sb="4" eb="5">
      <t>ムラ</t>
    </rPh>
    <rPh sb="11" eb="12">
      <t>タ</t>
    </rPh>
    <rPh sb="13" eb="14">
      <t>ム</t>
    </rPh>
    <phoneticPr fontId="1"/>
  </si>
  <si>
    <t>B001-21</t>
  </si>
  <si>
    <t>B001-22</t>
  </si>
  <si>
    <t>B001-23</t>
  </si>
  <si>
    <t>B001-24</t>
  </si>
  <si>
    <t>B001-25</t>
  </si>
  <si>
    <t>B001-26</t>
  </si>
  <si>
    <t>B001-27</t>
  </si>
  <si>
    <t>B001-28</t>
  </si>
  <si>
    <t>B001-29</t>
  </si>
  <si>
    <t>B001-30</t>
  </si>
  <si>
    <t>L-018</t>
    <phoneticPr fontId="1"/>
  </si>
  <si>
    <t>C003-03</t>
    <phoneticPr fontId="1"/>
  </si>
  <si>
    <t>E001-151</t>
  </si>
  <si>
    <t>E001-152</t>
  </si>
  <si>
    <t>E001-153</t>
  </si>
  <si>
    <t>E001-154</t>
  </si>
  <si>
    <t>E001-155</t>
  </si>
  <si>
    <t>E001-156</t>
  </si>
  <si>
    <t>E001-157</t>
  </si>
  <si>
    <t>E001-158</t>
  </si>
  <si>
    <t>E001-159</t>
  </si>
  <si>
    <t>E001-160</t>
  </si>
  <si>
    <t>ココヤシ村西に到着</t>
    <rPh sb="4" eb="5">
      <t>ムラ</t>
    </rPh>
    <rPh sb="5" eb="6">
      <t>ニシ</t>
    </rPh>
    <rPh sb="7" eb="9">
      <t>トウチャク</t>
    </rPh>
    <phoneticPr fontId="1"/>
  </si>
  <si>
    <t>C005-05</t>
    <phoneticPr fontId="1"/>
  </si>
  <si>
    <t>ルフィらと合流</t>
    <rPh sb="5" eb="7">
      <t>ゴウリュウ</t>
    </rPh>
    <phoneticPr fontId="1"/>
  </si>
  <si>
    <t>L-020</t>
    <phoneticPr fontId="1"/>
  </si>
  <si>
    <t>海軍を撃沈する</t>
    <rPh sb="0" eb="2">
      <t>カイグン</t>
    </rPh>
    <rPh sb="3" eb="5">
      <t>ゲキチン</t>
    </rPh>
    <phoneticPr fontId="1"/>
  </si>
  <si>
    <t>ナミに逃がされる</t>
    <rPh sb="3" eb="4">
      <t>ニ</t>
    </rPh>
    <phoneticPr fontId="1"/>
  </si>
  <si>
    <t>ココヤシ村を襲撃する</t>
    <rPh sb="4" eb="5">
      <t>ムラ</t>
    </rPh>
    <rPh sb="6" eb="8">
      <t>シュウゲキ</t>
    </rPh>
    <phoneticPr fontId="1"/>
  </si>
  <si>
    <t>母ベルメールを亡くす</t>
    <rPh sb="0" eb="1">
      <t>ハハ</t>
    </rPh>
    <rPh sb="7" eb="8">
      <t>ナ</t>
    </rPh>
    <phoneticPr fontId="1"/>
  </si>
  <si>
    <t>”OK,Let's STAND UP！”</t>
    <phoneticPr fontId="1"/>
  </si>
  <si>
    <t>”ルフィ　IN BLACK”</t>
    <phoneticPr fontId="1"/>
  </si>
  <si>
    <t>短期集中表紙連載PART2</t>
    <rPh sb="0" eb="4">
      <t>タンキ</t>
    </rPh>
    <rPh sb="4" eb="6">
      <t>ヒョウセィ</t>
    </rPh>
    <rPh sb="6" eb="8">
      <t>レンサイ</t>
    </rPh>
    <phoneticPr fontId="1"/>
  </si>
  <si>
    <t>コビーとヘルメッポのその後</t>
    <phoneticPr fontId="1"/>
  </si>
  <si>
    <t>”ゾンビ”</t>
    <phoneticPr fontId="1"/>
  </si>
  <si>
    <t>コビメッポ奮闘日記vol.2</t>
    <rPh sb="5" eb="9">
      <t>フントウ</t>
    </rPh>
    <phoneticPr fontId="1"/>
  </si>
  <si>
    <t>雑用雑用っ!!</t>
    <rPh sb="0" eb="2">
      <t>ザテゥ</t>
    </rPh>
    <rPh sb="2" eb="4">
      <t>ザツヨウ</t>
    </rPh>
    <phoneticPr fontId="1"/>
  </si>
  <si>
    <t>”三刀流対六刀流”</t>
    <rPh sb="1" eb="2">
      <t>サントウリュウ</t>
    </rPh>
    <rPh sb="2" eb="3">
      <t xml:space="preserve">トウ </t>
    </rPh>
    <rPh sb="3" eb="4">
      <t>リュウ</t>
    </rPh>
    <rPh sb="4" eb="5">
      <t xml:space="preserve">タイ </t>
    </rPh>
    <rPh sb="5" eb="8">
      <t>ロクトウ</t>
    </rPh>
    <phoneticPr fontId="1"/>
  </si>
  <si>
    <t>コビメッポ奮闘日記vol.3</t>
    <rPh sb="5" eb="9">
      <t>フントウ</t>
    </rPh>
    <phoneticPr fontId="1"/>
  </si>
  <si>
    <t>基地の外れで一休み</t>
    <rPh sb="0" eb="2">
      <t>キチノ</t>
    </rPh>
    <rPh sb="3" eb="4">
      <t>ハズレデ</t>
    </rPh>
    <rPh sb="6" eb="8">
      <t>ヒトヤスミ</t>
    </rPh>
    <phoneticPr fontId="1"/>
  </si>
  <si>
    <t>”騎士道VS魚人空手”</t>
    <rPh sb="1" eb="4">
      <t>キシドウ</t>
    </rPh>
    <rPh sb="6" eb="10">
      <t>ギョジn</t>
    </rPh>
    <phoneticPr fontId="1"/>
  </si>
  <si>
    <t>”終わったんだ!!”</t>
    <rPh sb="1" eb="2">
      <t>オワッタ</t>
    </rPh>
    <phoneticPr fontId="1"/>
  </si>
  <si>
    <t>コビメッポ奮闘日記vol.4</t>
    <rPh sb="5" eb="9">
      <t>フントウ</t>
    </rPh>
    <phoneticPr fontId="1"/>
  </si>
  <si>
    <t>勉強勉強っ!!</t>
    <rPh sb="0" eb="2">
      <t>ベンキョウ</t>
    </rPh>
    <rPh sb="2" eb="4">
      <t>ベン</t>
    </rPh>
    <phoneticPr fontId="1"/>
  </si>
  <si>
    <t>”死んで!!!”</t>
    <phoneticPr fontId="1"/>
  </si>
  <si>
    <t>コビメッポ奮闘日記vol.5</t>
    <rPh sb="5" eb="9">
      <t>フントウ</t>
    </rPh>
    <phoneticPr fontId="1"/>
  </si>
  <si>
    <t>モーガン送検船の雑用</t>
    <rPh sb="4" eb="6">
      <t>ソウケn</t>
    </rPh>
    <rPh sb="6" eb="7">
      <t xml:space="preserve">フネ </t>
    </rPh>
    <rPh sb="8" eb="10">
      <t>ザツヨウ</t>
    </rPh>
    <phoneticPr fontId="1"/>
  </si>
  <si>
    <t>”交替”</t>
    <rPh sb="1" eb="3">
      <t>コウタイ</t>
    </rPh>
    <phoneticPr fontId="1"/>
  </si>
  <si>
    <t>コビメッポ奮闘日記vol.6</t>
    <rPh sb="5" eb="9">
      <t>フントウ</t>
    </rPh>
    <phoneticPr fontId="1"/>
  </si>
  <si>
    <t>船の上の雑用雑用っ!</t>
    <rPh sb="0" eb="1">
      <t>フネ</t>
    </rPh>
    <rPh sb="2" eb="3">
      <t>ウエ</t>
    </rPh>
    <rPh sb="4" eb="6">
      <t>ザテゥ</t>
    </rPh>
    <rPh sb="6" eb="8">
      <t>ザツヨウ</t>
    </rPh>
    <phoneticPr fontId="1"/>
  </si>
  <si>
    <t>”何ができる”</t>
    <rPh sb="1" eb="2">
      <t>ナニ</t>
    </rPh>
    <phoneticPr fontId="1"/>
  </si>
  <si>
    <t>コビメッポ奮闘日記vol.7</t>
    <rPh sb="5" eb="9">
      <t>フントウ</t>
    </rPh>
    <phoneticPr fontId="1"/>
  </si>
  <si>
    <t>雑用雑……!!?</t>
    <rPh sb="0" eb="1">
      <t>ザツヨウ</t>
    </rPh>
    <rPh sb="2" eb="3">
      <t xml:space="preserve">ザツ </t>
    </rPh>
    <phoneticPr fontId="1"/>
  </si>
  <si>
    <t>”DARTS”</t>
    <phoneticPr fontId="1"/>
  </si>
  <si>
    <t>コビメッポ奮闘日記vol.8</t>
    <rPh sb="5" eb="9">
      <t>フントウ</t>
    </rPh>
    <phoneticPr fontId="1"/>
  </si>
  <si>
    <t>海軍本部中将ガープの船</t>
    <rPh sb="0" eb="1">
      <t>カイグn</t>
    </rPh>
    <rPh sb="4" eb="6">
      <t>チュウジョウ</t>
    </rPh>
    <rPh sb="10" eb="11">
      <t>フネ</t>
    </rPh>
    <phoneticPr fontId="1"/>
  </si>
  <si>
    <t>”幸せ”</t>
    <rPh sb="1" eb="2">
      <t>シアワセ</t>
    </rPh>
    <phoneticPr fontId="1"/>
  </si>
  <si>
    <t>コビメッポ奮闘日記vol.9</t>
    <rPh sb="5" eb="9">
      <t>フントウ</t>
    </rPh>
    <phoneticPr fontId="1"/>
  </si>
  <si>
    <t>モーガンの引き渡し</t>
    <rPh sb="0" eb="3">
      <t>モーガンノ</t>
    </rPh>
    <rPh sb="5" eb="6">
      <t>ヒキワタセィ</t>
    </rPh>
    <phoneticPr fontId="1"/>
  </si>
  <si>
    <t>”下へまいります”</t>
    <rPh sb="1" eb="2">
      <t>シタヘ</t>
    </rPh>
    <phoneticPr fontId="1"/>
  </si>
  <si>
    <t>コビメッポ奮闘日記vol.10</t>
    <rPh sb="5" eb="9">
      <t>フントウ</t>
    </rPh>
    <phoneticPr fontId="1"/>
  </si>
  <si>
    <t>本部中将の油断</t>
    <rPh sb="0" eb="4">
      <t>ホンブ</t>
    </rPh>
    <rPh sb="5" eb="7">
      <t>ユダn</t>
    </rPh>
    <phoneticPr fontId="1"/>
  </si>
  <si>
    <t>”２人目”</t>
    <rPh sb="2" eb="3">
      <t>ニn</t>
    </rPh>
    <rPh sb="3" eb="4">
      <t xml:space="preserve">メ </t>
    </rPh>
    <phoneticPr fontId="1"/>
  </si>
  <si>
    <t>”まわれ風車”</t>
    <rPh sb="4" eb="6">
      <t>カザグルマ</t>
    </rPh>
    <phoneticPr fontId="1"/>
  </si>
  <si>
    <t>コビメッポ奮闘日記vol.11</t>
    <rPh sb="5" eb="9">
      <t>フントウ</t>
    </rPh>
    <phoneticPr fontId="1"/>
  </si>
  <si>
    <t>まさかの人質ッポ</t>
    <rPh sb="4" eb="6">
      <t>ヒト</t>
    </rPh>
    <phoneticPr fontId="1"/>
  </si>
  <si>
    <t>”東一番の悪”</t>
    <rPh sb="1" eb="2">
      <t>ヒガセィ</t>
    </rPh>
    <rPh sb="2" eb="4">
      <t>イチバ</t>
    </rPh>
    <rPh sb="5" eb="6">
      <t>ワル</t>
    </rPh>
    <phoneticPr fontId="1"/>
  </si>
  <si>
    <t>コビメッポ奮闘日記vol.12</t>
    <rPh sb="5" eb="9">
      <t>フントウ</t>
    </rPh>
    <phoneticPr fontId="1"/>
  </si>
  <si>
    <t>モーガン逃走</t>
    <rPh sb="4" eb="6">
      <t>トウソウ</t>
    </rPh>
    <phoneticPr fontId="1"/>
  </si>
  <si>
    <t>”三代鬼徹”</t>
    <rPh sb="1" eb="3">
      <t>サンダイ</t>
    </rPh>
    <rPh sb="3" eb="4">
      <t>オニ</t>
    </rPh>
    <rPh sb="4" eb="5">
      <t xml:space="preserve">テツ </t>
    </rPh>
    <phoneticPr fontId="1"/>
  </si>
  <si>
    <t>コビメッポ奮闘日記vol.13</t>
    <rPh sb="5" eb="9">
      <t>フントウ</t>
    </rPh>
    <phoneticPr fontId="1"/>
  </si>
  <si>
    <t>砲撃準備</t>
    <rPh sb="0" eb="4">
      <t>ホウゲキ</t>
    </rPh>
    <phoneticPr fontId="1"/>
  </si>
  <si>
    <t>”暗雲”</t>
    <rPh sb="1" eb="3">
      <t>アンウn</t>
    </rPh>
    <phoneticPr fontId="1"/>
  </si>
  <si>
    <t>コビメッポ奮闘日記vol.14</t>
    <rPh sb="5" eb="9">
      <t>フントウ</t>
    </rPh>
    <phoneticPr fontId="1"/>
  </si>
  <si>
    <t>砲撃阻止</t>
    <rPh sb="0" eb="1">
      <t>ホウゲキ</t>
    </rPh>
    <rPh sb="2" eb="4">
      <t xml:space="preserve">ソシ </t>
    </rPh>
    <phoneticPr fontId="1"/>
  </si>
  <si>
    <t>”ルフィが死んだ”</t>
    <rPh sb="5" eb="6">
      <t>シンダ</t>
    </rPh>
    <phoneticPr fontId="1"/>
  </si>
  <si>
    <t>コビメッポ奮闘日記vol.15</t>
    <rPh sb="5" eb="9">
      <t>フントウ</t>
    </rPh>
    <phoneticPr fontId="1"/>
  </si>
  <si>
    <t>砲撃阻止阻止</t>
    <rPh sb="0" eb="2">
      <t>ホウゲキ</t>
    </rPh>
    <rPh sb="2" eb="6">
      <t xml:space="preserve">ソシ </t>
    </rPh>
    <phoneticPr fontId="1"/>
  </si>
  <si>
    <t>”伝説は始まった”</t>
    <rPh sb="1" eb="3">
      <t>デンセテゥ</t>
    </rPh>
    <rPh sb="4" eb="5">
      <t>ハジマッタ</t>
    </rPh>
    <phoneticPr fontId="1"/>
  </si>
  <si>
    <t>”リヴァース・マウンテン”</t>
    <phoneticPr fontId="1"/>
  </si>
  <si>
    <t>コビメッポ奮闘日記vol.16</t>
    <rPh sb="5" eb="9">
      <t>フントウ</t>
    </rPh>
    <phoneticPr fontId="1"/>
  </si>
  <si>
    <t>砲撃阻止阻止阻止</t>
    <rPh sb="0" eb="2">
      <t>ホウゲキ</t>
    </rPh>
    <rPh sb="2" eb="6">
      <t xml:space="preserve">ソシ </t>
    </rPh>
    <rPh sb="6" eb="8">
      <t>ソセィ</t>
    </rPh>
    <phoneticPr fontId="1"/>
  </si>
  <si>
    <t>”さて、偉大なる航路（グランドライン）”</t>
    <rPh sb="4" eb="6">
      <t>イダイ</t>
    </rPh>
    <rPh sb="8" eb="10">
      <t>コウロ</t>
    </rPh>
    <phoneticPr fontId="1"/>
  </si>
  <si>
    <t>コビメッポ奮闘日記vol.17</t>
    <rPh sb="5" eb="9">
      <t>フントウ</t>
    </rPh>
    <phoneticPr fontId="1"/>
  </si>
  <si>
    <t>ヘルメッポの”ある”決意</t>
    <rPh sb="10" eb="12">
      <t>ケツイ</t>
    </rPh>
    <phoneticPr fontId="1"/>
  </si>
  <si>
    <t>”クジラ”</t>
    <phoneticPr fontId="1"/>
  </si>
  <si>
    <t>”約束の岬”</t>
    <rPh sb="1" eb="3">
      <t>ヤクソクノ</t>
    </rPh>
    <rPh sb="4" eb="5">
      <t>ミサキ</t>
    </rPh>
    <phoneticPr fontId="1"/>
  </si>
  <si>
    <t>コビメッポ奮闘日記vol.18</t>
    <rPh sb="5" eb="9">
      <t>フントウ</t>
    </rPh>
    <phoneticPr fontId="1"/>
  </si>
  <si>
    <t>中将ガープは油断しすぎ</t>
    <rPh sb="0" eb="2">
      <t>チュウジ</t>
    </rPh>
    <rPh sb="6" eb="8">
      <t>ユダn</t>
    </rPh>
    <phoneticPr fontId="1"/>
  </si>
  <si>
    <t>”記録指針（ログポース）”</t>
    <rPh sb="1" eb="3">
      <t>キロク</t>
    </rPh>
    <rPh sb="3" eb="5">
      <t xml:space="preserve">シシン </t>
    </rPh>
    <phoneticPr fontId="1"/>
  </si>
  <si>
    <t>コビメッポ奮闘日記vol.19</t>
    <rPh sb="5" eb="9">
      <t>フントウ</t>
    </rPh>
    <phoneticPr fontId="1"/>
  </si>
  <si>
    <t>モーガン一人</t>
    <rPh sb="4" eb="6">
      <t>ヒト</t>
    </rPh>
    <phoneticPr fontId="1"/>
  </si>
  <si>
    <t>”歓迎の町”</t>
    <rPh sb="1" eb="3">
      <t>カンゲイ</t>
    </rPh>
    <phoneticPr fontId="1"/>
  </si>
  <si>
    <t>コビメッポ奮闘日記vol.20</t>
    <rPh sb="5" eb="9">
      <t>フントウ</t>
    </rPh>
    <phoneticPr fontId="1"/>
  </si>
  <si>
    <t>ヘルメッポの帰還</t>
    <rPh sb="6" eb="8">
      <t>キカn</t>
    </rPh>
    <phoneticPr fontId="1"/>
  </si>
  <si>
    <t>”月光と墓標”</t>
    <rPh sb="1" eb="3">
      <t>ゲッコウ</t>
    </rPh>
    <rPh sb="4" eb="6">
      <t>ボヒョウ</t>
    </rPh>
    <phoneticPr fontId="1"/>
  </si>
  <si>
    <t>”100人の賞金稼ぎ”</t>
    <rPh sb="1" eb="2">
      <t>100ニn</t>
    </rPh>
    <rPh sb="6" eb="9">
      <t>ショウキンカス</t>
    </rPh>
    <phoneticPr fontId="1"/>
  </si>
  <si>
    <t>コビメッポ奮闘日記vol.21</t>
    <rPh sb="5" eb="9">
      <t>フントウ</t>
    </rPh>
    <phoneticPr fontId="1"/>
  </si>
  <si>
    <t>謝罪</t>
    <rPh sb="0" eb="2">
      <t>シャザイ</t>
    </rPh>
    <phoneticPr fontId="1"/>
  </si>
  <si>
    <t>”責任問題”</t>
    <rPh sb="1" eb="3">
      <t>セキニn</t>
    </rPh>
    <rPh sb="3" eb="5">
      <t>モンダイ</t>
    </rPh>
    <phoneticPr fontId="1"/>
  </si>
  <si>
    <t>コビメッポ奮闘日記vol.22</t>
    <rPh sb="5" eb="9">
      <t>フントウ</t>
    </rPh>
    <phoneticPr fontId="1"/>
  </si>
  <si>
    <t>不甲斐なき我ら</t>
    <rPh sb="0" eb="1">
      <t>フガイ</t>
    </rPh>
    <rPh sb="5" eb="6">
      <t>ワレ</t>
    </rPh>
    <phoneticPr fontId="1"/>
  </si>
  <si>
    <t>”夜は終わらない”</t>
    <rPh sb="1" eb="2">
      <t>ヨル</t>
    </rPh>
    <rPh sb="3" eb="4">
      <t>オワラナ</t>
    </rPh>
    <phoneticPr fontId="1"/>
  </si>
  <si>
    <t>コビメッポ奮闘日記vol.23</t>
    <rPh sb="5" eb="9">
      <t>フントウ</t>
    </rPh>
    <phoneticPr fontId="1"/>
  </si>
  <si>
    <t>ガープの発言5秒前</t>
    <rPh sb="4" eb="6">
      <t>ハツゲn</t>
    </rPh>
    <rPh sb="7" eb="9">
      <t>ビョウ</t>
    </rPh>
    <phoneticPr fontId="1"/>
  </si>
  <si>
    <t>”秘密犯罪会社”</t>
    <rPh sb="1" eb="3">
      <t>ヒミテゥ</t>
    </rPh>
    <rPh sb="3" eb="5">
      <t>ハンザイ</t>
    </rPh>
    <rPh sb="5" eb="7">
      <t>カイ</t>
    </rPh>
    <phoneticPr fontId="1"/>
  </si>
  <si>
    <t>”ルフィVSゾロ”</t>
    <phoneticPr fontId="1"/>
  </si>
  <si>
    <t>コビメッポ奮闘日記vol.24</t>
    <rPh sb="5" eb="9">
      <t>フントウ</t>
    </rPh>
    <phoneticPr fontId="1"/>
  </si>
  <si>
    <t>この2人、わしが預かる</t>
    <rPh sb="3" eb="4">
      <t>ニn</t>
    </rPh>
    <rPh sb="8" eb="9">
      <t>アズカル</t>
    </rPh>
    <phoneticPr fontId="1"/>
  </si>
  <si>
    <t>”大丈夫!!!”</t>
    <rPh sb="1" eb="4">
      <t>ダイジョウ</t>
    </rPh>
    <phoneticPr fontId="1"/>
  </si>
  <si>
    <t>コビメッポ奮闘日記vol.25</t>
    <rPh sb="5" eb="9">
      <t>フントウ</t>
    </rPh>
    <phoneticPr fontId="1"/>
  </si>
  <si>
    <t>コビメッポ海軍本部へ</t>
    <rPh sb="5" eb="9">
      <t>カイグn</t>
    </rPh>
    <phoneticPr fontId="1"/>
  </si>
  <si>
    <t>”進路”</t>
    <rPh sb="1" eb="3">
      <t>シンロ</t>
    </rPh>
    <phoneticPr fontId="1"/>
  </si>
  <si>
    <t>コビメッポ奮闘日記vol.26</t>
    <rPh sb="5" eb="9">
      <t>フントウ</t>
    </rPh>
    <phoneticPr fontId="1"/>
  </si>
  <si>
    <t>海軍本部で雑用雑用っ!!</t>
    <rPh sb="0" eb="2">
      <t>カイグn</t>
    </rPh>
    <rPh sb="5" eb="7">
      <t>ザツヨウ</t>
    </rPh>
    <rPh sb="7" eb="9">
      <t>z</t>
    </rPh>
    <phoneticPr fontId="1"/>
  </si>
  <si>
    <t>”冒険のリトルガーデン”</t>
    <rPh sb="1" eb="3">
      <t>ボウケn</t>
    </rPh>
    <phoneticPr fontId="1"/>
  </si>
  <si>
    <t>コビメッポ奮闘日記vol.27</t>
    <rPh sb="5" eb="9">
      <t>フントウ</t>
    </rPh>
    <phoneticPr fontId="1"/>
  </si>
  <si>
    <t>寝る間も惜しんで特訓特訓っ!!</t>
    <rPh sb="0" eb="1">
      <t>ネルマム</t>
    </rPh>
    <rPh sb="4" eb="5">
      <t>オシンデ</t>
    </rPh>
    <rPh sb="8" eb="10">
      <t>トックn</t>
    </rPh>
    <rPh sb="10" eb="12">
      <t>トックn</t>
    </rPh>
    <phoneticPr fontId="1"/>
  </si>
  <si>
    <t>”でっけェ”</t>
    <phoneticPr fontId="1"/>
  </si>
  <si>
    <t>コビメッポ奮闘日記vol.28</t>
    <rPh sb="5" eb="9">
      <t>フントウ</t>
    </rPh>
    <phoneticPr fontId="1"/>
  </si>
  <si>
    <t>毎日毎日特訓特訓っ!!</t>
    <rPh sb="0" eb="2">
      <t>マイニティ</t>
    </rPh>
    <rPh sb="2" eb="4">
      <t>マイ</t>
    </rPh>
    <rPh sb="4" eb="6">
      <t>トックn</t>
    </rPh>
    <rPh sb="6" eb="8">
      <t>トックn</t>
    </rPh>
    <phoneticPr fontId="1"/>
  </si>
  <si>
    <t>”ドリーとブロギー”</t>
    <phoneticPr fontId="1"/>
  </si>
  <si>
    <t>”誰かいる”</t>
    <phoneticPr fontId="1"/>
  </si>
  <si>
    <t>コビメッポ奮闘日記vol.29</t>
    <rPh sb="5" eb="9">
      <t>フントウ</t>
    </rPh>
    <phoneticPr fontId="1"/>
  </si>
  <si>
    <t>ちょっとお別れ</t>
    <phoneticPr fontId="1"/>
  </si>
  <si>
    <t>”姑息”</t>
    <rPh sb="1" eb="3">
      <t>コソク</t>
    </rPh>
    <phoneticPr fontId="1"/>
  </si>
  <si>
    <t>コビメッポ奮闘日記最終話</t>
    <rPh sb="5" eb="8">
      <t>フントウ</t>
    </rPh>
    <rPh sb="9" eb="11">
      <t>サイシュウ</t>
    </rPh>
    <rPh sb="11" eb="12">
      <t xml:space="preserve">ワ </t>
    </rPh>
    <phoneticPr fontId="1"/>
  </si>
  <si>
    <t>笑うガープとがんばる若者</t>
    <rPh sb="0" eb="1">
      <t>ワラウ</t>
    </rPh>
    <rPh sb="10" eb="12">
      <t>ワカモノ</t>
    </rPh>
    <phoneticPr fontId="1"/>
  </si>
  <si>
    <t>”赤鬼が泣いた”</t>
    <rPh sb="1" eb="3">
      <t>アカオニ</t>
    </rPh>
    <rPh sb="4" eb="5">
      <t>ナイタ</t>
    </rPh>
    <phoneticPr fontId="1"/>
  </si>
  <si>
    <t>”わかっていた”</t>
    <phoneticPr fontId="1"/>
  </si>
  <si>
    <t>”死人は役に立たぬ”</t>
    <rPh sb="1" eb="2">
      <t>ナネェヨ”</t>
    </rPh>
    <rPh sb="4" eb="5">
      <t>ヤク</t>
    </rPh>
    <rPh sb="6" eb="7">
      <t>タタヌ</t>
    </rPh>
    <phoneticPr fontId="1"/>
  </si>
  <si>
    <t>”ルフィVS Mr.3”</t>
    <phoneticPr fontId="1"/>
  </si>
  <si>
    <t>”お茶がうめェ”</t>
    <phoneticPr fontId="1"/>
  </si>
  <si>
    <t>”キャンドルチャンピオン”</t>
    <phoneticPr fontId="1"/>
  </si>
  <si>
    <t>”本能”</t>
    <rPh sb="1" eb="3">
      <t>ホンノウ</t>
    </rPh>
    <phoneticPr fontId="1"/>
  </si>
  <si>
    <t>短期集中表紙連載第三弾</t>
    <rPh sb="0" eb="4">
      <t>タンキ</t>
    </rPh>
    <rPh sb="4" eb="6">
      <t>ヒョウセィ</t>
    </rPh>
    <rPh sb="6" eb="8">
      <t>レンサイ</t>
    </rPh>
    <rPh sb="8" eb="9">
      <t>ダイ</t>
    </rPh>
    <rPh sb="9" eb="10">
      <t>③</t>
    </rPh>
    <rPh sb="10" eb="11">
      <t>ダn</t>
    </rPh>
    <phoneticPr fontId="1"/>
  </si>
  <si>
    <t>やつは目覚めた</t>
    <rPh sb="3" eb="5">
      <t>メザメ</t>
    </rPh>
    <phoneticPr fontId="1"/>
  </si>
  <si>
    <t>M-061</t>
  </si>
  <si>
    <t>M-062</t>
  </si>
  <si>
    <t>M-063</t>
  </si>
  <si>
    <t>M-064</t>
  </si>
  <si>
    <t>M-065</t>
  </si>
  <si>
    <t>M-066</t>
  </si>
  <si>
    <t>M-067</t>
  </si>
  <si>
    <t>M-068</t>
  </si>
  <si>
    <t>M-069</t>
  </si>
  <si>
    <t>M-070</t>
  </si>
  <si>
    <t>ゴムゴムの風車</t>
  </si>
  <si>
    <t>たこはちブラック</t>
  </si>
  <si>
    <t>蛸・三・連・真・剣・白・刃・取り</t>
  </si>
  <si>
    <t>タコ焼きパンチ</t>
  </si>
  <si>
    <t>龍巻き</t>
    <phoneticPr fontId="1"/>
  </si>
  <si>
    <t>M-071</t>
  </si>
  <si>
    <t>M-072</t>
  </si>
  <si>
    <t>M-073</t>
  </si>
  <si>
    <t>M-074</t>
  </si>
  <si>
    <t>M-075</t>
  </si>
  <si>
    <t>M-076</t>
  </si>
  <si>
    <t>M-077</t>
  </si>
  <si>
    <t>M-078</t>
  </si>
  <si>
    <t>M-079</t>
  </si>
  <si>
    <t>M-080</t>
  </si>
  <si>
    <t>羊肉（ムートン）ショット</t>
  </si>
  <si>
    <t>M-081</t>
  </si>
  <si>
    <t>M-082</t>
  </si>
  <si>
    <t>M-083</t>
  </si>
  <si>
    <t>M-084</t>
  </si>
  <si>
    <t>M-085</t>
  </si>
  <si>
    <t>M-086</t>
  </si>
  <si>
    <t>M-087</t>
  </si>
  <si>
    <t>M-088</t>
  </si>
  <si>
    <t>M-089</t>
  </si>
  <si>
    <t>M-090</t>
  </si>
  <si>
    <t>M-091</t>
  </si>
  <si>
    <t>M-092</t>
  </si>
  <si>
    <t>M-093</t>
  </si>
  <si>
    <t>M-094</t>
  </si>
  <si>
    <t>M-095</t>
  </si>
  <si>
    <t>M-096</t>
  </si>
  <si>
    <t>M-097</t>
  </si>
  <si>
    <t>M-098</t>
  </si>
  <si>
    <t>M-099</t>
  </si>
  <si>
    <t>M-100</t>
  </si>
  <si>
    <t>首肉（コリエ）</t>
    <phoneticPr fontId="1"/>
  </si>
  <si>
    <t>肩肉（エポール）</t>
    <phoneticPr fontId="1"/>
  </si>
  <si>
    <t>背肉（コートレット）</t>
    <phoneticPr fontId="1"/>
  </si>
  <si>
    <t>鞍下肉（セル）</t>
    <phoneticPr fontId="1"/>
  </si>
  <si>
    <t>胸肉（ポワトリーヌ）</t>
    <phoneticPr fontId="1"/>
  </si>
  <si>
    <t>もも肉（ジゴー）</t>
    <phoneticPr fontId="1"/>
  </si>
  <si>
    <t>ウソップハンマー</t>
  </si>
  <si>
    <t>ウソップ輪ごーむ</t>
    <phoneticPr fontId="1"/>
  </si>
  <si>
    <t>水大砲</t>
  </si>
  <si>
    <t>百発水鉄砲</t>
  </si>
  <si>
    <t>打ち水</t>
  </si>
  <si>
    <t>胸肉（ポワトリーヌ）シュート</t>
  </si>
  <si>
    <t>歯（トゥース）ガム</t>
  </si>
  <si>
    <t>たこはちブラック オン・ザ ロック</t>
    <phoneticPr fontId="1"/>
  </si>
  <si>
    <t>火炎星</t>
    <phoneticPr fontId="1"/>
  </si>
  <si>
    <t>タコハチ 吸盤 （ナンバーナイン）</t>
  </si>
  <si>
    <t xml:space="preserve">六刀流 蛸足奇剣 </t>
  </si>
  <si>
    <t>三刀流 刀狼流し （とうろうながし）</t>
  </si>
  <si>
    <t xml:space="preserve">六刀流「タコツボの構え」 新・春  蛸・開げ  体壊 </t>
  </si>
  <si>
    <t xml:space="preserve">六刀流 奥義  六刀の円舞曲 </t>
  </si>
  <si>
    <t xml:space="preserve">海速 腹下し蹴り </t>
  </si>
  <si>
    <t>ケチャップ星</t>
    <rPh sb="5" eb="6">
      <t xml:space="preserve">ホシ </t>
    </rPh>
    <phoneticPr fontId="1"/>
  </si>
  <si>
    <t xml:space="preserve">魚人空手 腕刀切り </t>
    <phoneticPr fontId="1"/>
  </si>
  <si>
    <t>イトマキ組手</t>
    <phoneticPr fontId="1"/>
  </si>
  <si>
    <t>圧迫死直下航路</t>
    <phoneticPr fontId="1"/>
  </si>
  <si>
    <t>火華カカト落とし</t>
    <phoneticPr fontId="1"/>
  </si>
  <si>
    <t>カチ上げ背足</t>
    <phoneticPr fontId="1"/>
  </si>
  <si>
    <t>上段爆掌</t>
    <phoneticPr fontId="1"/>
  </si>
  <si>
    <t>魚人空手 千枚瓦正拳</t>
    <phoneticPr fontId="1"/>
  </si>
  <si>
    <t>E001-161</t>
  </si>
  <si>
    <t>E001-162</t>
  </si>
  <si>
    <t>E001-164</t>
  </si>
  <si>
    <t>E001-165</t>
  </si>
  <si>
    <t>アーロン一味を撃破する</t>
    <rPh sb="4" eb="6">
      <t>イチミ</t>
    </rPh>
    <rPh sb="7" eb="9">
      <t>ゲキハ</t>
    </rPh>
    <phoneticPr fontId="1"/>
  </si>
  <si>
    <t>麦わらの一味に敗北する</t>
    <rPh sb="0" eb="1">
      <t>ムギ</t>
    </rPh>
    <rPh sb="4" eb="6">
      <t>イチミ</t>
    </rPh>
    <rPh sb="7" eb="9">
      <t>ハイボク</t>
    </rPh>
    <phoneticPr fontId="1"/>
  </si>
  <si>
    <t>海軍見習いとして雑用に励む</t>
    <rPh sb="0" eb="2">
      <t>カイグン</t>
    </rPh>
    <rPh sb="2" eb="4">
      <t>ミナラ</t>
    </rPh>
    <rPh sb="8" eb="10">
      <t>ザツヨウ</t>
    </rPh>
    <rPh sb="11" eb="12">
      <t>ハゲ</t>
    </rPh>
    <phoneticPr fontId="1"/>
  </si>
  <si>
    <t>C001-26</t>
    <phoneticPr fontId="1"/>
  </si>
  <si>
    <t>サム</t>
    <phoneticPr fontId="1"/>
  </si>
  <si>
    <t>ココヤシ村</t>
    <phoneticPr fontId="1"/>
  </si>
  <si>
    <t>長女の結婚式の帰りにアーロンパークに迷い込む、次女の結婚式でアラバスタへ（長女が8歳の夏、かあちゃんと別れ、男手一つで娘達を育ててきたサム。次女は不良娘）</t>
    <rPh sb="0" eb="2">
      <t>チョウジョノ</t>
    </rPh>
    <rPh sb="3" eb="6">
      <t>ケッコn</t>
    </rPh>
    <rPh sb="7" eb="8">
      <t>カエリ</t>
    </rPh>
    <rPh sb="18" eb="19">
      <t>マヨイ</t>
    </rPh>
    <rPh sb="23" eb="25">
      <t>ジジョ</t>
    </rPh>
    <rPh sb="26" eb="29">
      <t>ケッコn</t>
    </rPh>
    <rPh sb="37" eb="39">
      <t>チョウジョ</t>
    </rPh>
    <rPh sb="41" eb="42">
      <t>サイ</t>
    </rPh>
    <rPh sb="43" eb="44">
      <t>ナテゥ</t>
    </rPh>
    <rPh sb="51" eb="52">
      <t>ワカレ</t>
    </rPh>
    <rPh sb="54" eb="56">
      <t>オトコ</t>
    </rPh>
    <rPh sb="56" eb="57">
      <t>ヒト</t>
    </rPh>
    <rPh sb="59" eb="60">
      <t>ムスメ</t>
    </rPh>
    <rPh sb="60" eb="61">
      <t xml:space="preserve">タチ </t>
    </rPh>
    <rPh sb="62" eb="63">
      <t>ソダテ</t>
    </rPh>
    <rPh sb="70" eb="72">
      <t>ジジョ</t>
    </rPh>
    <rPh sb="73" eb="76">
      <t>フリョウ</t>
    </rPh>
    <phoneticPr fontId="1"/>
  </si>
  <si>
    <t>電伝虫</t>
    <rPh sb="0" eb="1">
      <t xml:space="preserve">デンデンムシ </t>
    </rPh>
    <rPh sb="1" eb="2">
      <t>ツタエ</t>
    </rPh>
    <phoneticPr fontId="1"/>
  </si>
  <si>
    <t>世界各地</t>
    <rPh sb="0" eb="4">
      <t>セカイ</t>
    </rPh>
    <phoneticPr fontId="1"/>
  </si>
  <si>
    <t>草（特にアジサイ）</t>
    <rPh sb="0" eb="1">
      <t>クサ</t>
    </rPh>
    <rPh sb="2" eb="3">
      <t>トクニ</t>
    </rPh>
    <phoneticPr fontId="1"/>
  </si>
  <si>
    <t>10種類以上</t>
    <rPh sb="2" eb="4">
      <t>sh</t>
    </rPh>
    <rPh sb="4" eb="6">
      <t>イジョウ</t>
    </rPh>
    <phoneticPr fontId="1"/>
  </si>
  <si>
    <t>ニュース・クー</t>
    <phoneticPr fontId="1"/>
  </si>
  <si>
    <t>魚（特にイワシ）</t>
    <rPh sb="0" eb="1">
      <t>サカナ</t>
    </rPh>
    <rPh sb="2" eb="3">
      <t>トクニ</t>
    </rPh>
    <phoneticPr fontId="1"/>
  </si>
  <si>
    <t>ほぼ全海域に配達（※一部地域を除く）</t>
    <rPh sb="2" eb="5">
      <t>ゼンカイイキ</t>
    </rPh>
    <rPh sb="6" eb="8">
      <t>ハイタテゥ</t>
    </rPh>
    <rPh sb="10" eb="12">
      <t>イチブ</t>
    </rPh>
    <rPh sb="12" eb="14">
      <t>チイキ</t>
    </rPh>
    <rPh sb="15" eb="16">
      <t>ノゾク</t>
    </rPh>
    <phoneticPr fontId="1"/>
  </si>
  <si>
    <t>ブランニュー</t>
  </si>
  <si>
    <t>偉大なる航路</t>
    <rPh sb="0" eb="2">
      <t>イダイン</t>
    </rPh>
    <rPh sb="4" eb="6">
      <t>コウロ</t>
    </rPh>
    <phoneticPr fontId="1"/>
  </si>
  <si>
    <t>海軍本部</t>
    <rPh sb="0" eb="1">
      <t>カイグn</t>
    </rPh>
    <phoneticPr fontId="1"/>
  </si>
  <si>
    <t>ブランマンジェ</t>
    <phoneticPr fontId="1"/>
  </si>
  <si>
    <t>ジョン・ジャイアント</t>
    <phoneticPr fontId="1"/>
  </si>
  <si>
    <t>エルバフ</t>
    <phoneticPr fontId="1"/>
  </si>
  <si>
    <t>中将</t>
    <rPh sb="0" eb="2">
      <t>チュウ</t>
    </rPh>
    <phoneticPr fontId="1"/>
  </si>
  <si>
    <t>海軍初の巨人海兵</t>
    <rPh sb="0" eb="3">
      <t>カイグn</t>
    </rPh>
    <rPh sb="4" eb="8">
      <t>キョジンク</t>
    </rPh>
    <phoneticPr fontId="1"/>
  </si>
  <si>
    <t>パッキー</t>
    <phoneticPr fontId="1"/>
  </si>
  <si>
    <t>イエス海賊団</t>
    <rPh sb="3" eb="5">
      <t>カイ</t>
    </rPh>
    <rPh sb="5" eb="6">
      <t>ダn</t>
    </rPh>
    <phoneticPr fontId="1"/>
  </si>
  <si>
    <t>船員</t>
    <rPh sb="0" eb="2">
      <t>センイn</t>
    </rPh>
    <phoneticPr fontId="1"/>
  </si>
  <si>
    <t>いまやただのチンピラ</t>
    <phoneticPr fontId="1"/>
  </si>
  <si>
    <t>コゼ</t>
    <phoneticPr fontId="1"/>
  </si>
  <si>
    <t>イエス海賊団</t>
    <rPh sb="3" eb="6">
      <t>カイゾクデ</t>
    </rPh>
    <phoneticPr fontId="1"/>
  </si>
  <si>
    <t>パッキーの相棒</t>
    <rPh sb="5" eb="7">
      <t>アイボウ</t>
    </rPh>
    <phoneticPr fontId="1"/>
  </si>
  <si>
    <t>ハンガーさん</t>
    <phoneticPr fontId="1"/>
  </si>
  <si>
    <t>ローグタウン</t>
    <phoneticPr fontId="1"/>
  </si>
  <si>
    <t>ブティック</t>
    <phoneticPr fontId="1"/>
  </si>
  <si>
    <t>店員</t>
    <rPh sb="0" eb="2">
      <t>テンイn</t>
    </rPh>
    <phoneticPr fontId="1"/>
  </si>
  <si>
    <t>いっぽんマツ</t>
  </si>
  <si>
    <t>武器屋</t>
    <rPh sb="0" eb="3">
      <t>ブキ</t>
    </rPh>
    <phoneticPr fontId="1"/>
  </si>
  <si>
    <t>一本うどん</t>
    <rPh sb="0" eb="2">
      <t>イッポ</t>
    </rPh>
    <phoneticPr fontId="1"/>
  </si>
  <si>
    <t>いっぽんウメ</t>
    <phoneticPr fontId="1"/>
  </si>
  <si>
    <t>いっぽんマツの奥さん</t>
    <rPh sb="7" eb="8">
      <t>オク</t>
    </rPh>
    <phoneticPr fontId="1"/>
  </si>
  <si>
    <t>サピー</t>
    <phoneticPr fontId="1"/>
  </si>
  <si>
    <t>魚屋兼漁師</t>
    <rPh sb="0" eb="1">
      <t>サカナ</t>
    </rPh>
    <rPh sb="1" eb="2">
      <t xml:space="preserve">ヤ </t>
    </rPh>
    <rPh sb="2" eb="3">
      <t>ケn</t>
    </rPh>
    <rPh sb="3" eb="5">
      <t>リョウ</t>
    </rPh>
    <phoneticPr fontId="1"/>
  </si>
  <si>
    <t>人間と魚人のハーフ</t>
    <rPh sb="0" eb="2">
      <t>ニンゲn</t>
    </rPh>
    <rPh sb="3" eb="5">
      <t>ギョジn</t>
    </rPh>
    <phoneticPr fontId="1"/>
  </si>
  <si>
    <t>マシカク</t>
    <phoneticPr fontId="1"/>
  </si>
  <si>
    <t>軍曹</t>
    <rPh sb="0" eb="2">
      <t>グンソウ</t>
    </rPh>
    <phoneticPr fontId="1"/>
  </si>
  <si>
    <t>スモーカー</t>
  </si>
  <si>
    <t>白猟のスモーカー</t>
    <rPh sb="0" eb="1">
      <t>ハクリョウ</t>
    </rPh>
    <rPh sb="1" eb="2">
      <t xml:space="preserve">リョウ </t>
    </rPh>
    <phoneticPr fontId="1"/>
  </si>
  <si>
    <t>モクモクの実</t>
    <rPh sb="5" eb="6">
      <t xml:space="preserve">ミ </t>
    </rPh>
    <phoneticPr fontId="1"/>
  </si>
  <si>
    <t>七尺十手</t>
    <rPh sb="0" eb="1">
      <t>7</t>
    </rPh>
    <rPh sb="1" eb="2">
      <t xml:space="preserve">シャク </t>
    </rPh>
    <rPh sb="2" eb="4">
      <t>jitter</t>
    </rPh>
    <phoneticPr fontId="1"/>
  </si>
  <si>
    <t>スモークチキン</t>
    <phoneticPr fontId="1"/>
  </si>
  <si>
    <t>陶芸、カジノ</t>
    <rPh sb="0" eb="2">
      <t>トウゲ</t>
    </rPh>
    <phoneticPr fontId="1"/>
  </si>
  <si>
    <t>ユウ</t>
    <phoneticPr fontId="1"/>
  </si>
  <si>
    <t>ローグ第二小学校</t>
    <rPh sb="3" eb="5">
      <t>ダイ</t>
    </rPh>
    <rPh sb="5" eb="8">
      <t>ショウガッコウ</t>
    </rPh>
    <phoneticPr fontId="1"/>
  </si>
  <si>
    <t>一年生</t>
    <rPh sb="0" eb="1">
      <t>1</t>
    </rPh>
    <rPh sb="1" eb="3">
      <t>ネn</t>
    </rPh>
    <phoneticPr fontId="1"/>
  </si>
  <si>
    <t>アイスをスモーカーにぶつける</t>
    <phoneticPr fontId="1"/>
  </si>
  <si>
    <t>たしぎ</t>
  </si>
  <si>
    <t>ホットコーヒー</t>
    <phoneticPr fontId="1"/>
  </si>
  <si>
    <t>刀の本読書、切り絵</t>
    <rPh sb="0" eb="1">
      <t>カタナ</t>
    </rPh>
    <rPh sb="2" eb="3">
      <t>ホn</t>
    </rPh>
    <rPh sb="3" eb="5">
      <t xml:space="preserve">ドクショ </t>
    </rPh>
    <rPh sb="6" eb="7">
      <t>キリエ</t>
    </rPh>
    <phoneticPr fontId="1"/>
  </si>
  <si>
    <t>C011-01</t>
    <phoneticPr fontId="1"/>
  </si>
  <si>
    <t>C011-02</t>
  </si>
  <si>
    <t>C011-03</t>
  </si>
  <si>
    <t>C011-04</t>
  </si>
  <si>
    <t>C011-05</t>
  </si>
  <si>
    <t>C011-06</t>
  </si>
  <si>
    <t>C011-07</t>
  </si>
  <si>
    <t>C011-08</t>
  </si>
  <si>
    <t>C011-09</t>
  </si>
  <si>
    <t>C011-10</t>
  </si>
  <si>
    <t>C011-11</t>
  </si>
  <si>
    <t>C011-12</t>
  </si>
  <si>
    <t>C011-13</t>
  </si>
  <si>
    <t>C011-14</t>
  </si>
  <si>
    <t>C011-15</t>
  </si>
  <si>
    <t>L-021</t>
  </si>
  <si>
    <t>L-022</t>
  </si>
  <si>
    <t>L-023</t>
  </si>
  <si>
    <t>L-024</t>
  </si>
  <si>
    <t>L-025</t>
  </si>
  <si>
    <t>ポルスター諸島</t>
    <rPh sb="5" eb="7">
      <t>ショトウ</t>
    </rPh>
    <phoneticPr fontId="1"/>
  </si>
  <si>
    <t>F-003</t>
  </si>
  <si>
    <t>F-004</t>
  </si>
  <si>
    <t>F-005</t>
  </si>
  <si>
    <t>自然系</t>
    <rPh sb="0" eb="3">
      <t>シゼn</t>
    </rPh>
    <phoneticPr fontId="1"/>
  </si>
  <si>
    <t>少佐</t>
    <rPh sb="0" eb="2">
      <t>ショウ</t>
    </rPh>
    <phoneticPr fontId="1"/>
  </si>
  <si>
    <t>曹長</t>
    <rPh sb="0" eb="2">
      <t>ソウチョウ</t>
    </rPh>
    <phoneticPr fontId="1"/>
  </si>
  <si>
    <t>-</t>
    <phoneticPr fontId="1"/>
  </si>
  <si>
    <t>半魚人</t>
    <rPh sb="0" eb="1">
      <t>ハン</t>
    </rPh>
    <rPh sb="1" eb="3">
      <t>ギョジn</t>
    </rPh>
    <phoneticPr fontId="1"/>
  </si>
  <si>
    <t>カタツムリ</t>
    <phoneticPr fontId="1"/>
  </si>
  <si>
    <t>鳥</t>
    <rPh sb="0" eb="1">
      <t>トリ</t>
    </rPh>
    <phoneticPr fontId="1"/>
  </si>
  <si>
    <t>巨人</t>
    <rPh sb="0" eb="2">
      <t>キョジン</t>
    </rPh>
    <phoneticPr fontId="1"/>
  </si>
  <si>
    <t>B</t>
    <phoneticPr fontId="1"/>
  </si>
  <si>
    <t>C</t>
    <phoneticPr fontId="1"/>
  </si>
  <si>
    <t>鮫（シャーク）・ON・DARTS</t>
    <rPh sb="0" eb="1">
      <t xml:space="preserve">サメ </t>
    </rPh>
    <phoneticPr fontId="1"/>
  </si>
  <si>
    <t>ゴムゴムの盾</t>
    <rPh sb="5" eb="6">
      <t xml:space="preserve">タテ </t>
    </rPh>
    <phoneticPr fontId="1"/>
  </si>
  <si>
    <t>ゴムゴムの網</t>
    <rPh sb="5" eb="6">
      <t xml:space="preserve">アミ </t>
    </rPh>
    <phoneticPr fontId="1"/>
  </si>
  <si>
    <t>ゴムゴムの槍</t>
    <rPh sb="5" eb="6">
      <t xml:space="preserve">ヤリ </t>
    </rPh>
    <phoneticPr fontId="1"/>
  </si>
  <si>
    <t>鮫・ON・歯車（シャーク・オン・トゥース）</t>
    <rPh sb="0" eb="1">
      <t>サメ</t>
    </rPh>
    <rPh sb="5" eb="7">
      <t xml:space="preserve">ハ </t>
    </rPh>
    <phoneticPr fontId="1"/>
  </si>
  <si>
    <t>航海士</t>
    <rPh sb="0" eb="3">
      <t>コウカイシ</t>
    </rPh>
    <phoneticPr fontId="1"/>
  </si>
  <si>
    <t>少佐</t>
    <rPh sb="0" eb="2">
      <t>ショウサ</t>
    </rPh>
    <phoneticPr fontId="1"/>
  </si>
  <si>
    <t>アーロン一味撃破</t>
    <rPh sb="4" eb="6">
      <t>イチミ</t>
    </rPh>
    <rPh sb="6" eb="8">
      <t>ゲキハ</t>
    </rPh>
    <phoneticPr fontId="1"/>
  </si>
  <si>
    <t>ローグタウンに到着する</t>
    <rPh sb="7" eb="9">
      <t>トウチャク</t>
    </rPh>
    <phoneticPr fontId="1"/>
  </si>
  <si>
    <t>E001-166</t>
  </si>
  <si>
    <t>E001-167</t>
  </si>
  <si>
    <t>E001-168</t>
  </si>
  <si>
    <t>E001-169</t>
  </si>
  <si>
    <t>E001-170</t>
  </si>
  <si>
    <t>E001-171</t>
  </si>
  <si>
    <t>E001-172</t>
  </si>
  <si>
    <t>E001-173</t>
  </si>
  <si>
    <t>E001-174</t>
  </si>
  <si>
    <t>とある島</t>
    <rPh sb="3" eb="4">
      <t>シマ</t>
    </rPh>
    <phoneticPr fontId="1"/>
  </si>
  <si>
    <t>L-022</t>
    <phoneticPr fontId="1"/>
  </si>
  <si>
    <t>赤髪に会う</t>
    <rPh sb="0" eb="2">
      <t>アカガミ</t>
    </rPh>
    <rPh sb="3" eb="4">
      <t>ア</t>
    </rPh>
    <phoneticPr fontId="1"/>
  </si>
  <si>
    <t>鷹の目に会う</t>
    <rPh sb="0" eb="1">
      <t>タカ</t>
    </rPh>
    <rPh sb="2" eb="3">
      <t>メ</t>
    </rPh>
    <rPh sb="4" eb="5">
      <t>ア</t>
    </rPh>
    <phoneticPr fontId="1"/>
  </si>
  <si>
    <t>大頭</t>
    <rPh sb="0" eb="2">
      <t>オオガシラ</t>
    </rPh>
    <phoneticPr fontId="1"/>
  </si>
  <si>
    <t>三代鬼徹</t>
    <rPh sb="0" eb="2">
      <t>サンダ</t>
    </rPh>
    <rPh sb="2" eb="3">
      <t>キテ</t>
    </rPh>
    <rPh sb="3" eb="4">
      <t xml:space="preserve">テツ </t>
    </rPh>
    <phoneticPr fontId="1"/>
  </si>
  <si>
    <t>業物</t>
    <rPh sb="0" eb="2">
      <t>ワザモノ</t>
    </rPh>
    <phoneticPr fontId="1"/>
  </si>
  <si>
    <t>天狗山飛徹</t>
    <rPh sb="0" eb="3">
      <t>テング</t>
    </rPh>
    <rPh sb="3" eb="4">
      <t>ヒテテゥ</t>
    </rPh>
    <rPh sb="4" eb="5">
      <t xml:space="preserve">テツ </t>
    </rPh>
    <phoneticPr fontId="1"/>
  </si>
  <si>
    <t>雪走</t>
    <rPh sb="0" eb="1">
      <t xml:space="preserve">ユキ </t>
    </rPh>
    <rPh sb="1" eb="2">
      <t>ハシル</t>
    </rPh>
    <phoneticPr fontId="1"/>
  </si>
  <si>
    <t>大業物</t>
    <rPh sb="0" eb="3">
      <t>オオワ</t>
    </rPh>
    <phoneticPr fontId="1"/>
  </si>
  <si>
    <t>良業物</t>
    <rPh sb="0" eb="1">
      <t xml:space="preserve">リョウ </t>
    </rPh>
    <rPh sb="1" eb="3">
      <t>オオワ</t>
    </rPh>
    <phoneticPr fontId="1"/>
  </si>
  <si>
    <t>時雨</t>
    <rPh sb="0" eb="2">
      <t>シグレ</t>
    </rPh>
    <phoneticPr fontId="1"/>
  </si>
  <si>
    <t>W-011</t>
  </si>
  <si>
    <t>W-012</t>
  </si>
  <si>
    <t>W-013</t>
  </si>
  <si>
    <t>W-014</t>
  </si>
  <si>
    <t>W-015</t>
  </si>
  <si>
    <t>W-016</t>
  </si>
  <si>
    <t>W-017</t>
  </si>
  <si>
    <t>W-018</t>
  </si>
  <si>
    <t>W-019</t>
  </si>
  <si>
    <t>W-020</t>
  </si>
  <si>
    <t>処刑台を占拠しルフィの処刑を行おうとする</t>
    <rPh sb="0" eb="3">
      <t>ショケイダイ</t>
    </rPh>
    <rPh sb="4" eb="6">
      <t>センキョ</t>
    </rPh>
    <rPh sb="11" eb="13">
      <t>ショケイ</t>
    </rPh>
    <rPh sb="14" eb="15">
      <t>オコナ</t>
    </rPh>
    <phoneticPr fontId="1"/>
  </si>
  <si>
    <t>C011-15</t>
    <phoneticPr fontId="1"/>
  </si>
  <si>
    <t>曹長</t>
    <rPh sb="0" eb="2">
      <t>ソウチョウ</t>
    </rPh>
    <phoneticPr fontId="1"/>
  </si>
  <si>
    <t>C001-08</t>
    <phoneticPr fontId="1"/>
  </si>
  <si>
    <t>E001-163</t>
  </si>
  <si>
    <t>E001-175</t>
  </si>
  <si>
    <t>E001-176</t>
  </si>
  <si>
    <t>E001-177</t>
  </si>
  <si>
    <t>E001-178</t>
  </si>
  <si>
    <t>E001-179</t>
  </si>
  <si>
    <t>E001-180</t>
  </si>
  <si>
    <t>E001-181</t>
  </si>
  <si>
    <t>E001-182</t>
  </si>
  <si>
    <t>E001-183</t>
  </si>
  <si>
    <t>E001-184</t>
  </si>
  <si>
    <t>E001-185</t>
  </si>
  <si>
    <t>E001-186</t>
  </si>
  <si>
    <t>E001-187</t>
  </si>
  <si>
    <t>E001-188</t>
  </si>
  <si>
    <t>E001-189</t>
  </si>
  <si>
    <t>E001-190</t>
  </si>
  <si>
    <t>処刑されそうになる</t>
    <rPh sb="0" eb="2">
      <t>ショケイ</t>
    </rPh>
    <phoneticPr fontId="1"/>
  </si>
  <si>
    <t>麦わらの一味を取り逃がす</t>
    <rPh sb="0" eb="1">
      <t>ムギ</t>
    </rPh>
    <rPh sb="4" eb="6">
      <t>イチミ</t>
    </rPh>
    <rPh sb="7" eb="8">
      <t>ト</t>
    </rPh>
    <rPh sb="9" eb="10">
      <t>ニ</t>
    </rPh>
    <phoneticPr fontId="1"/>
  </si>
  <si>
    <t>C045-01</t>
    <phoneticPr fontId="1"/>
  </si>
  <si>
    <t>モンキー・D・ガープ</t>
  </si>
  <si>
    <t>ガープの軍艦</t>
    <rPh sb="0" eb="2">
      <t>ガープノ</t>
    </rPh>
    <rPh sb="4" eb="5">
      <t>グンカn</t>
    </rPh>
    <phoneticPr fontId="1"/>
  </si>
  <si>
    <t>ゴア王国</t>
    <rPh sb="2" eb="4">
      <t>オウ</t>
    </rPh>
    <phoneticPr fontId="1"/>
  </si>
  <si>
    <t>ゲンコツのガープ/海軍の英雄/伝説の海兵</t>
    <rPh sb="9" eb="11">
      <t>カイグn</t>
    </rPh>
    <rPh sb="12" eb="14">
      <t>エイユウ</t>
    </rPh>
    <rPh sb="15" eb="17">
      <t>デンセテゥ</t>
    </rPh>
    <rPh sb="18" eb="20">
      <t>カイヘイ</t>
    </rPh>
    <phoneticPr fontId="1"/>
  </si>
  <si>
    <t>中将</t>
    <rPh sb="0" eb="1">
      <t>チュウ</t>
    </rPh>
    <phoneticPr fontId="1"/>
  </si>
  <si>
    <t>せんべい、カレー</t>
    <rPh sb="4" eb="5">
      <t>、</t>
    </rPh>
    <phoneticPr fontId="1"/>
  </si>
  <si>
    <t>ピーマン</t>
    <phoneticPr fontId="1"/>
  </si>
  <si>
    <t>せんべいパーティー</t>
    <phoneticPr fontId="1"/>
  </si>
  <si>
    <t>セントバーナード</t>
    <phoneticPr fontId="1"/>
  </si>
  <si>
    <t>Dの一族/掲げる正義「おれの正義」</t>
    <rPh sb="2" eb="4">
      <t>イチゾク</t>
    </rPh>
    <rPh sb="4" eb="5">
      <t>/</t>
    </rPh>
    <rPh sb="5" eb="6">
      <t>カカゲ</t>
    </rPh>
    <rPh sb="8" eb="10">
      <t>セイギ</t>
    </rPh>
    <rPh sb="14" eb="16">
      <t>セイ</t>
    </rPh>
    <phoneticPr fontId="1"/>
  </si>
  <si>
    <t>中将</t>
    <rPh sb="0" eb="2">
      <t>チュウジョウ</t>
    </rPh>
    <phoneticPr fontId="1"/>
  </si>
  <si>
    <t>海軍本部に送検されるも脱走する</t>
    <rPh sb="0" eb="4">
      <t>カイグンホンブ</t>
    </rPh>
    <rPh sb="5" eb="7">
      <t>ソウケン</t>
    </rPh>
    <rPh sb="11" eb="13">
      <t>ダッソウ</t>
    </rPh>
    <phoneticPr fontId="1"/>
  </si>
  <si>
    <t>モーガン送検に立ち会う</t>
    <rPh sb="4" eb="6">
      <t>ソウケン</t>
    </rPh>
    <rPh sb="7" eb="8">
      <t>タ</t>
    </rPh>
    <rPh sb="9" eb="10">
      <t>ア</t>
    </rPh>
    <phoneticPr fontId="1"/>
  </si>
  <si>
    <t>伝説は始まった</t>
    <rPh sb="0" eb="2">
      <t>デンセツ</t>
    </rPh>
    <rPh sb="3" eb="4">
      <t>ハジ</t>
    </rPh>
    <phoneticPr fontId="1"/>
  </si>
  <si>
    <t>ローグタウン</t>
    <phoneticPr fontId="1"/>
  </si>
  <si>
    <t>C012-01</t>
    <phoneticPr fontId="1"/>
  </si>
  <si>
    <t>C012-02</t>
  </si>
  <si>
    <t>C012-03</t>
  </si>
  <si>
    <t>C012-04</t>
  </si>
  <si>
    <t>C012-05</t>
  </si>
  <si>
    <t>C012-06</t>
  </si>
  <si>
    <t>C012-07</t>
  </si>
  <si>
    <t>C012-08</t>
  </si>
  <si>
    <t>C012-09</t>
  </si>
  <si>
    <t>C012-10</t>
  </si>
  <si>
    <t>C012-11</t>
  </si>
  <si>
    <t>C012-12</t>
  </si>
  <si>
    <t>C012-13</t>
  </si>
  <si>
    <t>C012-14</t>
  </si>
  <si>
    <t>モンキー・D・ドラゴン</t>
  </si>
  <si>
    <t>ヴィント・グランマ号</t>
    <rPh sb="9" eb="10">
      <t>ゴウ</t>
    </rPh>
    <phoneticPr fontId="1"/>
  </si>
  <si>
    <t>革命軍</t>
    <rPh sb="0" eb="3">
      <t>カクメイグ</t>
    </rPh>
    <phoneticPr fontId="1"/>
  </si>
  <si>
    <t>総司令官</t>
    <rPh sb="0" eb="4">
      <t>ソウシレイ</t>
    </rPh>
    <phoneticPr fontId="1"/>
  </si>
  <si>
    <t>ボカディート</t>
    <phoneticPr fontId="1"/>
  </si>
  <si>
    <t>ラブーン</t>
  </si>
  <si>
    <t>ルンバー海賊団</t>
    <rPh sb="4" eb="7">
      <t>カイゾク</t>
    </rPh>
    <phoneticPr fontId="1"/>
  </si>
  <si>
    <t>ペット</t>
    <phoneticPr fontId="1"/>
  </si>
  <si>
    <t>大王イカ</t>
    <rPh sb="0" eb="2">
      <t>ダイオウ</t>
    </rPh>
    <phoneticPr fontId="1"/>
  </si>
  <si>
    <t>アイランドクジラ</t>
    <phoneticPr fontId="1"/>
  </si>
  <si>
    <t>クロッカス</t>
  </si>
  <si>
    <t>元ロジャー海賊団</t>
    <rPh sb="0" eb="1">
      <t>モト</t>
    </rPh>
    <rPh sb="5" eb="8">
      <t>カイゾク</t>
    </rPh>
    <phoneticPr fontId="1"/>
  </si>
  <si>
    <t>船医</t>
    <rPh sb="0" eb="2">
      <t>センイ</t>
    </rPh>
    <phoneticPr fontId="1"/>
  </si>
  <si>
    <t>XF /AB</t>
    <phoneticPr fontId="1"/>
  </si>
  <si>
    <t>大王イカ焼き</t>
    <rPh sb="0" eb="2">
      <t>ダイオウ</t>
    </rPh>
    <rPh sb="4" eb="5">
      <t xml:space="preserve">ヤキ </t>
    </rPh>
    <phoneticPr fontId="1"/>
  </si>
  <si>
    <t>アラバスタ王国</t>
    <rPh sb="5" eb="7">
      <t>オウコク</t>
    </rPh>
    <phoneticPr fontId="1"/>
  </si>
  <si>
    <t>カレー、プリン、ムルキーヤ</t>
    <phoneticPr fontId="1"/>
  </si>
  <si>
    <t>スルメ</t>
    <phoneticPr fontId="1"/>
  </si>
  <si>
    <t>ハト</t>
    <phoneticPr fontId="1"/>
  </si>
  <si>
    <t>ミス・ウェンズデー/元・麦わらの一味/王族/Dの一族</t>
    <rPh sb="10" eb="11">
      <t>モト</t>
    </rPh>
    <rPh sb="12" eb="13">
      <t>ムギワル</t>
    </rPh>
    <rPh sb="16" eb="18">
      <t>イチミ</t>
    </rPh>
    <rPh sb="19" eb="21">
      <t>オウ</t>
    </rPh>
    <rPh sb="24" eb="26">
      <t>イティ</t>
    </rPh>
    <phoneticPr fontId="1"/>
  </si>
  <si>
    <t>Mr.9</t>
    <phoneticPr fontId="1"/>
  </si>
  <si>
    <t>元B・Wエージェント</t>
    <rPh sb="0" eb="1">
      <t>モト</t>
    </rPh>
    <phoneticPr fontId="1"/>
  </si>
  <si>
    <t>Mr.13</t>
    <phoneticPr fontId="1"/>
  </si>
  <si>
    <t>”13日の金曜日”（アンラッキーズ）</t>
    <rPh sb="3" eb="4">
      <t>ニティ</t>
    </rPh>
    <rPh sb="5" eb="8">
      <t>キンヨウ</t>
    </rPh>
    <phoneticPr fontId="1"/>
  </si>
  <si>
    <t>バロック・ワークス</t>
    <phoneticPr fontId="1"/>
  </si>
  <si>
    <t>エージェント</t>
    <phoneticPr fontId="1"/>
  </si>
  <si>
    <t>ラッコ</t>
    <phoneticPr fontId="1"/>
  </si>
  <si>
    <t>ミス・フライデー</t>
    <phoneticPr fontId="1"/>
  </si>
  <si>
    <t>ハゲタカ</t>
    <phoneticPr fontId="1"/>
  </si>
  <si>
    <t>雪だるさん</t>
    <rPh sb="0" eb="1">
      <t xml:space="preserve">ユキ </t>
    </rPh>
    <phoneticPr fontId="1"/>
  </si>
  <si>
    <t>メリー号船上</t>
    <rPh sb="4" eb="6">
      <t>セn</t>
    </rPh>
    <phoneticPr fontId="1"/>
  </si>
  <si>
    <t>雪だるま</t>
    <rPh sb="0" eb="1">
      <t>ユキ</t>
    </rPh>
    <phoneticPr fontId="1"/>
  </si>
  <si>
    <t>スノウクイーン</t>
    <phoneticPr fontId="1"/>
  </si>
  <si>
    <t>メリー号船上</t>
    <rPh sb="4" eb="6">
      <t>センジョウ</t>
    </rPh>
    <phoneticPr fontId="1"/>
  </si>
  <si>
    <t>雪像</t>
    <rPh sb="0" eb="2">
      <t>セツゾウ</t>
    </rPh>
    <phoneticPr fontId="1"/>
  </si>
  <si>
    <t>ミス・キャサリーナ</t>
    <phoneticPr fontId="1"/>
  </si>
  <si>
    <t>Mr.ビーンズ</t>
    <phoneticPr fontId="1"/>
  </si>
  <si>
    <t>偉大なる航路</t>
    <rPh sb="0" eb="1">
      <t>イダイ</t>
    </rPh>
    <rPh sb="4" eb="5">
      <t>コウロ</t>
    </rPh>
    <phoneticPr fontId="1"/>
  </si>
  <si>
    <t>賞金稼ぎ</t>
    <rPh sb="0" eb="1">
      <t>ショウキn</t>
    </rPh>
    <phoneticPr fontId="1"/>
  </si>
  <si>
    <t>ミス・キャサリーナのパートナー</t>
    <phoneticPr fontId="1"/>
  </si>
  <si>
    <t>サックス（散弾銃）</t>
    <rPh sb="5" eb="8">
      <t>サンダンジュウ</t>
    </rPh>
    <phoneticPr fontId="1"/>
  </si>
  <si>
    <t>ちくわ</t>
    <phoneticPr fontId="1"/>
  </si>
  <si>
    <t>変装</t>
    <rPh sb="0" eb="2">
      <t>ヘンソウ</t>
    </rPh>
    <phoneticPr fontId="1"/>
  </si>
  <si>
    <t>Mr.8</t>
    <phoneticPr fontId="1"/>
  </si>
  <si>
    <t>Mr.シミズ</t>
    <phoneticPr fontId="1"/>
  </si>
  <si>
    <t>サンジに群がる女性に紛れ、飲み会に参加する粋なオヤジ</t>
    <rPh sb="4" eb="5">
      <t>ムラガル</t>
    </rPh>
    <rPh sb="7" eb="9">
      <t>ジョセイ</t>
    </rPh>
    <rPh sb="10" eb="11">
      <t>マギレ</t>
    </rPh>
    <rPh sb="13" eb="14">
      <t>ノミ</t>
    </rPh>
    <rPh sb="17" eb="19">
      <t>サンカ</t>
    </rPh>
    <rPh sb="21" eb="22">
      <t xml:space="preserve">イキナ </t>
    </rPh>
    <phoneticPr fontId="1"/>
  </si>
  <si>
    <t>ミス・マンデー</t>
    <phoneticPr fontId="1"/>
  </si>
  <si>
    <t>Mr.8のパートナー</t>
    <phoneticPr fontId="1"/>
  </si>
  <si>
    <t>世界最悪の犯罪者</t>
    <rPh sb="0" eb="4">
      <t>セカイ</t>
    </rPh>
    <rPh sb="5" eb="8">
      <t>ハンザイ</t>
    </rPh>
    <phoneticPr fontId="1"/>
  </si>
  <si>
    <t>M-101</t>
  </si>
  <si>
    <t>M-102</t>
  </si>
  <si>
    <t>M-103</t>
  </si>
  <si>
    <t>M-104</t>
  </si>
  <si>
    <t>M-105</t>
  </si>
  <si>
    <t>M-106</t>
  </si>
  <si>
    <t>M-107</t>
  </si>
  <si>
    <t>M-108</t>
  </si>
  <si>
    <t>M-109</t>
  </si>
  <si>
    <t>M-110</t>
  </si>
  <si>
    <t>バラバラカー</t>
    <phoneticPr fontId="1"/>
  </si>
  <si>
    <t>爆弾エンジン</t>
    <rPh sb="0" eb="2">
      <t>バク</t>
    </rPh>
    <phoneticPr fontId="1"/>
  </si>
  <si>
    <t>スベスベシュプール</t>
    <phoneticPr fontId="1"/>
  </si>
  <si>
    <t>ホワイト・アウト</t>
    <phoneticPr fontId="1"/>
  </si>
  <si>
    <t>ホワイト・ブロー</t>
    <phoneticPr fontId="1"/>
  </si>
  <si>
    <t>新鮮卵星</t>
    <rPh sb="0" eb="2">
      <t>シンセn</t>
    </rPh>
    <rPh sb="2" eb="3">
      <t>タマゴ</t>
    </rPh>
    <rPh sb="3" eb="4">
      <t>ホセィ</t>
    </rPh>
    <phoneticPr fontId="1"/>
  </si>
  <si>
    <t>ゴムゴムの生け花</t>
    <rPh sb="5" eb="8">
      <t>イケバナ</t>
    </rPh>
    <phoneticPr fontId="1"/>
  </si>
  <si>
    <t>雪だるパンチ</t>
    <rPh sb="0" eb="1">
      <t>ユキ</t>
    </rPh>
    <phoneticPr fontId="1"/>
  </si>
  <si>
    <t>イガラッパ</t>
    <phoneticPr fontId="1"/>
  </si>
  <si>
    <t>神のご加護目潰し</t>
    <rPh sb="0" eb="1">
      <t xml:space="preserve">カミノ </t>
    </rPh>
    <rPh sb="5" eb="7">
      <t>メテゥ</t>
    </rPh>
    <phoneticPr fontId="1"/>
  </si>
  <si>
    <t>二刀流”鷹波”</t>
    <rPh sb="0" eb="3">
      <t>ニトウ</t>
    </rPh>
    <rPh sb="4" eb="5">
      <t xml:space="preserve">タカ </t>
    </rPh>
    <rPh sb="5" eb="6">
      <t xml:space="preserve">ナミ </t>
    </rPh>
    <phoneticPr fontId="1"/>
  </si>
  <si>
    <t>カ・イ・リ・キ　メリケン</t>
    <phoneticPr fontId="1"/>
  </si>
  <si>
    <t>C001-17</t>
    <phoneticPr fontId="1"/>
  </si>
  <si>
    <t>革命軍</t>
    <rPh sb="0" eb="3">
      <t>カクメイグン</t>
    </rPh>
    <phoneticPr fontId="1"/>
  </si>
  <si>
    <t>犯罪組織</t>
    <rPh sb="0" eb="4">
      <t>ハンザイソシキ</t>
    </rPh>
    <phoneticPr fontId="1"/>
  </si>
  <si>
    <t>ミス・ウェンズデー</t>
    <phoneticPr fontId="1"/>
  </si>
  <si>
    <t>L-021</t>
    <phoneticPr fontId="1"/>
  </si>
  <si>
    <t>乱戦</t>
  </si>
  <si>
    <t>E001-191</t>
  </si>
  <si>
    <t>E001-192</t>
  </si>
  <si>
    <t>E001-193</t>
  </si>
  <si>
    <t>E001-194</t>
  </si>
  <si>
    <t>E001-195</t>
  </si>
  <si>
    <t>E001-196</t>
  </si>
  <si>
    <t>E001-197</t>
  </si>
  <si>
    <t>E001-198</t>
  </si>
  <si>
    <t>E001-199</t>
  </si>
  <si>
    <t>E001-200</t>
  </si>
  <si>
    <t>凪の帯</t>
    <rPh sb="0" eb="1">
      <t xml:space="preserve">ナギ </t>
    </rPh>
    <rPh sb="2" eb="3">
      <t>オビ</t>
    </rPh>
    <phoneticPr fontId="1"/>
  </si>
  <si>
    <t>東の海付近凪の帯</t>
    <rPh sb="0" eb="1">
      <t>ヒガシ</t>
    </rPh>
    <rPh sb="2" eb="3">
      <t>ウミ</t>
    </rPh>
    <rPh sb="3" eb="5">
      <t>フキン</t>
    </rPh>
    <phoneticPr fontId="1"/>
  </si>
  <si>
    <t>凪の帯に入る</t>
    <rPh sb="4" eb="5">
      <t>ハイ</t>
    </rPh>
    <phoneticPr fontId="1"/>
  </si>
  <si>
    <t>赤い土の大陸</t>
    <rPh sb="0" eb="1">
      <t>アカイ</t>
    </rPh>
    <rPh sb="2" eb="3">
      <t>ツティ</t>
    </rPh>
    <rPh sb="4" eb="6">
      <t>タイリク</t>
    </rPh>
    <phoneticPr fontId="1"/>
  </si>
  <si>
    <t>リヴァース・マウンテン</t>
  </si>
  <si>
    <t>L-024</t>
    <phoneticPr fontId="1"/>
  </si>
  <si>
    <t>-</t>
    <phoneticPr fontId="1"/>
  </si>
  <si>
    <t>アイランドクジラ</t>
    <phoneticPr fontId="1"/>
  </si>
  <si>
    <t>ラッコ</t>
    <phoneticPr fontId="1"/>
  </si>
  <si>
    <t>ハゲタカ</t>
    <phoneticPr fontId="1"/>
  </si>
  <si>
    <t>ルフィを逃がす</t>
    <rPh sb="4" eb="5">
      <t>ニ</t>
    </rPh>
    <phoneticPr fontId="1"/>
  </si>
  <si>
    <t>E001-201</t>
  </si>
  <si>
    <t>E001-202</t>
  </si>
  <si>
    <t>E001-203</t>
  </si>
  <si>
    <t>E001-204</t>
  </si>
  <si>
    <t>E001-205</t>
  </si>
  <si>
    <t>E001-206</t>
  </si>
  <si>
    <t>E001-207</t>
  </si>
  <si>
    <t>E001-208</t>
  </si>
  <si>
    <t>E001-209</t>
  </si>
  <si>
    <t>E001-210</t>
  </si>
  <si>
    <t>双子岬</t>
    <rPh sb="0" eb="2">
      <t>フタゴ</t>
    </rPh>
    <rPh sb="2" eb="3">
      <t>ミサキ</t>
    </rPh>
    <phoneticPr fontId="1"/>
  </si>
  <si>
    <t>L-026</t>
  </si>
  <si>
    <t>L-027</t>
  </si>
  <si>
    <t>L-028</t>
  </si>
  <si>
    <t>L-029</t>
  </si>
  <si>
    <t>L-030</t>
  </si>
  <si>
    <t>L-025</t>
    <phoneticPr fontId="1"/>
  </si>
  <si>
    <t>アラバスタ</t>
    <phoneticPr fontId="1"/>
  </si>
  <si>
    <t>偉大なる航路突入</t>
    <rPh sb="0" eb="2">
      <t>イダイ</t>
    </rPh>
    <rPh sb="4" eb="6">
      <t>コウロ</t>
    </rPh>
    <rPh sb="6" eb="8">
      <t>トツニュウ</t>
    </rPh>
    <phoneticPr fontId="1"/>
  </si>
  <si>
    <t>双子岬</t>
    <rPh sb="0" eb="3">
      <t>フタゴミサキ</t>
    </rPh>
    <phoneticPr fontId="1"/>
  </si>
  <si>
    <t>双子岬に滞在する</t>
    <rPh sb="0" eb="3">
      <t>フタゴミサキ</t>
    </rPh>
    <rPh sb="4" eb="6">
      <t>タイザイ</t>
    </rPh>
    <phoneticPr fontId="1"/>
  </si>
  <si>
    <t>捕鯨に失敗する</t>
    <rPh sb="0" eb="2">
      <t>ホゲイ</t>
    </rPh>
    <rPh sb="3" eb="5">
      <t>シッパイ</t>
    </rPh>
    <phoneticPr fontId="1"/>
  </si>
  <si>
    <t>パワポの横cm</t>
    <rPh sb="4" eb="5">
      <t>ヨコ</t>
    </rPh>
    <phoneticPr fontId="1"/>
  </si>
  <si>
    <t>パワポの縦cm</t>
    <rPh sb="4" eb="5">
      <t>タテ</t>
    </rPh>
    <phoneticPr fontId="1"/>
  </si>
  <si>
    <t>X座標</t>
    <rPh sb="1" eb="3">
      <t>ザヒョウ</t>
    </rPh>
    <phoneticPr fontId="1"/>
  </si>
  <si>
    <t>Y座標</t>
    <rPh sb="1" eb="3">
      <t>ザヒョウ</t>
    </rPh>
    <phoneticPr fontId="1"/>
  </si>
  <si>
    <t>仮説</t>
    <rPh sb="0" eb="2">
      <t>カセツ</t>
    </rPh>
    <phoneticPr fontId="1"/>
  </si>
  <si>
    <t>ウイスキーピーク</t>
    <phoneticPr fontId="1"/>
  </si>
  <si>
    <t>ルフィらに出会う</t>
    <rPh sb="5" eb="7">
      <t>デア</t>
    </rPh>
    <phoneticPr fontId="1"/>
  </si>
  <si>
    <t>C012-03</t>
    <phoneticPr fontId="1"/>
  </si>
  <si>
    <t>ラブーンと出会う</t>
    <rPh sb="5" eb="7">
      <t>デア</t>
    </rPh>
    <phoneticPr fontId="1"/>
  </si>
  <si>
    <t>双子岬</t>
    <rPh sb="0" eb="3">
      <t>フタゴミサキ</t>
    </rPh>
    <phoneticPr fontId="1"/>
  </si>
  <si>
    <t>灯台守</t>
    <rPh sb="0" eb="3">
      <t>トウダイモリ</t>
    </rPh>
    <phoneticPr fontId="1"/>
  </si>
  <si>
    <t>G-008</t>
    <phoneticPr fontId="1"/>
  </si>
  <si>
    <t>L-026</t>
    <phoneticPr fontId="1"/>
  </si>
  <si>
    <t>ウイスキーピークに上陸</t>
    <rPh sb="9" eb="11">
      <t>ジョウリク</t>
    </rPh>
    <phoneticPr fontId="1"/>
  </si>
  <si>
    <t>E001-211</t>
  </si>
  <si>
    <t>E001-212</t>
  </si>
  <si>
    <t>E001-213</t>
  </si>
  <si>
    <t>E001-214</t>
  </si>
  <si>
    <t>E001-215</t>
  </si>
  <si>
    <t>E001-216</t>
  </si>
  <si>
    <t>E001-217</t>
  </si>
  <si>
    <t>E001-218</t>
  </si>
  <si>
    <t>E001-219</t>
  </si>
  <si>
    <t>E001-220</t>
  </si>
  <si>
    <t>賞金稼ぎ100人斬り</t>
    <rPh sb="0" eb="3">
      <t>ショウキンカセ</t>
    </rPh>
    <rPh sb="7" eb="8">
      <t>ニン</t>
    </rPh>
    <rPh sb="8" eb="9">
      <t>ギ</t>
    </rPh>
    <phoneticPr fontId="1"/>
  </si>
  <si>
    <t>送検船から脱出する</t>
    <rPh sb="0" eb="2">
      <t>ソウケン</t>
    </rPh>
    <rPh sb="2" eb="3">
      <t>セン</t>
    </rPh>
    <rPh sb="5" eb="7">
      <t>ダッシュツ</t>
    </rPh>
    <phoneticPr fontId="1"/>
  </si>
  <si>
    <t>M-001</t>
    <phoneticPr fontId="1"/>
  </si>
  <si>
    <t>M-007</t>
    <phoneticPr fontId="1"/>
  </si>
  <si>
    <t>フロンティアエージェント</t>
    <phoneticPr fontId="1"/>
  </si>
  <si>
    <t>ウイスキーピーク</t>
    <phoneticPr fontId="1"/>
  </si>
  <si>
    <t>C013-01</t>
    <phoneticPr fontId="1"/>
  </si>
  <si>
    <t>C013-02</t>
  </si>
  <si>
    <t>C013-03</t>
  </si>
  <si>
    <t>C013-04</t>
  </si>
  <si>
    <t>C013-05</t>
  </si>
  <si>
    <t>C013-06</t>
  </si>
  <si>
    <t>C013-07</t>
  </si>
  <si>
    <t>C013-08</t>
  </si>
  <si>
    <t>C013-09</t>
  </si>
  <si>
    <t>C013-10</t>
  </si>
  <si>
    <t>C013-11</t>
  </si>
  <si>
    <t>カルー</t>
  </si>
  <si>
    <t>超カルガモ部隊</t>
    <rPh sb="0" eb="1">
      <t>チョウカルガモ</t>
    </rPh>
    <rPh sb="5" eb="7">
      <t>ブタイ</t>
    </rPh>
    <phoneticPr fontId="1"/>
  </si>
  <si>
    <t>冷たい水、ボルティ</t>
    <rPh sb="0" eb="1">
      <t>ツメタイ</t>
    </rPh>
    <phoneticPr fontId="1"/>
  </si>
  <si>
    <t>超カルガモ</t>
    <rPh sb="0" eb="1">
      <t>チョウ</t>
    </rPh>
    <phoneticPr fontId="1"/>
  </si>
  <si>
    <t>ポップロックキャンディ号</t>
    <rPh sb="11" eb="12">
      <t>ゴウ</t>
    </rPh>
    <phoneticPr fontId="1"/>
  </si>
  <si>
    <t>南の海</t>
    <phoneticPr fontId="1"/>
  </si>
  <si>
    <t>国境のジェム</t>
    <rPh sb="0" eb="2">
      <t>コッキョウ</t>
    </rPh>
    <phoneticPr fontId="1"/>
  </si>
  <si>
    <t>ボムボムの実</t>
    <rPh sb="5" eb="6">
      <t xml:space="preserve">ミ </t>
    </rPh>
    <phoneticPr fontId="1"/>
  </si>
  <si>
    <t>フリントロック式44口径6連発リボルバー</t>
    <rPh sb="7" eb="8">
      <t>シキ</t>
    </rPh>
    <rPh sb="10" eb="12">
      <t>コウケイ</t>
    </rPh>
    <rPh sb="13" eb="15">
      <t>レンパテゥ</t>
    </rPh>
    <phoneticPr fontId="1"/>
  </si>
  <si>
    <t>火薬茶、上質な火薬、かやくご飯</t>
    <rPh sb="0" eb="2">
      <t>カヤク</t>
    </rPh>
    <rPh sb="2" eb="3">
      <t xml:space="preserve">チャ </t>
    </rPh>
    <rPh sb="4" eb="6">
      <t>ジョウセィ</t>
    </rPh>
    <rPh sb="7" eb="9">
      <t>カヤク</t>
    </rPh>
    <phoneticPr fontId="1"/>
  </si>
  <si>
    <t>元B・Wオフィサーエージェント</t>
    <rPh sb="0" eb="1">
      <t>モト</t>
    </rPh>
    <phoneticPr fontId="1"/>
  </si>
  <si>
    <t>西の海</t>
    <phoneticPr fontId="1"/>
  </si>
  <si>
    <t>運び屋ミキータ</t>
    <rPh sb="0" eb="1">
      <t>ハコ</t>
    </rPh>
    <phoneticPr fontId="1"/>
  </si>
  <si>
    <t>キロキロの実</t>
    <rPh sb="5" eb="6">
      <t xml:space="preserve">ミ </t>
    </rPh>
    <phoneticPr fontId="1"/>
  </si>
  <si>
    <t>レモンティー、チョコレート</t>
    <phoneticPr fontId="1"/>
  </si>
  <si>
    <t>へのへのうんち</t>
    <phoneticPr fontId="1"/>
  </si>
  <si>
    <t>ダミー人形</t>
    <rPh sb="3" eb="5">
      <t>ニn</t>
    </rPh>
    <phoneticPr fontId="1"/>
  </si>
  <si>
    <t>ブロントザウルス</t>
    <phoneticPr fontId="1"/>
  </si>
  <si>
    <t>リトルガーデン</t>
    <phoneticPr fontId="1"/>
  </si>
  <si>
    <t>恐竜</t>
    <rPh sb="0" eb="2">
      <t>キョウリュウ</t>
    </rPh>
    <phoneticPr fontId="1"/>
  </si>
  <si>
    <t>ルイ・アーノート</t>
    <phoneticPr fontId="1"/>
  </si>
  <si>
    <t>探検家</t>
    <rPh sb="0" eb="3">
      <t>タンケンカ</t>
    </rPh>
    <phoneticPr fontId="1"/>
  </si>
  <si>
    <t>著書「ブラッグメン（うそつき達）」</t>
    <rPh sb="0" eb="2">
      <t>チョショ</t>
    </rPh>
    <rPh sb="14" eb="15">
      <t xml:space="preserve">タチ </t>
    </rPh>
    <phoneticPr fontId="1"/>
  </si>
  <si>
    <t>ブロギー</t>
  </si>
  <si>
    <t>グレート・エイリーク号</t>
    <rPh sb="10" eb="11">
      <t>ゴウ</t>
    </rPh>
    <phoneticPr fontId="1"/>
  </si>
  <si>
    <t>赤鬼のブロギー</t>
    <rPh sb="0" eb="2">
      <t>アカオニ</t>
    </rPh>
    <phoneticPr fontId="1"/>
  </si>
  <si>
    <t>元巨兵海賊団</t>
    <rPh sb="0" eb="1">
      <t>モト</t>
    </rPh>
    <rPh sb="1" eb="3">
      <t>キョヘイ</t>
    </rPh>
    <rPh sb="3" eb="6">
      <t>カイゾク</t>
    </rPh>
    <phoneticPr fontId="1"/>
  </si>
  <si>
    <t>戦斧ブルーザーアックス</t>
    <rPh sb="0" eb="1">
      <t>イクサ</t>
    </rPh>
    <rPh sb="1" eb="2">
      <t xml:space="preserve">オノ </t>
    </rPh>
    <phoneticPr fontId="1"/>
  </si>
  <si>
    <t>ビール、トリケラトプスの肉</t>
    <rPh sb="12" eb="13">
      <t>ニク</t>
    </rPh>
    <phoneticPr fontId="1"/>
  </si>
  <si>
    <t>巨人族</t>
    <rPh sb="0" eb="3">
      <t>キョジンズ</t>
    </rPh>
    <phoneticPr fontId="1"/>
  </si>
  <si>
    <t>ドリー</t>
  </si>
  <si>
    <t>青鬼のドリー</t>
    <rPh sb="0" eb="2">
      <t>アオオニ</t>
    </rPh>
    <phoneticPr fontId="1"/>
  </si>
  <si>
    <t>巨剣テリーソード</t>
    <rPh sb="0" eb="1">
      <t>キョケn</t>
    </rPh>
    <rPh sb="1" eb="2">
      <t xml:space="preserve">ケン </t>
    </rPh>
    <phoneticPr fontId="1"/>
  </si>
  <si>
    <t>ビール、首長竜の肉</t>
    <rPh sb="4" eb="7">
      <t>クビナガ</t>
    </rPh>
    <rPh sb="8" eb="9">
      <t>ニク</t>
    </rPh>
    <phoneticPr fontId="1"/>
  </si>
  <si>
    <t>サムライ・バッツ</t>
    <phoneticPr fontId="1"/>
  </si>
  <si>
    <t>キューカ島にサーフボードを持ち込む</t>
    <rPh sb="4" eb="5">
      <t>シマ</t>
    </rPh>
    <rPh sb="13" eb="14">
      <t>モチコム</t>
    </rPh>
    <phoneticPr fontId="1"/>
  </si>
  <si>
    <t>闇金ギャルディーノ</t>
    <rPh sb="0" eb="2">
      <t>ヤミ</t>
    </rPh>
    <phoneticPr fontId="1"/>
  </si>
  <si>
    <t>ドルドルの実</t>
    <rPh sb="5" eb="6">
      <t xml:space="preserve">ミ </t>
    </rPh>
    <phoneticPr fontId="1"/>
  </si>
  <si>
    <t>紅茶（アールグレイ）、紅茶に合うクッキー</t>
    <rPh sb="0" eb="2">
      <t>コウチャ</t>
    </rPh>
    <rPh sb="11" eb="13">
      <t>コウチャ</t>
    </rPh>
    <rPh sb="14" eb="15">
      <t xml:space="preserve">アウ </t>
    </rPh>
    <phoneticPr fontId="1"/>
  </si>
  <si>
    <t>元B・Wオフィサーエージェント/Mr.3/姑息な大犯罪</t>
    <rPh sb="0" eb="1">
      <t>モト</t>
    </rPh>
    <rPh sb="21" eb="23">
      <t>コソク</t>
    </rPh>
    <rPh sb="24" eb="27">
      <t>ダイハンザイ</t>
    </rPh>
    <phoneticPr fontId="1"/>
  </si>
  <si>
    <t>智略天然丸</t>
    <rPh sb="0" eb="2">
      <t>チリャク</t>
    </rPh>
    <rPh sb="2" eb="4">
      <t>テンネn</t>
    </rPh>
    <rPh sb="4" eb="5">
      <t>マル</t>
    </rPh>
    <phoneticPr fontId="1"/>
  </si>
  <si>
    <t>自由の旗手マリアンヌ</t>
    <rPh sb="0" eb="2">
      <t>ジユウ</t>
    </rPh>
    <rPh sb="3" eb="5">
      <t>キシュ</t>
    </rPh>
    <phoneticPr fontId="1"/>
  </si>
  <si>
    <t>カラーズトラップ</t>
    <phoneticPr fontId="1"/>
  </si>
  <si>
    <t>せんべい、緑茶</t>
    <rPh sb="5" eb="7">
      <t>リョク</t>
    </rPh>
    <phoneticPr fontId="1"/>
  </si>
  <si>
    <t>オハラ</t>
    <phoneticPr fontId="1"/>
  </si>
  <si>
    <t>”悪魔の子”ニコ・ロビン</t>
    <rPh sb="1" eb="3">
      <t>アク</t>
    </rPh>
    <phoneticPr fontId="1"/>
  </si>
  <si>
    <t>ハナハナの実</t>
    <rPh sb="5" eb="6">
      <t xml:space="preserve">ミ </t>
    </rPh>
    <phoneticPr fontId="1"/>
  </si>
  <si>
    <t>サンドウィッチ、甘すぎないケーキ、コーヒーに合う物</t>
    <rPh sb="8" eb="9">
      <t>アマスギ</t>
    </rPh>
    <rPh sb="22" eb="23">
      <t>アウモン</t>
    </rPh>
    <rPh sb="24" eb="25">
      <t xml:space="preserve">モノ </t>
    </rPh>
    <phoneticPr fontId="1"/>
  </si>
  <si>
    <t>ガム（のみこめないから）</t>
    <phoneticPr fontId="1"/>
  </si>
  <si>
    <t>つる</t>
    <phoneticPr fontId="1"/>
  </si>
  <si>
    <t>99/59/89、元B・W副社長（最高司令官）</t>
    <rPh sb="9" eb="10">
      <t>モト</t>
    </rPh>
    <rPh sb="13" eb="16">
      <t>フクシャチョウ</t>
    </rPh>
    <rPh sb="17" eb="22">
      <t>サイコウ</t>
    </rPh>
    <phoneticPr fontId="1"/>
  </si>
  <si>
    <t>C013-12</t>
  </si>
  <si>
    <t>S-017</t>
  </si>
  <si>
    <t>S-018</t>
  </si>
  <si>
    <t>S-019</t>
  </si>
  <si>
    <t>S-020</t>
  </si>
  <si>
    <t>ミス・オールサンデー</t>
    <phoneticPr fontId="1"/>
  </si>
  <si>
    <t xml:space="preserve"> Mr.3</t>
    <phoneticPr fontId="1"/>
  </si>
  <si>
    <t xml:space="preserve"> Mr.5</t>
    <phoneticPr fontId="1"/>
  </si>
  <si>
    <t>F-006</t>
  </si>
  <si>
    <t>F-007</t>
  </si>
  <si>
    <t>F-008</t>
  </si>
  <si>
    <t>F-009</t>
  </si>
  <si>
    <t>F-010</t>
  </si>
  <si>
    <t>Mr.3</t>
    <phoneticPr fontId="1"/>
  </si>
  <si>
    <t>ミス・ゴールデンウィーク</t>
    <phoneticPr fontId="1"/>
  </si>
  <si>
    <t>ミス・バレンタイン</t>
    <phoneticPr fontId="1"/>
  </si>
  <si>
    <t>Mr.5</t>
    <phoneticPr fontId="1"/>
  </si>
  <si>
    <t>G-021</t>
  </si>
  <si>
    <t>G-022</t>
  </si>
  <si>
    <t>G-023</t>
  </si>
  <si>
    <t>G-024</t>
  </si>
  <si>
    <t>G-025</t>
  </si>
  <si>
    <t>巨人島</t>
    <rPh sb="0" eb="3">
      <t>キョジn</t>
    </rPh>
    <phoneticPr fontId="1"/>
  </si>
  <si>
    <t>G-019</t>
    <phoneticPr fontId="1"/>
  </si>
  <si>
    <t>-</t>
    <phoneticPr fontId="1"/>
  </si>
  <si>
    <t>超カルガモ</t>
    <rPh sb="0" eb="1">
      <t>チョウ</t>
    </rPh>
    <phoneticPr fontId="1"/>
  </si>
  <si>
    <t>恐竜</t>
    <rPh sb="0" eb="2">
      <t>キョウリュウ</t>
    </rPh>
    <phoneticPr fontId="1"/>
  </si>
  <si>
    <t>B</t>
    <phoneticPr fontId="1"/>
  </si>
  <si>
    <t>C</t>
    <phoneticPr fontId="1"/>
  </si>
  <si>
    <t>M-111</t>
  </si>
  <si>
    <t>M-112</t>
  </si>
  <si>
    <t>M-113</t>
  </si>
  <si>
    <t>M-114</t>
  </si>
  <si>
    <t>M-115</t>
  </si>
  <si>
    <t>M-116</t>
  </si>
  <si>
    <t>M-117</t>
  </si>
  <si>
    <t>M-118</t>
  </si>
  <si>
    <t>M-119</t>
  </si>
  <si>
    <t>M-120</t>
  </si>
  <si>
    <t>熱血ナイン根性バット</t>
    <rPh sb="0" eb="2">
      <t>ネッケテゥ</t>
    </rPh>
    <rPh sb="5" eb="7">
      <t>コンジョウ</t>
    </rPh>
    <phoneticPr fontId="1"/>
  </si>
  <si>
    <t>魅惑のメマーイダンス</t>
    <rPh sb="0" eb="2">
      <t>ミワク</t>
    </rPh>
    <phoneticPr fontId="1"/>
  </si>
  <si>
    <t>孔雀スラッシャー（クジャッキースラッシャー）</t>
    <rPh sb="0" eb="2">
      <t>クジャク</t>
    </rPh>
    <phoneticPr fontId="1"/>
  </si>
  <si>
    <t>カッ飛ばせ仕込みバット</t>
    <rPh sb="5" eb="7">
      <t>シコミ</t>
    </rPh>
    <phoneticPr fontId="1"/>
  </si>
  <si>
    <t>イガラッパッパ</t>
    <phoneticPr fontId="1"/>
  </si>
  <si>
    <t>鼻空想砲（ノーズファンシーキャノン）</t>
    <rPh sb="0" eb="3">
      <t>ハナクウソ</t>
    </rPh>
    <rPh sb="3" eb="4">
      <t>ホウ</t>
    </rPh>
    <phoneticPr fontId="1"/>
  </si>
  <si>
    <t>1万kgプレス</t>
    <phoneticPr fontId="1"/>
  </si>
  <si>
    <t>使用回数</t>
    <rPh sb="0" eb="4">
      <t>シヨウカイスウ</t>
    </rPh>
    <phoneticPr fontId="1"/>
  </si>
  <si>
    <t>通算日</t>
    <rPh sb="0" eb="3">
      <t>ツウサンビ</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</si>
</sst>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9">
    <font>
      <sz val="11"/>
      <color theme="1"/>
      <name val="游ゴシック"/>
      <family val="2"/>
      <charset val="128"/>
      <scheme val="minor"/>
    </font>
    <font>
      <sz val="6"/>
      <name val="游ゴシック"/>
      <family val="2"/>
      <charset val="128"/>
      <scheme val="minor"/>
    </font>
    <font>
      <sz val="11"/>
      <color rgb="FF000000"/>
      <name val="游ゴシック"/>
      <family val="3"/>
      <charset val="128"/>
      <scheme val="minor"/>
    </font>
    <font>
      <sz val="9"/>
      <color indexed="81"/>
      <name val="MS P ゴシック"/>
      <family val="3"/>
      <charset val="128"/>
    </font>
    <font>
      <b/>
      <sz val="9"/>
      <color indexed="81"/>
      <name val="MS P ゴシック"/>
      <family val="3"/>
      <charset val="128"/>
    </font>
    <font>
      <sz val="11"/>
      <color theme="1"/>
      <name val="游ゴシック"/>
      <family val="2"/>
      <charset val="128"/>
      <scheme val="minor"/>
    </font>
    <font>
      <b/>
      <sz val="9"/>
      <color rgb="FF000000"/>
      <name val="MS P ゴシック"/>
      <charset val="128"/>
    </font>
    <font>
      <sz val="9"/>
      <color rgb="FF000000"/>
      <name val="MS P ゴシック"/>
      <charset val="128"/>
    </font>
    <font>
      <sz val="9"/>
      <color rgb="FF000000"/>
      <name val="游ゴシック"/>
      <family val="3"/>
      <charset val="128"/>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s>
  <borders count="6">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alignment vertical="center"/>
    </xf>
    <xf numFmtId="38" fontId="5" fillId="0" borderId="0" applyFont="0" applyFill="0" applyBorder="0" applyAlignment="0" applyProtection="0">
      <alignment vertical="center"/>
    </xf>
  </cellStyleXfs>
  <cellXfs count="19">
    <xf numFmtId="0" fontId="0" fillId="0" borderId="0" xfId="0">
      <alignment vertical="center"/>
    </xf>
    <xf numFmtId="0" fontId="0" fillId="0" borderId="0" xfId="0" applyAlignment="1">
      <alignment vertical="center" wrapText="1"/>
    </xf>
    <xf numFmtId="176" fontId="0" fillId="0" borderId="0" xfId="0" applyNumberFormat="1">
      <alignment vertical="center"/>
    </xf>
    <xf numFmtId="0" fontId="2" fillId="0" borderId="0" xfId="0" applyFont="1">
      <alignment vertical="center"/>
    </xf>
    <xf numFmtId="0" fontId="0" fillId="0" borderId="0" xfId="0" quotePrefix="1">
      <alignment vertical="center"/>
    </xf>
    <xf numFmtId="38" fontId="0" fillId="0" borderId="0" xfId="1" applyFont="1">
      <alignment vertical="center"/>
    </xf>
    <xf numFmtId="0" fontId="0" fillId="2" borderId="0" xfId="0" applyFill="1">
      <alignment vertical="center"/>
    </xf>
    <xf numFmtId="0" fontId="0" fillId="2" borderId="0" xfId="0" applyFill="1" applyAlignment="1">
      <alignment vertical="center" wrapText="1"/>
    </xf>
    <xf numFmtId="0" fontId="2" fillId="2" borderId="0" xfId="0" applyFont="1" applyFill="1">
      <alignment vertical="center"/>
    </xf>
    <xf numFmtId="0" fontId="0" fillId="0" borderId="1" xfId="0" applyBorder="1">
      <alignment vertical="center"/>
    </xf>
    <xf numFmtId="0" fontId="0" fillId="3" borderId="2" xfId="0" applyFill="1" applyBorder="1">
      <alignment vertical="center"/>
    </xf>
    <xf numFmtId="56" fontId="0" fillId="0" borderId="0" xfId="0" applyNumberFormat="1">
      <alignment vertical="center"/>
    </xf>
    <xf numFmtId="0" fontId="0" fillId="0" borderId="0" xfId="0" applyAlignment="1">
      <alignment horizontal="right" vertical="center"/>
    </xf>
    <xf numFmtId="0" fontId="0" fillId="0" borderId="2" xfId="0" applyBorder="1">
      <alignment vertical="center"/>
    </xf>
    <xf numFmtId="0" fontId="0" fillId="0" borderId="3" xfId="0" applyBorder="1">
      <alignment vertical="center"/>
    </xf>
    <xf numFmtId="0" fontId="0" fillId="3" borderId="1" xfId="0" applyFill="1" applyBorder="1">
      <alignment vertical="center"/>
    </xf>
    <xf numFmtId="0" fontId="0" fillId="0" borderId="4" xfId="0" applyBorder="1">
      <alignment vertical="center"/>
    </xf>
    <xf numFmtId="0" fontId="0" fillId="0" borderId="5" xfId="0" applyBorder="1">
      <alignment vertical="center"/>
    </xf>
    <xf numFmtId="3" fontId="0" fillId="0" borderId="0" xfId="0" applyNumberFormat="1">
      <alignment vertical="center"/>
    </xf>
  </cellXfs>
  <cellStyles count="2">
    <cellStyle name="桁区切り" xfId="1" builtinId="6"/>
    <cellStyle name="標準" xfId="0" builtinId="0"/>
  </cellStyles>
  <dxfs count="39">
    <dxf>
      <font>
        <color rgb="FF9C0006"/>
      </font>
      <fill>
        <patternFill>
          <bgColor rgb="FFFFC7CE"/>
        </patternFill>
      </fill>
    </dxf>
    <dxf>
      <border diagonalUp="0" diagonalDown="0" outline="0">
        <left style="thin">
          <color indexed="64"/>
        </left>
        <right style="thin">
          <color indexed="64"/>
        </right>
        <top/>
        <bottom/>
      </border>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numFmt numFmtId="0" formatCode="General"/>
    </dxf>
    <dxf>
      <fill>
        <patternFill patternType="solid">
          <fgColor indexed="64"/>
          <bgColor theme="4" tint="0.59999389629810485"/>
        </patternFill>
      </fill>
    </dxf>
    <dxf>
      <font>
        <b val="0"/>
        <i val="0"/>
        <strike val="0"/>
        <condense val="0"/>
        <extend val="0"/>
        <outline val="0"/>
        <shadow val="0"/>
        <u val="none"/>
        <vertAlign val="baseline"/>
        <sz val="11"/>
        <color rgb="FF000000"/>
        <name val="游ゴシック"/>
        <family val="3"/>
        <charset val="128"/>
        <scheme val="minor"/>
      </font>
      <fill>
        <patternFill patternType="none">
          <fgColor indexed="64"/>
          <bgColor auto="1"/>
        </patternFill>
      </fill>
    </dxf>
    <dxf>
      <font>
        <b val="0"/>
        <i val="0"/>
        <strike val="0"/>
        <condense val="0"/>
        <extend val="0"/>
        <outline val="0"/>
        <shadow val="0"/>
        <u val="none"/>
        <vertAlign val="baseline"/>
        <sz val="11"/>
        <color rgb="FF000000"/>
        <name val="游ゴシック"/>
        <family val="3"/>
        <charset val="128"/>
        <scheme val="minor"/>
      </font>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none">
          <fgColor indexed="64"/>
          <bgColor auto="1"/>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alignment horizontal="general" vertical="center" textRotation="0" wrapText="1" indent="0" justifyLastLine="0" shrinkToFit="0" readingOrder="0"/>
    </dxf>
    <dxf>
      <fill>
        <patternFill patternType="solid">
          <fgColor indexed="64"/>
          <bgColor theme="4" tint="0.59999389629810485"/>
        </patternFill>
      </fill>
    </dxf>
    <dxf>
      <numFmt numFmtId="0" formatCode="General"/>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游ゴシック"/>
        <family val="2"/>
        <charset val="128"/>
        <scheme val="minor"/>
      </font>
    </dxf>
    <dxf>
      <fill>
        <patternFill patternType="solid">
          <fgColor indexed="64"/>
          <bgColor theme="4" tint="0.59999389629810485"/>
        </patternFill>
      </fill>
    </dxf>
    <dxf>
      <numFmt numFmtId="0" formatCode="General"/>
    </dxf>
    <dxf>
      <fill>
        <patternFill patternType="solid">
          <fgColor indexed="64"/>
          <bgColor theme="4" tint="0.59999389629810485"/>
        </patternFill>
      </fill>
    </dxf>
    <dxf>
      <font>
        <b val="0"/>
        <i val="0"/>
        <strike val="0"/>
        <condense val="0"/>
        <extend val="0"/>
        <outline val="0"/>
        <shadow val="0"/>
        <u val="none"/>
        <vertAlign val="baseline"/>
        <sz val="11"/>
        <color theme="1"/>
        <name val="游ゴシック"/>
        <family val="2"/>
        <charset val="128"/>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游ゴシック"/>
        <family val="2"/>
        <charset val="128"/>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游ゴシック"/>
        <family val="2"/>
        <charset val="128"/>
        <scheme val="minor"/>
      </font>
      <numFmt numFmtId="0" formatCode="General"/>
    </dxf>
    <dxf>
      <font>
        <b val="0"/>
        <i val="0"/>
        <strike val="0"/>
        <condense val="0"/>
        <extend val="0"/>
        <outline val="0"/>
        <shadow val="0"/>
        <u val="none"/>
        <vertAlign val="baseline"/>
        <sz val="11"/>
        <color theme="1"/>
        <name val="游ゴシック"/>
        <family val="2"/>
        <charset val="128"/>
        <scheme val="minor"/>
      </font>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游ゴシック"/>
        <family val="2"/>
        <charset val="128"/>
        <scheme val="minor"/>
      </font>
      <border diagonalUp="0" diagonalDown="0">
        <left/>
        <right/>
        <top style="thin">
          <color theme="4" tint="0.39997558519241921"/>
        </top>
        <bottom style="thin">
          <color theme="4" tint="0.39997558519241921"/>
        </bottom>
        <vertical/>
        <horizontal/>
      </border>
    </dxf>
    <dxf>
      <fill>
        <patternFill patternType="solid">
          <fgColor indexed="64"/>
          <bgColor theme="4" tint="0.59999389629810485"/>
        </patternFill>
      </fill>
    </dxf>
    <dxf>
      <numFmt numFmtId="0" formatCode="General"/>
    </dxf>
    <dxf>
      <numFmt numFmtId="0" formatCode="General"/>
    </dxf>
    <dxf>
      <numFmt numFmtId="176" formatCode="m&quot;月&quot;d&quot;日&quot;;@"/>
    </dxf>
    <dxf>
      <numFmt numFmtId="0" formatCode="General"/>
    </dxf>
  </dxfs>
  <tableStyles count="0" defaultTableStyle="TableStyleMedium2" defaultPivotStyle="PivotStyleLight16"/>
  <colors>
    <mruColors>
      <color rgb="FFBF8F00"/>
      <color rgb="FF008F00"/>
      <color rgb="FFFF8AD8"/>
      <color rgb="FFFF40FF"/>
      <color rgb="FFFF2F92"/>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63"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3C565B-BF3E-46A4-9DD5-CA9D6CA761C4}" name="キャラマスタ" displayName="キャラマスタ" ref="A1:AP145" totalsRowShown="0">
  <autoFilter ref="A1:AP145" xr:uid="{7354E9E6-E800-49A7-860C-293780632269}"/>
  <tableColumns count="42">
    <tableColumn id="1" xr3:uid="{FF4C9B18-8D35-4DFD-A1B0-69DF004C9361}" name="登場キャラID"/>
    <tableColumn id="2" xr3:uid="{7B413D24-8536-4DC0-B6E6-28AD89133093}" name="名前"/>
    <tableColumn id="3" xr3:uid="{6A09DBF7-403B-4317-A31D-AE227CE3DA8A}" name="初登場時の年齢"/>
    <tableColumn id="42" xr3:uid="{75D2FC1D-136F-8244-946E-E6D8B387DA2E}" name="今の年齢" dataDxfId="38">
      <calculatedColumnFormula>IFERROR(キャラマスタ[[#This Row],[初登場時の年齢]]+2,"")</calculatedColumnFormula>
    </tableColumn>
    <tableColumn id="4" xr3:uid="{4A2CAB4F-3776-4E4B-A3AE-72A9A4C3C871}" name="初登場巻"/>
    <tableColumn id="5" xr3:uid="{A2B61716-CF99-479B-824A-935A8EA4A895}" name="初登場話"/>
    <tableColumn id="6" xr3:uid="{6C91F539-9BA9-4F73-A306-C6A0204EBD8B}" name="誕生日" dataDxfId="37"/>
    <tableColumn id="39" xr3:uid="{D6DABC5F-235B-C94B-B9A4-7B8A424B4EAD}" name="誕生年（海円暦）" dataDxfId="36">
      <calculatedColumnFormula>IFERROR(IF(キャラマスタ[[#This Row],[生存ステータス]]=1,1539-キャラマスタ[[#This Row],[初登場時の年齢]]+キャラマスタ[[#This Row],[死亡年]],1539-キャラマスタ[[#This Row],[初登場時の年齢]]),"")</calculatedColumnFormula>
    </tableColumn>
    <tableColumn id="7" xr3:uid="{C72EA510-7562-427B-8C22-FD026ACBA082}" name="身長"/>
    <tableColumn id="34" xr3:uid="{8F5D53F9-948F-1A49-9093-E1E256D27BC5}" name="船ID"/>
    <tableColumn id="8" xr3:uid="{C97D3A7F-AC7C-48F1-A2D5-7A94044C4064}" name="所属船"/>
    <tableColumn id="9" xr3:uid="{006A1BDF-8185-4B8E-B9DF-1DE636451A66}" name="出身エリア"/>
    <tableColumn id="35" xr3:uid="{6B577332-393F-DC4E-B8D3-D62FB2AE094F}" name="場所ID"/>
    <tableColumn id="10" xr3:uid="{F45DACE6-15D3-4A7B-9483-4EF8DF09B2F5}" name="出身島・国"/>
    <tableColumn id="11" xr3:uid="{E27A3C98-186C-40F5-B010-A987C804175D}" name="二つ名"/>
    <tableColumn id="36" xr3:uid="{3CF29B30-3DDE-A74C-A8E8-5AEA5FF3426C}" name="実ID"/>
    <tableColumn id="12" xr3:uid="{9B661F6C-BD4C-429A-A0C6-C934AE4BD798}" name="悪魔の実"/>
    <tableColumn id="37" xr3:uid="{77DC4C0F-19CF-A94F-8E63-F5CA42460AEF}" name="勢力ID"/>
    <tableColumn id="13" xr3:uid="{C394B7C6-DDA0-4A2C-9E40-4F33E993B8AB}" name="所属"/>
    <tableColumn id="14" xr3:uid="{57B8B414-F11D-4DAC-9729-E735CA63E270}" name="役職"/>
    <tableColumn id="15" xr3:uid="{25CF1FC7-34C5-49B9-8672-4E16E1964D63}" name="覇気"/>
    <tableColumn id="16" xr3:uid="{45ADAFC2-9C58-4F8D-8CFD-A9DB23D1B359}" name="性別"/>
    <tableColumn id="17" xr3:uid="{5C216618-6EC1-4ADA-A2D3-2B14884C8D41}" name="種族"/>
    <tableColumn id="18" xr3:uid="{C996C5CA-A7A6-49D4-B3B6-3BC4A78C10B1}" name="階級（社会的）"/>
    <tableColumn id="19" xr3:uid="{66484A58-A5C1-4278-B4CF-D68BF46AE9DF}" name="死亡年"/>
    <tableColumn id="40" xr3:uid="{FF01CB1D-53CD-F74F-B1E3-B68ECE486B0F}" name="死亡年（海円暦）" dataDxfId="35">
      <calculatedColumnFormula>IF(キャラマスタ[[#This Row],[生存ステータス]]=1,1539+キャラマスタ[[#This Row],[死亡年]],"")</calculatedColumnFormula>
    </tableColumn>
    <tableColumn id="20" xr3:uid="{614A96AB-5EFF-4BDB-B73A-6461D521C4C9}" name="生存ステータス"/>
    <tableColumn id="21" xr3:uid="{2A8BADD1-AD14-4B3D-ADBF-AF7335632D58}" name="重要度"/>
    <tableColumn id="22" xr3:uid="{6852A4E8-D0C6-41DB-B371-EAC33D1EF05D}" name="Dフラグ"/>
    <tableColumn id="41" xr3:uid="{1891A3CE-757C-B740-97A3-B2EE88AE893D}" name="登場日"/>
    <tableColumn id="38" xr3:uid="{9286DE1D-9F6A-1D41-AC9E-477071CBDE09}" name="退場日"/>
    <tableColumn id="23" xr3:uid="{5CA08934-8473-4EBB-9A76-1FB9FABFBAE4}" name="武器"/>
    <tableColumn id="24" xr3:uid="{3070DD73-89C5-445C-BA44-F31358BAB0C7}" name="血液型"/>
    <tableColumn id="25" xr3:uid="{FBA1E2DF-C543-4384-B084-72C756DFDECD}" name="好物"/>
    <tableColumn id="26" xr3:uid="{0526D7BD-B846-4492-9A28-A038A45FEA58}" name="嫌いな食べ物"/>
    <tableColumn id="27" xr3:uid="{15BB6634-EDE5-4E08-AA8C-0B5BDE068FBB}" name="趣味"/>
    <tableColumn id="28" xr3:uid="{8630169C-6D42-45D1-9D13-3BD0195ED44D}" name="イメージ動物"/>
    <tableColumn id="29" xr3:uid="{111369A3-7DFC-4951-ACCB-28A1A283C6BF}" name="国"/>
    <tableColumn id="30" xr3:uid="{0E246012-BB25-48DC-8E90-F23ED07D0B82}" name="職業"/>
    <tableColumn id="31" xr3:uid="{0A6B9D07-4011-4FE9-A068-BF34FAE7334B}" name="花"/>
    <tableColumn id="32" xr3:uid="{49C6D672-4CEB-4649-B4E5-939DFFDC8D3F}" name="好きな島"/>
    <tableColumn id="33" xr3:uid="{CFA98901-191F-4E74-99D4-19B769A7F5D0}" name="その他"/>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FB33B99-1EEB-AB40-A787-C89162FEE660}" name="悪魔の実マスタ" displayName="悪魔の実マスタ" ref="A1:I11" totalsRowShown="0">
  <autoFilter ref="A1:I11" xr:uid="{874A597D-65B4-CB47-BBE2-8F028F9CBF73}"/>
  <tableColumns count="9">
    <tableColumn id="1" xr3:uid="{A0D56DD6-B8CE-7348-99F2-3C22F897C00F}" name="実ID"/>
    <tableColumn id="2" xr3:uid="{5C1082C1-5796-1646-AAD6-80E0DB330368}" name="実の名前"/>
    <tableColumn id="3" xr3:uid="{48EC8995-C9D6-AE4A-88C8-D03BA1F727A5}" name="系統"/>
    <tableColumn id="4" xr3:uid="{1018BD05-45BB-2C4D-A6D3-698ED8B81165}" name="キャラID"/>
    <tableColumn id="5" xr3:uid="{8D51DE5B-54E8-CE44-B4E4-42AFA6475981}" name="能力者" dataDxfId="34">
      <calculatedColumnFormula>VLOOKUP(D2,キャラマスタ[],2,FALSE)</calculatedColumnFormula>
    </tableColumn>
    <tableColumn id="6" xr3:uid="{D7DD2242-CB30-A446-82B9-7102B2A75551}" name="覚醒フラグ"/>
    <tableColumn id="7" xr3:uid="{1D9A42E2-D757-E84D-8F98-2D250CE33CBA}" name="入手巻数"/>
    <tableColumn id="8" xr3:uid="{7BD0387B-E182-914F-AB13-F55D94899CAD}" name="入手年"/>
    <tableColumn id="9" xr3:uid="{1CFF3A66-3BC3-0B4A-A687-437D3AB797DD}" name="手放した理由"/>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4E39361-5410-40C8-975C-706257F43DAF}" name="テーブル12" displayName="テーブル12" ref="A1:G21" totalsRowShown="0">
  <autoFilter ref="A1:G21" xr:uid="{5A2E2C05-EEC0-41EB-A22A-C991BDA641C3}"/>
  <tableColumns count="7">
    <tableColumn id="1" xr3:uid="{80E34B1E-5FB8-481F-B425-32CFE917247A}" name="武器ID"/>
    <tableColumn id="2" xr3:uid="{BD1611AC-DC8A-4B5D-BA98-C56643330CE8}" name="武器名" dataDxfId="33"/>
    <tableColumn id="3" xr3:uid="{E01A230A-5098-4336-A76E-13DAC571B62B}" name="位列"/>
    <tableColumn id="4" xr3:uid="{73BF728E-54F3-4489-A425-7D7F20094BA0}" name="所有者ID" dataDxfId="32"/>
    <tableColumn id="5" xr3:uid="{993CB3F3-9032-43C7-8265-F3BD07A7D5FE}" name="所有者" dataDxfId="31">
      <calculatedColumnFormula>+IFERROR(VLOOKUP(D2,キャラマスタ[],2,FALSE),"")</calculatedColumnFormula>
    </tableColumn>
    <tableColumn id="6" xr3:uid="{16AFC11C-0CBF-41A3-9F36-3A1C559011C3}" name="製作者ID"/>
    <tableColumn id="7" xr3:uid="{36E8899A-CEC8-4B83-8447-278462E53071}" name="製作者"/>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369DED5-F643-4C7D-95E7-6D360097C4C7}" name="テーブル15" displayName="テーブル15" ref="A1:F21" totalsRowShown="0">
  <autoFilter ref="A1:F21" xr:uid="{A1A3FB38-D068-4F3B-A3DA-60AA2C9B0ADA}"/>
  <tableColumns count="6">
    <tableColumn id="1" xr3:uid="{217DCE93-CFB5-4B23-B29D-B32F554596F7}" name="船ID"/>
    <tableColumn id="2" xr3:uid="{BD6CE5EC-C0FD-4B18-9943-4BE3275C6910}" name="船名" dataDxfId="30"/>
    <tableColumn id="3" xr3:uid="{DA053993-0962-4F67-9543-A0E36C967D0F}" name="持ち主" dataDxfId="29"/>
    <tableColumn id="4" xr3:uid="{67695EEF-8E0C-4510-9216-3758446923D6}" name="造船者"/>
    <tableColumn id="5" xr3:uid="{071B17A3-F50D-40FA-A864-675B078B9BB3}" name="材質"/>
    <tableColumn id="6" xr3:uid="{00FB9F9D-521C-41B1-A73A-74E0086AEAB6}" name="状態"/>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2B74DB-E768-BF4B-B31A-5E518B6C3EAD}" name="場所マスタ" displayName="場所マスタ" ref="A1:I31" totalsRowShown="0">
  <autoFilter ref="A1:I31" xr:uid="{882B74DB-E768-BF4B-B31A-5E518B6C3EAD}"/>
  <tableColumns count="9">
    <tableColumn id="1" xr3:uid="{C429D786-D446-EE44-AB55-197EFDE09FB1}" name="場所ID"/>
    <tableColumn id="2" xr3:uid="{ECC18602-F127-1F41-A7DB-54C29C0393D7}" name="地域"/>
    <tableColumn id="3" xr3:uid="{0CBD29B7-5DA9-194D-8E64-0D50BE9F9F09}" name="島名・海域"/>
    <tableColumn id="4" xr3:uid="{62CC1AFB-1109-C543-8705-F16915623A10}" name="国名"/>
    <tableColumn id="5" xr3:uid="{29A9E644-F32C-0849-B6BE-5CECA66A4C10}" name="地名"/>
    <tableColumn id="10" xr3:uid="{6960FFEB-743D-5C48-BB45-0425394E51BE}" name="表示名"/>
    <tableColumn id="6" xr3:uid="{08A5474C-2781-694A-87BA-3B439E135CEB}" name="エリアID"/>
    <tableColumn id="7" xr3:uid="{F73C18CE-BE0C-F649-AB16-DCAC7E26DAF2}" name="X"/>
    <tableColumn id="8" xr3:uid="{B058AC99-9A30-A149-B6D2-9FC2418693AB}" name="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1C95703-0284-D148-BD55-D2AF47086919}" name="技マスタ" displayName="技マスタ" ref="A1:K121" totalsRowShown="0">
  <autoFilter ref="A1:K121" xr:uid="{BC68409D-3A9F-5A45-AFFB-060B3BABBC07}"/>
  <tableColumns count="11">
    <tableColumn id="1" xr3:uid="{E9A41CBF-7BBE-7B4C-814D-9DCE1ED42988}" name="技ID"/>
    <tableColumn id="2" xr3:uid="{5003FE89-DF93-7A49-BF71-654C3B844F8A}" name="技名"/>
    <tableColumn id="3" xr3:uid="{29EFBF63-FABC-A749-990E-113343F5FC3C}" name="使用者ID"/>
    <tableColumn id="4" xr3:uid="{7C2AB1F1-F1CD-AD42-9331-D6E21E398D01}" name="使用者" dataDxfId="28">
      <calculatedColumnFormula>VLOOKUP(C2,キャラマスタ[],2,FALSE)</calculatedColumnFormula>
    </tableColumn>
    <tableColumn id="5" xr3:uid="{FDC7AA63-8AE4-6447-88DB-5DEF79E8D9CB}" name="系統"/>
    <tableColumn id="6" xr3:uid="{CE959AED-2733-2F4F-9086-F901BFDFA9A7}" name="ルーツID"/>
    <tableColumn id="7" xr3:uid="{814A2AB3-8377-0248-A5BE-C717CE0DB6E1}" name="初出巻数"/>
    <tableColumn id="8" xr3:uid="{2386882A-23DE-B744-A2C1-0A1D2C168755}" name="初出話数"/>
    <tableColumn id="11" xr3:uid="{8A8E5031-7429-4F46-9752-DE2E45D14A5F}" name="通算日"/>
    <tableColumn id="9" xr3:uid="{5E68DA3B-664B-CA41-9852-5A8A915784D1}" name="決め技カウント">
      <calculatedColumnFormula>+SUMIF(技ログ!C:C,A2,技ログ!I:I)</calculatedColumnFormula>
    </tableColumn>
    <tableColumn id="10" xr3:uid="{54455F17-1AEF-4CEF-B36D-779DB2AA52BF}" name="使用回数" dataDxfId="27">
      <calculatedColumnFormula>+COUNTIF(技ログ!C:C,技マスタ[[#This Row],[技ID]])</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0EFE0E-8018-ED4C-9D6C-9AED1A26B681}" name="勢力マスタ" displayName="勢力マスタ" ref="A1:D26" totalsRowShown="0">
  <autoFilter ref="A1:D26" xr:uid="{620EFE0E-8018-ED4C-9D6C-9AED1A26B681}"/>
  <tableColumns count="4">
    <tableColumn id="1" xr3:uid="{5E8AB46D-4CB0-384D-A708-63ED9B75DAE8}" name="勢力ID"/>
    <tableColumn id="2" xr3:uid="{FC21AC53-1DB8-EB49-99A1-A0454B48D44F}" name="勢力名"/>
    <tableColumn id="3" xr3:uid="{1EBFBB80-9DF5-4E41-BB95-E8F028A84261}" name="リーダーID"/>
    <tableColumn id="4" xr3:uid="{9753FEEA-66F3-8945-AF4B-BFAE757AE71D}" name="区分"/>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CA44FE-E458-4039-BC5E-51BD14DCBE99}" name="テーブル9" displayName="テーブル9" ref="A1:K30" totalsRowShown="0">
  <autoFilter ref="A1:K30" xr:uid="{3DE25487-9E31-4A2B-B2B6-2122FCA76456}"/>
  <tableColumns count="11">
    <tableColumn id="1" xr3:uid="{D836B7F2-848D-4997-A0BC-0A332C19B141}" name="登場キャラID"/>
    <tableColumn id="2" xr3:uid="{9DFDDED9-06D7-44A5-886C-36532C15984D}" name="登場キャラ" dataDxfId="26">
      <calculatedColumnFormula>VLOOKUP(懸賞金・肩書ログ!A2,キャラマスタ[],2,FALSE)</calculatedColumnFormula>
    </tableColumn>
    <tableColumn id="3" xr3:uid="{AB9FA19B-4B9B-400E-9338-CD1FE6C5E071}" name="懸賞金" dataDxfId="25" dataCellStyle="桁区切り"/>
    <tableColumn id="4" xr3:uid="{BB7B5314-532E-4681-BCA0-2C5E8DBA4289}" name="肩書"/>
    <tableColumn id="5" xr3:uid="{CE075F8C-673F-4AB9-9A54-662D031587EC}" name="区分"/>
    <tableColumn id="6" xr3:uid="{7DC442DC-964F-4A4A-8AEE-E97EF5FF3862}" name="巻数"/>
    <tableColumn id="7" xr3:uid="{9C934B2F-0953-4A3B-961A-A63DFF6E2B84}" name="話数"/>
    <tableColumn id="8" xr3:uid="{178629B1-96FC-4E95-8B93-E84B72141444}" name="年数"/>
    <tableColumn id="9" xr3:uid="{2E3DAC2A-C6E1-4A12-B44A-245DAD1FC615}" name="通算日"/>
    <tableColumn id="10" xr3:uid="{D1C90C61-E875-4A2E-AC82-DA556DF1DCD8}" name="理由"/>
    <tableColumn id="11" xr3:uid="{73867283-143A-4B88-AAF3-66D9A51A3506}" name="備考"/>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73DA2A-B594-274F-A42B-9C82811BFDD8}" name="テーブル6" displayName="テーブル6" ref="A1:N224" totalsRowShown="0" headerRowDxfId="24" dataDxfId="23">
  <autoFilter ref="A1:N224" xr:uid="{DD73DA2A-B594-274F-A42B-9C82811BFDD8}"/>
  <tableColumns count="14">
    <tableColumn id="1" xr3:uid="{9229246D-50D8-D54E-86B3-C5E873399ECA}" name="日誌ID"/>
    <tableColumn id="2" xr3:uid="{CACAD512-D728-3844-82B1-71CFC1A40965}" name="海円暦">
      <calculatedColumnFormula>1539+C2</calculatedColumnFormula>
    </tableColumn>
    <tableColumn id="3" xr3:uid="{BF3E6EB0-5F61-8E44-99B2-D7214198BEFD}" name="年（何年前の出来事か）"/>
    <tableColumn id="4" xr3:uid="{AEC6BDFA-33D8-3341-AEA0-66916D2FF602}" name="通算日"/>
    <tableColumn id="5" xr3:uid="{40AF7DEC-D95E-374F-B6CA-ED9F14965558}" name="巻数"/>
    <tableColumn id="6" xr3:uid="{A1703E74-0BE1-7044-906D-511A252FB4C4}" name="話数"/>
    <tableColumn id="7" xr3:uid="{69480FAF-0050-B841-B292-B15865D4788C}" name="場所ID"/>
    <tableColumn id="8" xr3:uid="{17703415-3420-8D43-9279-C05881A3CBB3}" name="場所名" dataDxfId="22">
      <calculatedColumnFormula>VLOOKUP(G2,場所マスタ[],6,FALSE)</calculatedColumnFormula>
    </tableColumn>
    <tableColumn id="9" xr3:uid="{FA49B804-0EFA-F44B-8C50-48A55076B9D0}" name="エピソード名"/>
    <tableColumn id="10" xr3:uid="{4FDE4F10-9568-9C42-80C1-6FB339EB25F8}" name="出来事"/>
    <tableColumn id="11" xr3:uid="{90DAD6CE-62B3-6441-A458-2DFB85879E7D}" name="登場キャラID"/>
    <tableColumn id="15" xr3:uid="{1E6DE0E7-C4B3-3846-86E8-3723E801F824}" name="登場キャラ" dataDxfId="21">
      <calculatedColumnFormula>IFERROR(VLOOKUP(K2,キャラマスタ[],2,FALSE),"")</calculatedColumnFormula>
    </tableColumn>
    <tableColumn id="19" xr3:uid="{F2BD8A29-D332-1745-B893-FCC2B649862F}" name="移動手段"/>
    <tableColumn id="20" xr3:uid="{69064A20-16C3-9A4E-89CD-AE8AD6D7EE76}" name="備考"/>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F8EC3F2-CEDA-464F-8442-6906451EAE75}" name="テーブル10" displayName="テーブル10" ref="A1:W31" totalsRowShown="0" headerRowDxfId="20">
  <autoFilter ref="A1:W31" xr:uid="{2EE29A0E-288F-49D3-B86F-3FEB3D18D2B5}"/>
  <tableColumns count="23">
    <tableColumn id="1" xr3:uid="{665EFF8D-AECF-424E-A613-D443AC37BD1B}" name="バトルID"/>
    <tableColumn id="2" xr3:uid="{7824B9FD-04EB-4F5D-BF79-A0F4EA2F43A5}" name="巻数"/>
    <tableColumn id="3" xr3:uid="{85A1C6B2-BEEC-4954-97F8-9F1E0F4DB2B9}" name="話数"/>
    <tableColumn id="4" xr3:uid="{C8F55462-3F75-474D-A987-D5334CCD899B}" name="年"/>
    <tableColumn id="5" xr3:uid="{FEC4653C-3CDD-406C-92C4-A450811D9D40}" name="通算日"/>
    <tableColumn id="6" xr3:uid="{2B976906-E4C0-43A0-A0C3-DD9FE7CEE574}" name="場所ID"/>
    <tableColumn id="7" xr3:uid="{EB4A9782-6CA6-4883-B987-BEA9D968DB68}" name="場所" dataDxfId="19">
      <calculatedColumnFormula>VLOOKUP(F2,場所マスタ!$A$1:$I$125,5,FALSE)</calculatedColumnFormula>
    </tableColumn>
    <tableColumn id="8" xr3:uid="{CFA82C7D-2642-45AE-ACE8-EF4C011515A3}" name="勢力ID1"/>
    <tableColumn id="9" xr3:uid="{553A26BC-7383-4D08-AC6B-32745577B4F1}" name="勝者勢力" dataDxfId="18"/>
    <tableColumn id="10" xr3:uid="{1951D531-02B3-4CEA-9D67-7B396F154901}" name="勝者ID1"/>
    <tableColumn id="11" xr3:uid="{BB02A948-E219-4123-8CE4-8F47697A2241}" name="勝者ID2"/>
    <tableColumn id="12" xr3:uid="{0419274E-B8C0-4CB2-BF69-2BA981D5DF3F}" name="勝者1" dataDxfId="17">
      <calculatedColumnFormula>IFERROR(VLOOKUP(J2,キャラマスタ[],2,FALSE),"")</calculatedColumnFormula>
    </tableColumn>
    <tableColumn id="13" xr3:uid="{630AFF01-9C3B-454B-817F-8FEBC9ECCF17}" name="勝者2" dataDxfId="16">
      <calculatedColumnFormula>IFERROR(VLOOKUP(K2,キャラマスタ[],2,FALSE),"")</calculatedColumnFormula>
    </tableColumn>
    <tableColumn id="14" xr3:uid="{4ABABD83-A099-4D7C-A08F-DF24FD0FF21B}" name="勢力ID2"/>
    <tableColumn id="15" xr3:uid="{0D1E906C-9C84-4581-8770-1F41DD67BC1C}" name="敗者勢力" dataDxfId="15">
      <calculatedColumnFormula>IFERROR(VLOOKUP(N2,勢力マスタ[],2,FALSE),"")</calculatedColumnFormula>
    </tableColumn>
    <tableColumn id="16" xr3:uid="{23C04646-2120-43A1-8E26-C59F149BE51C}" name="敗者ID1"/>
    <tableColumn id="17" xr3:uid="{00E03334-393F-461B-BA9D-B23603187991}" name="敗者ID2"/>
    <tableColumn id="18" xr3:uid="{D818F6D3-F698-4BF5-B6B4-7C841D08A4B6}" name="敗者1" dataDxfId="14"/>
    <tableColumn id="19" xr3:uid="{E6EC4B0F-F17D-48D6-A5F1-27246E25980B}" name="敗者2" dataDxfId="13"/>
    <tableColumn id="23" xr3:uid="{91A8B9E5-EA44-4DBD-A26E-4D22AAE292DE}" name="技ID" dataDxfId="12"/>
    <tableColumn id="20" xr3:uid="{0A173D63-B697-4250-A542-8DD77349F4E8}" name="決まり手">
      <calculatedColumnFormula>+IFERROR(VLOOKUP(テーブル10[[#This Row],[技ID]],技マスタ[],2,FALSE),"")</calculatedColumnFormula>
    </tableColumn>
    <tableColumn id="21" xr3:uid="{4C4D64F9-A980-4175-87C3-813091899A1C}" name="バトルの種類"/>
    <tableColumn id="22" xr3:uid="{9C207509-46E9-40B1-AA6F-22DEBA03EFE0}" name="軍団戦フラグ"/>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BECF0F2-FC1F-4035-A2B9-A460B5F2B2A9}" name="テーブル8" displayName="テーブル8" ref="A1:I191" totalsRowShown="0">
  <autoFilter ref="A1:I191" xr:uid="{48B7B936-A865-4DF7-8CDA-02399453B58A}"/>
  <tableColumns count="9">
    <tableColumn id="1" xr3:uid="{7801EBBA-730C-42DB-8B21-2FBF6BF89997}" name="使用者ID"/>
    <tableColumn id="2" xr3:uid="{6B7C2A65-A9A7-44E6-86A4-A1A4A476B34B}" name="使用者" dataDxfId="11"/>
    <tableColumn id="3" xr3:uid="{A9CDDDBD-3536-488E-A237-AB4CFB0B6729}" name="技ID"/>
    <tableColumn id="4" xr3:uid="{6832A31E-5B7F-4543-B4A4-F44BFA6BF7F6}" name="技名" dataDxfId="10"/>
    <tableColumn id="5" xr3:uid="{63D3C3F3-BDE1-4FE2-9951-BEA510F79F31}" name="巻数"/>
    <tableColumn id="6" xr3:uid="{373777F2-BCEA-4312-B800-7236AFEF1F33}" name="話数"/>
    <tableColumn id="7" xr3:uid="{F8CE6CDC-9592-4D95-A24D-B8C94B005C01}" name="相手ID"/>
    <tableColumn id="8" xr3:uid="{28B59CFA-8A1E-4C2E-A341-96E3C8652A76}" name="相手" dataDxfId="9"/>
    <tableColumn id="9" xr3:uid="{9960E916-E1CA-4D99-80CC-714BCB203154}" name="決まり手フラグ"/>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E057D8-224A-C448-B60B-EA70442D977B}" name="テーブル7" displayName="テーブル7" ref="A1:T71" totalsRowShown="0">
  <autoFilter ref="A1:T71" xr:uid="{E7E057D8-224A-C448-B60B-EA70442D977B}"/>
  <tableColumns count="20">
    <tableColumn id="1" xr3:uid="{3904C1F1-F3C4-BB48-BBBC-0F652FF2FFBA}" name="登場キャラID"/>
    <tableColumn id="2" xr3:uid="{F731D394-BA3F-964E-A6FB-71470A1383B2}" name="名前" dataDxfId="8">
      <calculatedColumnFormula>VLOOKUP(A2,キャラマスタ[],2,FALSE)</calculatedColumnFormula>
    </tableColumn>
    <tableColumn id="16" xr3:uid="{99C799B5-8D7D-D043-BCFD-1AC44AA1BD72}" name="勢力ID" dataDxfId="7"/>
    <tableColumn id="3" xr3:uid="{26E8DDFC-95FF-BB44-A35B-39349E265A11}" name="所属グループ" dataDxfId="6">
      <calculatedColumnFormula>VLOOKUP(テーブル7[[#This Row],[勢力ID]],勢力マスタ[],2,FALSE)</calculatedColumnFormula>
    </tableColumn>
    <tableColumn id="4" xr3:uid="{DBF746DC-E427-694C-86AC-6AED212A136F}" name="役職"/>
    <tableColumn id="5" xr3:uid="{1B1B59F1-FA85-284B-8970-6E5197C9C4F8}" name="階級"/>
    <tableColumn id="6" xr3:uid="{ACDACCF2-EEE9-8243-8107-36F26E0A5A2F}" name="加入巻数"/>
    <tableColumn id="7" xr3:uid="{3C704A72-EB21-9B4D-8088-00DCBA40105F}" name="加入話数"/>
    <tableColumn id="8" xr3:uid="{2D56B8BC-6286-5943-AECD-15BC9C360A9F}" name="脱退巻数"/>
    <tableColumn id="9" xr3:uid="{C384C78A-1C97-AC4B-9DB3-7FAC5E661A21}" name="脱退話数"/>
    <tableColumn id="20" xr3:uid="{B2B29D7D-F645-7C41-A4C7-FD4C5D6C12CC}" name="海円暦" dataDxfId="5">
      <calculatedColumnFormula>IF(テーブル7[[#This Row],[加入年]]="","",1539+テーブル7[[#This Row],[加入年]])</calculatedColumnFormula>
    </tableColumn>
    <tableColumn id="10" xr3:uid="{828F71F2-7B08-334E-B326-D3BBE6A8F5BE}" name="加入年"/>
    <tableColumn id="17" xr3:uid="{FEAA9E4E-91FD-2D4A-B85B-70A028BCED0E}" name="通算日"/>
    <tableColumn id="11" xr3:uid="{C4FD0753-C3CE-FA43-902A-CD2DF187B146}" name="脱退年数"/>
    <tableColumn id="18" xr3:uid="{A9239E07-1C67-F340-BA0E-4DAAB0B6FD9A}" name="脱退年（通算日）"/>
    <tableColumn id="12" xr3:uid="{9A38E082-5351-1743-B6D5-B88202C68294}" name="加入フラグ"/>
    <tableColumn id="13" xr3:uid="{54A167C4-C9A3-DD46-BE02-312BC9635B44}" name="加入年最古"/>
    <tableColumn id="14" xr3:uid="{9650FF97-2A88-DE40-BFD9-45E57AAABF43}" name="加入年最新"/>
    <tableColumn id="15" xr3:uid="{BDD81B55-F8AF-A44D-96DF-2E0777A10576}" name="考察"/>
    <tableColumn id="19" xr3:uid="{79E29769-DB1A-C046-9650-C3CEA1CCCFBD}" name="備考"/>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50BFB4-7E23-490F-BBE5-6096DD0B9519}" name="テーブル3" displayName="テーブル3" ref="A1:I9" totalsRowShown="0">
  <autoFilter ref="A1:I9" xr:uid="{F7E044FB-523D-469E-BD57-D6DC893ECB81}"/>
  <tableColumns count="9">
    <tableColumn id="1" xr3:uid="{392FF479-DAC7-4CC5-8040-A4D51EA40600}" name="実ID"/>
    <tableColumn id="2" xr3:uid="{17CE7757-DCB3-4DE4-AE04-A67E8031FECA}" name="実の名前" dataDxfId="4">
      <calculatedColumnFormula>VLOOKUP(A2,悪魔の実マスタ[],2,FALSE)</calculatedColumnFormula>
    </tableColumn>
    <tableColumn id="3" xr3:uid="{C402B9D4-AFCE-4074-B109-27F550DD74AC}" name="系統" dataDxfId="3">
      <calculatedColumnFormula>VLOOKUP(A2,悪魔の実マスタ[],3,FALSE)</calculatedColumnFormula>
    </tableColumn>
    <tableColumn id="4" xr3:uid="{0B095A88-744A-42E3-A6A4-6FBC49198F90}" name="キャラID"/>
    <tableColumn id="5" xr3:uid="{8E857942-8FAC-4FC9-8807-FF5C6A412D77}" name="能力者" dataDxfId="2">
      <calculatedColumnFormula>VLOOKUP(D2,キャラマスタ[],2,FALSE)</calculatedColumnFormula>
    </tableColumn>
    <tableColumn id="6" xr3:uid="{BB942D8C-2EA0-4006-8344-0EC9476156E9}" name="入手巻数"/>
    <tableColumn id="7" xr3:uid="{7D6D2D12-401B-4159-B703-B83B4E812644}" name="入手話"/>
    <tableColumn id="8" xr3:uid="{55464289-5732-44A8-838F-A899BD6B07C1}" name="入手年"/>
    <tableColumn id="9" xr3:uid="{49737B9E-5115-4B41-A290-C706D9020AE1}" name="死亡した時期"/>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06069A4-7A3D-446E-A147-85673F33FEEC}" name="テーブル13" displayName="テーブル13" ref="A1:F28" totalsRowShown="0" headerRowDxfId="1">
  <autoFilter ref="A1:F28" xr:uid="{43F7F069-6E72-4B4E-A23F-11C801C904EB}"/>
  <tableColumns count="6">
    <tableColumn id="1" xr3:uid="{640619B4-6CBE-4A63-8148-67A287C4F235}" name="表示名">
      <calculatedColumnFormula>+場所マスタ[[#This Row],[表示名]]</calculatedColumnFormula>
    </tableColumn>
    <tableColumn id="2" xr3:uid="{E0AB975F-D57E-4E40-89FE-00A4DCD20322}" name="パワポの横cm"/>
    <tableColumn id="3" xr3:uid="{DE38C251-5A7B-4253-8AF4-9597E7D312C9}" name="パワポの縦cm"/>
    <tableColumn id="4" xr3:uid="{48120529-647D-4185-9251-405625CFC77C}" name="X座標"/>
    <tableColumn id="5" xr3:uid="{FBA81D1A-772E-4654-A75D-82656BEE6FB5}" name="Y座標"/>
    <tableColumn id="6" xr3:uid="{3D7229EA-BCEF-414C-8C83-AB68846CE2BB}" name="備考"/>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9E73A-23E2-4473-A534-603D98A2E757}">
  <sheetPr>
    <tabColor rgb="FFFFFF00"/>
  </sheetPr>
  <dimension ref="A1:AP145"/>
  <sheetViews>
    <sheetView workbookViewId="0">
      <pane xSplit="2" ySplit="1" topLeftCell="C123" activePane="bottomRight" state="frozen"/>
      <selection pane="topRight" activeCell="C1" sqref="C1"/>
      <selection pane="bottomLeft" activeCell="A2" sqref="A2"/>
      <selection pane="bottomRight" activeCell="D132" sqref="D132"/>
    </sheetView>
  </sheetViews>
  <sheetFormatPr baseColWidth="10" defaultColWidth="8.83203125" defaultRowHeight="18"/>
  <cols>
    <col min="1" max="1" width="10" customWidth="1"/>
    <col min="2" max="2" width="21.33203125" customWidth="1"/>
    <col min="3" max="3" width="15.1640625" customWidth="1"/>
    <col min="4" max="5" width="9.83203125" customWidth="1"/>
    <col min="6" max="6" width="9.1640625" style="2" bestFit="1" customWidth="1"/>
    <col min="7" max="7" width="9.1640625" customWidth="1"/>
    <col min="10" max="10" width="8.1640625" bestFit="1" customWidth="1"/>
    <col min="11" max="12" width="11.6640625" customWidth="1"/>
    <col min="13" max="13" width="10" bestFit="1" customWidth="1"/>
    <col min="14" max="14" width="14.6640625" customWidth="1"/>
    <col min="15" max="15" width="8.1640625" bestFit="1" customWidth="1"/>
    <col min="16" max="17" width="9.83203125" customWidth="1"/>
    <col min="18" max="18" width="14.33203125" customWidth="1"/>
    <col min="23" max="23" width="15.1640625" customWidth="1"/>
    <col min="26" max="26" width="15.1640625" customWidth="1"/>
    <col min="28" max="30" width="9.33203125" customWidth="1"/>
    <col min="34" max="34" width="13.33203125" customWidth="1"/>
    <col min="36" max="36" width="13.33203125" customWidth="1"/>
    <col min="40" max="40" width="9.83203125" customWidth="1"/>
  </cols>
  <sheetData>
    <row r="1" spans="1:42">
      <c r="A1" t="s">
        <v>491</v>
      </c>
      <c r="B1" t="s">
        <v>14</v>
      </c>
      <c r="C1" t="s">
        <v>183</v>
      </c>
      <c r="D1" t="s">
        <v>569</v>
      </c>
      <c r="E1" t="s">
        <v>184</v>
      </c>
      <c r="F1" t="s">
        <v>185</v>
      </c>
      <c r="G1" s="2" t="s">
        <v>182</v>
      </c>
      <c r="H1" t="s">
        <v>493</v>
      </c>
      <c r="I1" t="s">
        <v>0</v>
      </c>
      <c r="J1" t="s">
        <v>398</v>
      </c>
      <c r="K1" t="s">
        <v>26</v>
      </c>
      <c r="L1" t="s">
        <v>197</v>
      </c>
      <c r="M1" t="s">
        <v>401</v>
      </c>
      <c r="N1" t="s">
        <v>198</v>
      </c>
      <c r="O1" t="s">
        <v>33</v>
      </c>
      <c r="P1" t="s">
        <v>395</v>
      </c>
      <c r="Q1" t="s">
        <v>186</v>
      </c>
      <c r="R1" t="s">
        <v>435</v>
      </c>
      <c r="S1" t="s">
        <v>37</v>
      </c>
      <c r="T1" t="s">
        <v>38</v>
      </c>
      <c r="U1" t="s">
        <v>187</v>
      </c>
      <c r="V1" t="s">
        <v>188</v>
      </c>
      <c r="W1" t="s">
        <v>144</v>
      </c>
      <c r="X1" t="s">
        <v>365</v>
      </c>
      <c r="Y1" t="s">
        <v>260</v>
      </c>
      <c r="Z1" t="s">
        <v>494</v>
      </c>
      <c r="AA1" t="s">
        <v>189</v>
      </c>
      <c r="AB1" t="s">
        <v>257</v>
      </c>
      <c r="AC1" t="s">
        <v>371</v>
      </c>
      <c r="AD1" t="s">
        <v>495</v>
      </c>
      <c r="AE1" t="s">
        <v>496</v>
      </c>
      <c r="AF1" t="s">
        <v>98</v>
      </c>
      <c r="AG1" t="s">
        <v>16</v>
      </c>
      <c r="AH1" t="s">
        <v>17</v>
      </c>
      <c r="AI1" t="s">
        <v>24</v>
      </c>
      <c r="AJ1" t="s">
        <v>31</v>
      </c>
      <c r="AK1" t="s">
        <v>44</v>
      </c>
      <c r="AL1" t="s">
        <v>152</v>
      </c>
      <c r="AM1" t="s">
        <v>153</v>
      </c>
      <c r="AN1" t="s">
        <v>154</v>
      </c>
      <c r="AO1" t="s">
        <v>261</v>
      </c>
      <c r="AP1" t="s">
        <v>1</v>
      </c>
    </row>
    <row r="2" spans="1:42">
      <c r="A2" t="s">
        <v>288</v>
      </c>
      <c r="B2" t="s">
        <v>228</v>
      </c>
      <c r="C2">
        <v>17</v>
      </c>
      <c r="D2">
        <f>IFERROR(キャラマスタ[[#This Row],[初登場時の年齢]]+2,"")</f>
        <v>19</v>
      </c>
      <c r="E2">
        <v>1</v>
      </c>
      <c r="F2">
        <v>1</v>
      </c>
      <c r="G2" s="2">
        <v>44686</v>
      </c>
      <c r="H2">
        <f>IFERROR(IF(キャラマスタ[[#This Row],[生存ステータス]]=1,1539-キャラマスタ[[#This Row],[初登場時の年齢]]+キャラマスタ[[#This Row],[死亡年]],1539-キャラマスタ[[#This Row],[初登場時の年齢]]),"")</f>
        <v>1522</v>
      </c>
      <c r="I2">
        <v>172</v>
      </c>
      <c r="J2" t="s">
        <v>400</v>
      </c>
      <c r="K2" s="9" t="s">
        <v>581</v>
      </c>
      <c r="L2" t="s">
        <v>18</v>
      </c>
      <c r="M2" t="s">
        <v>384</v>
      </c>
      <c r="N2" t="s">
        <v>19</v>
      </c>
      <c r="O2" t="s">
        <v>35</v>
      </c>
      <c r="Q2" t="s">
        <v>36</v>
      </c>
      <c r="R2" t="s">
        <v>507</v>
      </c>
      <c r="S2" t="s">
        <v>15</v>
      </c>
      <c r="T2" t="s">
        <v>39</v>
      </c>
      <c r="V2" t="s">
        <v>274</v>
      </c>
      <c r="W2" t="s">
        <v>277</v>
      </c>
      <c r="X2" t="s">
        <v>372</v>
      </c>
      <c r="Z2" t="str">
        <f>IF(キャラマスタ[[#This Row],[生存ステータス]]=1,1539+キャラマスタ[[#This Row],[死亡年]],"")</f>
        <v/>
      </c>
      <c r="AA2">
        <v>0</v>
      </c>
      <c r="AB2" t="s">
        <v>258</v>
      </c>
      <c r="AC2">
        <v>1</v>
      </c>
      <c r="AD2">
        <v>-3650</v>
      </c>
      <c r="AE2">
        <v>9999</v>
      </c>
      <c r="AG2" t="s">
        <v>149</v>
      </c>
      <c r="AH2" t="s">
        <v>41</v>
      </c>
      <c r="AI2" t="s">
        <v>200</v>
      </c>
      <c r="AK2" t="s">
        <v>201</v>
      </c>
      <c r="AP2" t="s">
        <v>42</v>
      </c>
    </row>
    <row r="3" spans="1:42">
      <c r="A3" t="s">
        <v>289</v>
      </c>
      <c r="B3" t="s">
        <v>2</v>
      </c>
      <c r="C3">
        <v>53</v>
      </c>
      <c r="D3" t="s">
        <v>139</v>
      </c>
      <c r="E3">
        <v>1</v>
      </c>
      <c r="F3">
        <v>1</v>
      </c>
      <c r="G3" s="2">
        <v>44196</v>
      </c>
      <c r="H3">
        <f>IFERROR(IF(キャラマスタ[[#This Row],[生存ステータス]]=1,1539-キャラマスタ[[#This Row],[初登場時の年齢]]+キャラマスタ[[#This Row],[死亡年]],1539-キャラマスタ[[#This Row],[初登場時の年齢]]),"")</f>
        <v>1464</v>
      </c>
      <c r="I3">
        <v>274</v>
      </c>
      <c r="J3" t="s">
        <v>582</v>
      </c>
      <c r="K3" t="s">
        <v>27</v>
      </c>
      <c r="L3" t="s">
        <v>18</v>
      </c>
      <c r="M3" t="s">
        <v>1809</v>
      </c>
      <c r="N3" t="s">
        <v>21</v>
      </c>
      <c r="O3" t="s">
        <v>389</v>
      </c>
      <c r="R3" t="s">
        <v>440</v>
      </c>
      <c r="S3" t="s">
        <v>40</v>
      </c>
      <c r="T3" t="s">
        <v>39</v>
      </c>
      <c r="V3" t="s">
        <v>274</v>
      </c>
      <c r="W3" t="s">
        <v>277</v>
      </c>
      <c r="X3" t="s">
        <v>372</v>
      </c>
      <c r="Y3">
        <v>-22</v>
      </c>
      <c r="Z3">
        <f>IF(キャラマスタ[[#This Row],[生存ステータス]]=1,1539+キャラマスタ[[#This Row],[死亡年]],"")</f>
        <v>1517</v>
      </c>
      <c r="AA3">
        <v>1</v>
      </c>
      <c r="AB3" t="s">
        <v>259</v>
      </c>
      <c r="AC3">
        <v>1</v>
      </c>
      <c r="AD3">
        <v>-9125</v>
      </c>
      <c r="AE3">
        <v>-8000</v>
      </c>
      <c r="AF3" t="s">
        <v>100</v>
      </c>
      <c r="AG3" t="s">
        <v>22</v>
      </c>
      <c r="AH3" t="s">
        <v>203</v>
      </c>
      <c r="AI3" t="s">
        <v>25</v>
      </c>
      <c r="AK3" t="s">
        <v>204</v>
      </c>
      <c r="AP3" t="s">
        <v>23</v>
      </c>
    </row>
    <row r="4" spans="1:42">
      <c r="A4" t="s">
        <v>290</v>
      </c>
      <c r="B4" t="s">
        <v>205</v>
      </c>
      <c r="C4" t="s">
        <v>139</v>
      </c>
      <c r="E4">
        <v>1</v>
      </c>
      <c r="F4">
        <v>1</v>
      </c>
      <c r="G4" s="2">
        <v>44562</v>
      </c>
      <c r="H4" t="str">
        <f>IFERROR(IF(キャラマスタ[[#This Row],[生存ステータス]]=1,1539-キャラマスタ[[#This Row],[初登場時の年齢]]+キャラマスタ[[#This Row],[死亡年]],1539-キャラマスタ[[#This Row],[初登場時の年齢]]),"")</f>
        <v/>
      </c>
      <c r="L4" t="s">
        <v>18</v>
      </c>
      <c r="V4" t="s">
        <v>274</v>
      </c>
      <c r="W4" t="s">
        <v>277</v>
      </c>
      <c r="X4" t="s">
        <v>373</v>
      </c>
      <c r="Z4" t="str">
        <f>IF(キャラマスタ[[#This Row],[生存ステータス]]=1,1539+キャラマスタ[[#This Row],[死亡年]],"")</f>
        <v/>
      </c>
      <c r="AA4" t="s">
        <v>275</v>
      </c>
      <c r="AB4" t="s">
        <v>280</v>
      </c>
      <c r="AC4">
        <v>0</v>
      </c>
      <c r="AP4" t="s">
        <v>114</v>
      </c>
    </row>
    <row r="5" spans="1:42">
      <c r="A5" t="s">
        <v>291</v>
      </c>
      <c r="B5" t="s">
        <v>206</v>
      </c>
      <c r="C5" t="s">
        <v>139</v>
      </c>
      <c r="D5" t="str">
        <f>IFERROR(キャラマスタ[[#This Row],[初登場時の年齢]]+2,"")</f>
        <v/>
      </c>
      <c r="E5">
        <v>1</v>
      </c>
      <c r="F5">
        <v>1</v>
      </c>
      <c r="G5" s="2">
        <v>44865</v>
      </c>
      <c r="H5" t="str">
        <f>IFERROR(IF(キャラマスタ[[#This Row],[生存ステータス]]=1,1539-キャラマスタ[[#This Row],[初登場時の年齢]]+キャラマスタ[[#This Row],[死亡年]],1539-キャラマスタ[[#This Row],[初登場時の年齢]]),"")</f>
        <v/>
      </c>
      <c r="J5" t="s">
        <v>583</v>
      </c>
      <c r="K5" t="s">
        <v>43</v>
      </c>
      <c r="L5" t="s">
        <v>18</v>
      </c>
      <c r="R5" t="s">
        <v>441</v>
      </c>
      <c r="S5" t="s">
        <v>51</v>
      </c>
      <c r="T5" t="s">
        <v>143</v>
      </c>
      <c r="V5" t="s">
        <v>275</v>
      </c>
      <c r="W5" t="s">
        <v>278</v>
      </c>
      <c r="X5" t="s">
        <v>372</v>
      </c>
      <c r="Z5" t="str">
        <f>IF(キャラマスタ[[#This Row],[生存ステータス]]=1,1539+キャラマスタ[[#This Row],[死亡年]],"")</f>
        <v/>
      </c>
      <c r="AA5">
        <v>0</v>
      </c>
      <c r="AB5" t="s">
        <v>259</v>
      </c>
      <c r="AC5">
        <v>0</v>
      </c>
      <c r="AP5" t="s">
        <v>115</v>
      </c>
    </row>
    <row r="6" spans="1:42">
      <c r="A6" t="s">
        <v>292</v>
      </c>
      <c r="B6" t="s">
        <v>231</v>
      </c>
      <c r="C6">
        <v>37</v>
      </c>
      <c r="D6">
        <f>IFERROR(キャラマスタ[[#This Row],[初登場時の年齢]]+2,"")</f>
        <v>39</v>
      </c>
      <c r="E6">
        <v>1</v>
      </c>
      <c r="F6">
        <v>1</v>
      </c>
      <c r="G6" s="2">
        <v>43899</v>
      </c>
      <c r="H6">
        <f>IFERROR(IF(キャラマスタ[[#This Row],[生存ステータス]]=1,1539-キャラマスタ[[#This Row],[初登場時の年齢]]+キャラマスタ[[#This Row],[死亡年]],1539-キャラマスタ[[#This Row],[初登場時の年齢]]),"")</f>
        <v>1502</v>
      </c>
      <c r="I6">
        <v>199</v>
      </c>
      <c r="J6" t="s">
        <v>583</v>
      </c>
      <c r="K6" t="s">
        <v>43</v>
      </c>
      <c r="L6" t="s">
        <v>28</v>
      </c>
      <c r="O6" t="s">
        <v>34</v>
      </c>
      <c r="R6" t="s">
        <v>441</v>
      </c>
      <c r="S6" t="s">
        <v>45</v>
      </c>
      <c r="T6" t="s">
        <v>46</v>
      </c>
      <c r="V6" t="s">
        <v>274</v>
      </c>
      <c r="W6" t="s">
        <v>277</v>
      </c>
      <c r="X6" t="s">
        <v>372</v>
      </c>
      <c r="Z6" t="str">
        <f>IF(キャラマスタ[[#This Row],[生存ステータス]]=1,1539+キャラマスタ[[#This Row],[死亡年]],"")</f>
        <v/>
      </c>
      <c r="AA6">
        <v>0</v>
      </c>
      <c r="AB6" t="s">
        <v>259</v>
      </c>
      <c r="AC6">
        <v>0</v>
      </c>
      <c r="AD6">
        <v>-9125</v>
      </c>
      <c r="AE6">
        <v>9999</v>
      </c>
      <c r="AF6" t="s">
        <v>100</v>
      </c>
      <c r="AG6" t="s">
        <v>29</v>
      </c>
      <c r="AH6" t="s">
        <v>30</v>
      </c>
      <c r="AI6" t="s">
        <v>207</v>
      </c>
      <c r="AJ6" t="s">
        <v>32</v>
      </c>
      <c r="AK6" t="s">
        <v>208</v>
      </c>
    </row>
    <row r="7" spans="1:42">
      <c r="A7" t="s">
        <v>409</v>
      </c>
      <c r="B7" t="s">
        <v>3</v>
      </c>
      <c r="C7">
        <v>33</v>
      </c>
      <c r="D7">
        <f>IFERROR(キャラマスタ[[#This Row],[初登場時の年齢]]+2,"")</f>
        <v>35</v>
      </c>
      <c r="E7">
        <v>1</v>
      </c>
      <c r="F7">
        <v>1</v>
      </c>
      <c r="G7" s="2">
        <v>44018</v>
      </c>
      <c r="H7">
        <f>IFERROR(IF(キャラマスタ[[#This Row],[生存ステータス]]=1,1539-キャラマスタ[[#This Row],[初登場時の年齢]]+キャラマスタ[[#This Row],[死亡年]],1539-キャラマスタ[[#This Row],[初登場時の年齢]]),"")</f>
        <v>1506</v>
      </c>
      <c r="I7">
        <v>241</v>
      </c>
      <c r="J7" t="s">
        <v>583</v>
      </c>
      <c r="K7" t="s">
        <v>43</v>
      </c>
      <c r="L7" t="s">
        <v>47</v>
      </c>
      <c r="R7" t="s">
        <v>441</v>
      </c>
      <c r="S7" t="s">
        <v>45</v>
      </c>
      <c r="T7" t="s">
        <v>160</v>
      </c>
      <c r="V7" t="s">
        <v>274</v>
      </c>
      <c r="W7" t="s">
        <v>277</v>
      </c>
      <c r="X7" t="s">
        <v>372</v>
      </c>
      <c r="Z7" t="str">
        <f>IF(キャラマスタ[[#This Row],[生存ステータス]]=1,1539+キャラマスタ[[#This Row],[死亡年]],"")</f>
        <v/>
      </c>
      <c r="AA7">
        <v>0</v>
      </c>
      <c r="AB7" t="s">
        <v>259</v>
      </c>
      <c r="AC7">
        <v>0</v>
      </c>
      <c r="AD7">
        <v>-4015</v>
      </c>
      <c r="AE7">
        <v>9999</v>
      </c>
      <c r="AG7" t="s">
        <v>149</v>
      </c>
      <c r="AH7" t="s">
        <v>48</v>
      </c>
    </row>
    <row r="8" spans="1:42">
      <c r="A8" t="s">
        <v>294</v>
      </c>
      <c r="B8" t="s">
        <v>4</v>
      </c>
      <c r="C8">
        <v>45</v>
      </c>
      <c r="D8">
        <f>IFERROR(キャラマスタ[[#This Row],[初登場時の年齢]]+2,"")</f>
        <v>47</v>
      </c>
      <c r="E8">
        <v>1</v>
      </c>
      <c r="F8">
        <v>1</v>
      </c>
      <c r="G8" s="2">
        <v>44045</v>
      </c>
      <c r="H8">
        <f>IFERROR(IF(キャラマスタ[[#This Row],[生存ステータス]]=1,1539-キャラマスタ[[#This Row],[初登場時の年齢]]+キャラマスタ[[#This Row],[死亡年]],1539-キャラマスタ[[#This Row],[初登場時の年齢]]),"")</f>
        <v>1494</v>
      </c>
      <c r="I8">
        <v>183</v>
      </c>
      <c r="J8" t="s">
        <v>583</v>
      </c>
      <c r="K8" t="s">
        <v>43</v>
      </c>
      <c r="L8" t="s">
        <v>18</v>
      </c>
      <c r="M8" t="s">
        <v>730</v>
      </c>
      <c r="N8" t="s">
        <v>49</v>
      </c>
      <c r="O8" t="s">
        <v>61</v>
      </c>
      <c r="R8" t="s">
        <v>441</v>
      </c>
      <c r="S8" t="s">
        <v>51</v>
      </c>
      <c r="T8" t="s">
        <v>52</v>
      </c>
      <c r="V8" t="s">
        <v>274</v>
      </c>
      <c r="W8" t="s">
        <v>277</v>
      </c>
      <c r="X8" t="s">
        <v>372</v>
      </c>
      <c r="Z8" t="str">
        <f>IF(キャラマスタ[[#This Row],[生存ステータス]]=1,1539+キャラマスタ[[#This Row],[死亡年]],"")</f>
        <v/>
      </c>
      <c r="AA8">
        <v>0</v>
      </c>
      <c r="AB8" t="s">
        <v>259</v>
      </c>
      <c r="AC8">
        <v>0</v>
      </c>
      <c r="AD8">
        <v>-4380</v>
      </c>
      <c r="AE8">
        <v>9999</v>
      </c>
      <c r="AF8" t="s">
        <v>101</v>
      </c>
      <c r="AG8" t="s">
        <v>22</v>
      </c>
      <c r="AH8" t="s">
        <v>50</v>
      </c>
    </row>
    <row r="9" spans="1:42">
      <c r="A9" t="s">
        <v>295</v>
      </c>
      <c r="B9" t="s">
        <v>5</v>
      </c>
      <c r="C9">
        <v>48</v>
      </c>
      <c r="D9">
        <f>IFERROR(キャラマスタ[[#This Row],[初登場時の年齢]]+2,"")</f>
        <v>50</v>
      </c>
      <c r="E9">
        <v>1</v>
      </c>
      <c r="F9">
        <v>1</v>
      </c>
      <c r="G9" s="2">
        <v>44144</v>
      </c>
      <c r="H9">
        <f>IFERROR(IF(キャラマスタ[[#This Row],[生存ステータス]]=1,1539-キャラマスタ[[#This Row],[初登場時の年齢]]+キャラマスタ[[#This Row],[死亡年]],1539-キャラマスタ[[#This Row],[初登場時の年齢]]),"")</f>
        <v>1491</v>
      </c>
      <c r="I9">
        <v>206</v>
      </c>
      <c r="J9" t="s">
        <v>583</v>
      </c>
      <c r="K9" t="s">
        <v>43</v>
      </c>
      <c r="L9" t="s">
        <v>53</v>
      </c>
      <c r="R9" t="s">
        <v>441</v>
      </c>
      <c r="S9" t="s">
        <v>51</v>
      </c>
      <c r="T9" t="s">
        <v>55</v>
      </c>
      <c r="V9" t="s">
        <v>274</v>
      </c>
      <c r="W9" t="s">
        <v>277</v>
      </c>
      <c r="X9" t="s">
        <v>372</v>
      </c>
      <c r="Z9" t="str">
        <f>IF(キャラマスタ[[#This Row],[生存ステータス]]=1,1539+キャラマスタ[[#This Row],[死亡年]],"")</f>
        <v/>
      </c>
      <c r="AA9">
        <v>0</v>
      </c>
      <c r="AB9" t="s">
        <v>259</v>
      </c>
      <c r="AC9">
        <v>0</v>
      </c>
      <c r="AD9">
        <v>-4015</v>
      </c>
      <c r="AE9">
        <v>9999</v>
      </c>
      <c r="AF9" t="s">
        <v>101</v>
      </c>
      <c r="AG9" t="s">
        <v>54</v>
      </c>
      <c r="AH9" t="s">
        <v>209</v>
      </c>
    </row>
    <row r="10" spans="1:42">
      <c r="A10" t="s">
        <v>296</v>
      </c>
      <c r="B10" t="s">
        <v>210</v>
      </c>
      <c r="C10" t="s">
        <v>139</v>
      </c>
      <c r="D10" t="str">
        <f>IFERROR(キャラマスタ[[#This Row],[初登場時の年齢]]+2,"")</f>
        <v/>
      </c>
      <c r="E10">
        <v>1</v>
      </c>
      <c r="F10">
        <v>1</v>
      </c>
      <c r="G10" s="2">
        <v>44646</v>
      </c>
      <c r="H10" t="str">
        <f>IFERROR(IF(キャラマスタ[[#This Row],[生存ステータス]]=1,1539-キャラマスタ[[#This Row],[初登場時の年齢]]+キャラマスタ[[#This Row],[死亡年]],1539-キャラマスタ[[#This Row],[初登場時の年齢]]),"")</f>
        <v/>
      </c>
      <c r="L10" t="s">
        <v>18</v>
      </c>
      <c r="V10" t="s">
        <v>274</v>
      </c>
      <c r="W10" t="s">
        <v>277</v>
      </c>
      <c r="X10" t="s">
        <v>379</v>
      </c>
      <c r="Z10" t="str">
        <f>IF(キャラマスタ[[#This Row],[生存ステータス]]=1,1539+キャラマスタ[[#This Row],[死亡年]],"")</f>
        <v/>
      </c>
      <c r="AA10" t="s">
        <v>275</v>
      </c>
      <c r="AB10" t="s">
        <v>280</v>
      </c>
      <c r="AC10">
        <v>0</v>
      </c>
    </row>
    <row r="11" spans="1:42">
      <c r="A11" t="s">
        <v>297</v>
      </c>
      <c r="B11" t="s">
        <v>6</v>
      </c>
      <c r="C11">
        <v>29</v>
      </c>
      <c r="D11">
        <f>IFERROR(キャラマスタ[[#This Row],[初登場時の年齢]]+2,"")</f>
        <v>31</v>
      </c>
      <c r="E11">
        <v>1</v>
      </c>
      <c r="F11">
        <v>1</v>
      </c>
      <c r="G11" s="2">
        <v>43884</v>
      </c>
      <c r="H11">
        <f>IFERROR(IF(キャラマスタ[[#This Row],[生存ステータス]]=1,1539-キャラマスタ[[#This Row],[初登場時の年齢]]+キャラマスタ[[#This Row],[死亡年]],1539-キャラマスタ[[#This Row],[初登場時の年齢]]),"")</f>
        <v>1510</v>
      </c>
      <c r="I11">
        <v>166</v>
      </c>
      <c r="L11" t="s">
        <v>18</v>
      </c>
      <c r="M11" t="s">
        <v>384</v>
      </c>
      <c r="N11" t="s">
        <v>19</v>
      </c>
      <c r="S11" t="s">
        <v>211</v>
      </c>
      <c r="T11" t="s">
        <v>57</v>
      </c>
      <c r="V11" t="s">
        <v>276</v>
      </c>
      <c r="W11" t="s">
        <v>277</v>
      </c>
      <c r="X11" t="s">
        <v>373</v>
      </c>
      <c r="Z11" t="str">
        <f>IF(キャラマスタ[[#This Row],[生存ステータス]]=1,1539+キャラマスタ[[#This Row],[死亡年]],"")</f>
        <v/>
      </c>
      <c r="AA11">
        <v>0</v>
      </c>
      <c r="AB11" t="s">
        <v>259</v>
      </c>
      <c r="AC11">
        <v>0</v>
      </c>
      <c r="AG11" t="s">
        <v>22</v>
      </c>
      <c r="AH11" t="s">
        <v>56</v>
      </c>
    </row>
    <row r="12" spans="1:42">
      <c r="A12" t="s">
        <v>410</v>
      </c>
      <c r="B12" t="s">
        <v>7</v>
      </c>
      <c r="C12">
        <v>46</v>
      </c>
      <c r="D12" t="s">
        <v>534</v>
      </c>
      <c r="E12">
        <v>1</v>
      </c>
      <c r="F12">
        <v>1</v>
      </c>
      <c r="G12" s="2">
        <v>44153</v>
      </c>
      <c r="H12">
        <f>IFERROR(IF(キャラマスタ[[#This Row],[生存ステータス]]=1,1539-キャラマスタ[[#This Row],[初登場時の年齢]]+キャラマスタ[[#This Row],[死亡年]],1539-キャラマスタ[[#This Row],[初登場時の年齢]]),"")</f>
        <v>1483</v>
      </c>
      <c r="I12">
        <v>190</v>
      </c>
      <c r="L12" t="s">
        <v>18</v>
      </c>
      <c r="R12" t="s">
        <v>442</v>
      </c>
      <c r="S12" t="s">
        <v>59</v>
      </c>
      <c r="T12" t="s">
        <v>60</v>
      </c>
      <c r="V12" t="s">
        <v>274</v>
      </c>
      <c r="W12" t="s">
        <v>277</v>
      </c>
      <c r="X12" t="s">
        <v>374</v>
      </c>
      <c r="Y12">
        <v>-10</v>
      </c>
      <c r="Z12">
        <f>IF(キャラマスタ[[#This Row],[生存ステータス]]=1,1539+キャラマスタ[[#This Row],[死亡年]],"")</f>
        <v>1529</v>
      </c>
      <c r="AA12">
        <v>1</v>
      </c>
      <c r="AB12" t="s">
        <v>259</v>
      </c>
      <c r="AC12">
        <v>0</v>
      </c>
      <c r="AD12">
        <v>-3650</v>
      </c>
      <c r="AE12">
        <v>-3640</v>
      </c>
      <c r="AF12" t="s">
        <v>100</v>
      </c>
      <c r="AG12" t="s">
        <v>54</v>
      </c>
      <c r="AH12" t="s">
        <v>58</v>
      </c>
      <c r="AP12" t="s">
        <v>150</v>
      </c>
    </row>
    <row r="13" spans="1:42">
      <c r="A13" t="s">
        <v>299</v>
      </c>
      <c r="B13" t="s">
        <v>212</v>
      </c>
      <c r="C13" t="s">
        <v>139</v>
      </c>
      <c r="D13" t="str">
        <f>IFERROR(キャラマスタ[[#This Row],[初登場時の年齢]]+2,"")</f>
        <v/>
      </c>
      <c r="E13">
        <v>1</v>
      </c>
      <c r="F13">
        <v>1</v>
      </c>
      <c r="G13" s="2">
        <v>44627</v>
      </c>
      <c r="H13" t="str">
        <f>IFERROR(IF(キャラマスタ[[#This Row],[生存ステータス]]=1,1539-キャラマスタ[[#This Row],[初登場時の年齢]]+キャラマスタ[[#This Row],[死亡年]],1539-キャラマスタ[[#This Row],[初登場時の年齢]]),"")</f>
        <v/>
      </c>
      <c r="L13" t="s">
        <v>18</v>
      </c>
      <c r="M13" t="s">
        <v>384</v>
      </c>
      <c r="N13" t="s">
        <v>19</v>
      </c>
      <c r="S13" t="s">
        <v>19</v>
      </c>
      <c r="T13" t="s">
        <v>116</v>
      </c>
      <c r="V13" t="s">
        <v>274</v>
      </c>
      <c r="W13" t="s">
        <v>277</v>
      </c>
      <c r="X13" t="s">
        <v>373</v>
      </c>
      <c r="Z13" t="str">
        <f>IF(キャラマスタ[[#This Row],[生存ステータス]]=1,1539+キャラマスタ[[#This Row],[死亡年]],"")</f>
        <v/>
      </c>
      <c r="AA13" t="s">
        <v>275</v>
      </c>
      <c r="AB13" t="s">
        <v>280</v>
      </c>
      <c r="AC13">
        <v>0</v>
      </c>
    </row>
    <row r="14" spans="1:42">
      <c r="A14" t="s">
        <v>300</v>
      </c>
      <c r="B14" t="s">
        <v>213</v>
      </c>
      <c r="C14" t="s">
        <v>139</v>
      </c>
      <c r="D14" t="str">
        <f>IFERROR(キャラマスタ[[#This Row],[初登場時の年齢]]+2,"")</f>
        <v/>
      </c>
      <c r="E14">
        <v>1</v>
      </c>
      <c r="F14">
        <v>1</v>
      </c>
      <c r="G14" s="2">
        <v>44600</v>
      </c>
      <c r="H14" t="str">
        <f>IFERROR(IF(キャラマスタ[[#This Row],[生存ステータス]]=1,1539-キャラマスタ[[#This Row],[初登場時の年齢]]+キャラマスタ[[#This Row],[死亡年]],1539-キャラマスタ[[#This Row],[初登場時の年齢]]),"")</f>
        <v/>
      </c>
      <c r="I14" t="s">
        <v>139</v>
      </c>
      <c r="L14" t="s">
        <v>18</v>
      </c>
      <c r="M14" t="s">
        <v>384</v>
      </c>
      <c r="N14" t="s">
        <v>19</v>
      </c>
      <c r="S14" t="s">
        <v>19</v>
      </c>
      <c r="T14" t="s">
        <v>116</v>
      </c>
      <c r="V14" t="s">
        <v>276</v>
      </c>
      <c r="W14" t="s">
        <v>277</v>
      </c>
      <c r="X14" t="s">
        <v>373</v>
      </c>
      <c r="Z14" t="str">
        <f>IF(キャラマスタ[[#This Row],[生存ステータス]]=1,1539+キャラマスタ[[#This Row],[死亡年]],"")</f>
        <v/>
      </c>
      <c r="AA14" t="s">
        <v>275</v>
      </c>
      <c r="AB14" t="s">
        <v>280</v>
      </c>
      <c r="AC14">
        <v>0</v>
      </c>
      <c r="AP14" t="s">
        <v>214</v>
      </c>
    </row>
    <row r="15" spans="1:42">
      <c r="A15" t="s">
        <v>301</v>
      </c>
      <c r="B15" t="s">
        <v>215</v>
      </c>
      <c r="C15" t="s">
        <v>139</v>
      </c>
      <c r="D15" t="str">
        <f>IFERROR(キャラマスタ[[#This Row],[初登場時の年齢]]+2,"")</f>
        <v/>
      </c>
      <c r="E15">
        <v>1</v>
      </c>
      <c r="F15">
        <v>1</v>
      </c>
      <c r="G15" s="2">
        <v>44620</v>
      </c>
      <c r="H15" t="str">
        <f>IFERROR(IF(キャラマスタ[[#This Row],[生存ステータス]]=1,1539-キャラマスタ[[#This Row],[初登場時の年齢]]+キャラマスタ[[#This Row],[死亡年]],1539-キャラマスタ[[#This Row],[初登場時の年齢]]),"")</f>
        <v/>
      </c>
      <c r="L15" t="s">
        <v>18</v>
      </c>
      <c r="M15" t="s">
        <v>384</v>
      </c>
      <c r="N15" t="s">
        <v>19</v>
      </c>
      <c r="S15" t="s">
        <v>19</v>
      </c>
      <c r="T15" t="s">
        <v>117</v>
      </c>
      <c r="V15" t="s">
        <v>274</v>
      </c>
      <c r="W15" t="s">
        <v>277</v>
      </c>
      <c r="X15" t="s">
        <v>373</v>
      </c>
      <c r="Z15" t="str">
        <f>IF(キャラマスタ[[#This Row],[生存ステータス]]=1,1539+キャラマスタ[[#This Row],[死亡年]],"")</f>
        <v/>
      </c>
      <c r="AA15">
        <v>0</v>
      </c>
      <c r="AB15" t="s">
        <v>259</v>
      </c>
      <c r="AC15">
        <v>0</v>
      </c>
    </row>
    <row r="16" spans="1:42">
      <c r="A16" t="s">
        <v>302</v>
      </c>
      <c r="B16" t="s">
        <v>118</v>
      </c>
      <c r="C16" t="s">
        <v>139</v>
      </c>
      <c r="D16" t="str">
        <f>IFERROR(キャラマスタ[[#This Row],[初登場時の年齢]]+2,"")</f>
        <v/>
      </c>
      <c r="E16">
        <v>1</v>
      </c>
      <c r="F16">
        <v>1</v>
      </c>
      <c r="G16" s="2">
        <v>44818</v>
      </c>
      <c r="H16" t="str">
        <f>IFERROR(IF(キャラマスタ[[#This Row],[生存ステータス]]=1,1539-キャラマスタ[[#This Row],[初登場時の年齢]]+キャラマスタ[[#This Row],[死亡年]],1539-キャラマスタ[[#This Row],[初登場時の年齢]]),"")</f>
        <v/>
      </c>
      <c r="L16" t="s">
        <v>119</v>
      </c>
      <c r="V16" t="s">
        <v>275</v>
      </c>
      <c r="W16" t="s">
        <v>279</v>
      </c>
      <c r="X16" t="s">
        <v>379</v>
      </c>
      <c r="Z16" t="str">
        <f>IF(キャラマスタ[[#This Row],[生存ステータス]]=1,1539+キャラマスタ[[#This Row],[死亡年]],"")</f>
        <v/>
      </c>
      <c r="AA16">
        <v>2</v>
      </c>
      <c r="AB16" t="s">
        <v>259</v>
      </c>
      <c r="AC16">
        <v>0</v>
      </c>
      <c r="AD16">
        <v>-3645</v>
      </c>
      <c r="AE16">
        <v>1</v>
      </c>
    </row>
    <row r="17" spans="1:42">
      <c r="A17" t="s">
        <v>303</v>
      </c>
      <c r="B17" t="s">
        <v>8</v>
      </c>
      <c r="C17">
        <v>16</v>
      </c>
      <c r="D17">
        <f>IFERROR(キャラマスタ[[#This Row],[初登場時の年齢]]+2,"")</f>
        <v>18</v>
      </c>
      <c r="E17">
        <v>1</v>
      </c>
      <c r="F17">
        <v>2</v>
      </c>
      <c r="G17" s="2">
        <v>43964</v>
      </c>
      <c r="H17">
        <f>IFERROR(IF(キャラマスタ[[#This Row],[生存ステータス]]=1,1539-キャラマスタ[[#This Row],[初登場時の年齢]]+キャラマスタ[[#This Row],[死亡年]],1539-キャラマスタ[[#This Row],[初登場時の年齢]]),"")</f>
        <v>1523</v>
      </c>
      <c r="I17">
        <v>167</v>
      </c>
      <c r="L17" t="s">
        <v>18</v>
      </c>
      <c r="R17" t="s">
        <v>446</v>
      </c>
      <c r="S17" t="s">
        <v>239</v>
      </c>
      <c r="T17" t="s">
        <v>376</v>
      </c>
      <c r="V17" t="s">
        <v>274</v>
      </c>
      <c r="W17" t="s">
        <v>277</v>
      </c>
      <c r="X17" t="s">
        <v>375</v>
      </c>
      <c r="Z17" t="str">
        <f>IF(キャラマスタ[[#This Row],[生存ステータス]]=1,1539+キャラマスタ[[#This Row],[死亡年]],"")</f>
        <v/>
      </c>
      <c r="AA17">
        <v>0</v>
      </c>
      <c r="AB17" t="s">
        <v>259</v>
      </c>
      <c r="AC17">
        <v>0</v>
      </c>
      <c r="AD17">
        <v>-730</v>
      </c>
      <c r="AE17">
        <v>9999</v>
      </c>
      <c r="AG17" t="s">
        <v>149</v>
      </c>
      <c r="AH17" t="s">
        <v>63</v>
      </c>
      <c r="AI17" t="s">
        <v>216</v>
      </c>
      <c r="AJ17" t="s">
        <v>64</v>
      </c>
      <c r="AK17" t="s">
        <v>217</v>
      </c>
      <c r="AP17" t="s">
        <v>62</v>
      </c>
    </row>
    <row r="18" spans="1:42">
      <c r="A18" t="s">
        <v>304</v>
      </c>
      <c r="B18" t="s">
        <v>9</v>
      </c>
      <c r="C18">
        <v>25</v>
      </c>
      <c r="D18">
        <f>IFERROR(キャラマスタ[[#This Row],[初登場時の年齢]]+2,"")</f>
        <v>27</v>
      </c>
      <c r="E18">
        <v>1</v>
      </c>
      <c r="F18">
        <v>2</v>
      </c>
      <c r="G18" s="2">
        <v>43904</v>
      </c>
      <c r="H18">
        <f>IFERROR(IF(キャラマスタ[[#This Row],[生存ステータス]]=1,1539-キャラマスタ[[#This Row],[初登場時の年齢]]+キャラマスタ[[#This Row],[死亡年]],1539-キャラマスタ[[#This Row],[初登場時の年齢]]),"")</f>
        <v>1514</v>
      </c>
      <c r="I18">
        <v>198</v>
      </c>
      <c r="J18" t="s">
        <v>584</v>
      </c>
      <c r="K18" t="s">
        <v>65</v>
      </c>
      <c r="L18" t="s">
        <v>18</v>
      </c>
      <c r="O18" t="s">
        <v>67</v>
      </c>
      <c r="P18" t="s">
        <v>1815</v>
      </c>
      <c r="Q18" t="s">
        <v>68</v>
      </c>
      <c r="R18" t="s">
        <v>443</v>
      </c>
      <c r="S18" t="s">
        <v>69</v>
      </c>
      <c r="T18" t="s">
        <v>39</v>
      </c>
      <c r="V18" t="s">
        <v>276</v>
      </c>
      <c r="W18" t="s">
        <v>277</v>
      </c>
      <c r="X18" t="s">
        <v>372</v>
      </c>
      <c r="Z18" t="str">
        <f>IF(キャラマスタ[[#This Row],[生存ステータス]]=1,1539+キャラマスタ[[#This Row],[死亡年]],"")</f>
        <v/>
      </c>
      <c r="AA18">
        <v>0</v>
      </c>
      <c r="AB18" t="s">
        <v>259</v>
      </c>
      <c r="AC18">
        <v>0</v>
      </c>
      <c r="AD18">
        <v>1.3</v>
      </c>
      <c r="AE18">
        <v>9999</v>
      </c>
      <c r="AF18" t="s">
        <v>99</v>
      </c>
      <c r="AG18" t="s">
        <v>22</v>
      </c>
      <c r="AH18" t="s">
        <v>66</v>
      </c>
    </row>
    <row r="19" spans="1:42">
      <c r="A19" t="s">
        <v>305</v>
      </c>
      <c r="B19" t="s">
        <v>218</v>
      </c>
      <c r="C19" t="s">
        <v>139</v>
      </c>
      <c r="D19" t="str">
        <f>IFERROR(キャラマスタ[[#This Row],[初登場時の年齢]]+2,"")</f>
        <v/>
      </c>
      <c r="E19">
        <v>1</v>
      </c>
      <c r="F19">
        <v>2</v>
      </c>
      <c r="G19" s="2">
        <v>44806</v>
      </c>
      <c r="H19" t="str">
        <f>IFERROR(IF(キャラマスタ[[#This Row],[生存ステータス]]=1,1539-キャラマスタ[[#This Row],[初登場時の年齢]]+キャラマスタ[[#This Row],[死亡年]],1539-キャラマスタ[[#This Row],[初登場時の年齢]]),"")</f>
        <v/>
      </c>
      <c r="L19" t="s">
        <v>18</v>
      </c>
      <c r="R19" t="s">
        <v>443</v>
      </c>
      <c r="S19" t="s">
        <v>69</v>
      </c>
      <c r="T19" t="s">
        <v>120</v>
      </c>
      <c r="V19" t="s">
        <v>274</v>
      </c>
      <c r="W19" t="s">
        <v>277</v>
      </c>
      <c r="X19" t="s">
        <v>372</v>
      </c>
      <c r="Z19" t="str">
        <f>IF(キャラマスタ[[#This Row],[生存ステータス]]=1,1539+キャラマスタ[[#This Row],[死亡年]],"")</f>
        <v/>
      </c>
      <c r="AA19" t="s">
        <v>275</v>
      </c>
      <c r="AB19" t="s">
        <v>280</v>
      </c>
      <c r="AC19">
        <v>0</v>
      </c>
    </row>
    <row r="20" spans="1:42">
      <c r="A20" t="s">
        <v>306</v>
      </c>
      <c r="B20" t="s">
        <v>219</v>
      </c>
      <c r="C20" t="s">
        <v>139</v>
      </c>
      <c r="D20" t="str">
        <f>IFERROR(キャラマスタ[[#This Row],[初登場時の年齢]]+2,"")</f>
        <v/>
      </c>
      <c r="E20">
        <v>1</v>
      </c>
      <c r="F20">
        <v>2</v>
      </c>
      <c r="G20" s="2">
        <v>44806</v>
      </c>
      <c r="H20" t="str">
        <f>IFERROR(IF(キャラマスタ[[#This Row],[生存ステータス]]=1,1539-キャラマスタ[[#This Row],[初登場時の年齢]]+キャラマスタ[[#This Row],[死亡年]],1539-キャラマスタ[[#This Row],[初登場時の年齢]]),"")</f>
        <v/>
      </c>
      <c r="L20" t="s">
        <v>18</v>
      </c>
      <c r="R20" t="s">
        <v>443</v>
      </c>
      <c r="S20" t="s">
        <v>69</v>
      </c>
      <c r="T20" t="s">
        <v>120</v>
      </c>
      <c r="V20" t="s">
        <v>274</v>
      </c>
      <c r="W20" t="s">
        <v>277</v>
      </c>
      <c r="X20" t="s">
        <v>372</v>
      </c>
      <c r="Z20" t="str">
        <f>IF(キャラマスタ[[#This Row],[生存ステータス]]=1,1539+キャラマスタ[[#This Row],[死亡年]],"")</f>
        <v/>
      </c>
      <c r="AA20" t="s">
        <v>275</v>
      </c>
      <c r="AB20" t="s">
        <v>280</v>
      </c>
      <c r="AC20">
        <v>0</v>
      </c>
    </row>
    <row r="21" spans="1:42">
      <c r="A21" t="s">
        <v>307</v>
      </c>
      <c r="B21" t="s">
        <v>220</v>
      </c>
      <c r="C21" t="s">
        <v>139</v>
      </c>
      <c r="D21" t="str">
        <f>IFERROR(キャラマスタ[[#This Row],[初登場時の年齢]]+2,"")</f>
        <v/>
      </c>
      <c r="E21">
        <v>1</v>
      </c>
      <c r="F21">
        <v>2</v>
      </c>
      <c r="G21" s="2">
        <v>44806</v>
      </c>
      <c r="H21" t="str">
        <f>IFERROR(IF(キャラマスタ[[#This Row],[生存ステータス]]=1,1539-キャラマスタ[[#This Row],[初登場時の年齢]]+キャラマスタ[[#This Row],[死亡年]],1539-キャラマスタ[[#This Row],[初登場時の年齢]]),"")</f>
        <v/>
      </c>
      <c r="L21" t="s">
        <v>18</v>
      </c>
      <c r="R21" t="s">
        <v>443</v>
      </c>
      <c r="S21" t="s">
        <v>69</v>
      </c>
      <c r="T21" t="s">
        <v>120</v>
      </c>
      <c r="V21" t="s">
        <v>274</v>
      </c>
      <c r="W21" t="s">
        <v>277</v>
      </c>
      <c r="X21" t="s">
        <v>372</v>
      </c>
      <c r="Z21" t="str">
        <f>IF(キャラマスタ[[#This Row],[生存ステータス]]=1,1539+キャラマスタ[[#This Row],[死亡年]],"")</f>
        <v/>
      </c>
      <c r="AA21" t="s">
        <v>275</v>
      </c>
      <c r="AB21" t="s">
        <v>280</v>
      </c>
      <c r="AC21">
        <v>0</v>
      </c>
    </row>
    <row r="22" spans="1:42">
      <c r="A22" t="s">
        <v>308</v>
      </c>
      <c r="B22" t="s">
        <v>229</v>
      </c>
      <c r="C22">
        <v>19</v>
      </c>
      <c r="D22">
        <f>IFERROR(キャラマスタ[[#This Row],[初登場時の年齢]]+2,"")</f>
        <v>21</v>
      </c>
      <c r="E22">
        <v>1</v>
      </c>
      <c r="F22">
        <v>3</v>
      </c>
      <c r="G22" s="2">
        <v>44146</v>
      </c>
      <c r="H22">
        <f>IFERROR(IF(キャラマスタ[[#This Row],[生存ステータス]]=1,1539-キャラマスタ[[#This Row],[初登場時の年齢]]+キャラマスタ[[#This Row],[死亡年]],1539-キャラマスタ[[#This Row],[初登場時の年齢]]),"")</f>
        <v>1520</v>
      </c>
      <c r="I22">
        <v>178</v>
      </c>
      <c r="J22" t="s">
        <v>400</v>
      </c>
      <c r="K22" s="9" t="s">
        <v>581</v>
      </c>
      <c r="L22" t="s">
        <v>18</v>
      </c>
      <c r="M22" t="s">
        <v>402</v>
      </c>
      <c r="N22" t="s">
        <v>71</v>
      </c>
      <c r="O22" t="s">
        <v>73</v>
      </c>
      <c r="R22" t="s">
        <v>507</v>
      </c>
      <c r="S22" t="s">
        <v>15</v>
      </c>
      <c r="T22" t="s">
        <v>74</v>
      </c>
      <c r="V22" t="s">
        <v>274</v>
      </c>
      <c r="W22" t="s">
        <v>277</v>
      </c>
      <c r="X22" t="s">
        <v>372</v>
      </c>
      <c r="Z22" t="str">
        <f>IF(キャラマスタ[[#This Row],[生存ステータス]]=1,1539+キャラマスタ[[#This Row],[死亡年]],"")</f>
        <v/>
      </c>
      <c r="AA22">
        <v>0</v>
      </c>
      <c r="AB22" t="s">
        <v>258</v>
      </c>
      <c r="AC22">
        <v>0</v>
      </c>
      <c r="AD22">
        <v>-4000</v>
      </c>
      <c r="AE22">
        <v>9999</v>
      </c>
      <c r="AF22" t="s">
        <v>100</v>
      </c>
      <c r="AG22" t="s">
        <v>29</v>
      </c>
      <c r="AH22" t="s">
        <v>72</v>
      </c>
      <c r="AK22" t="s">
        <v>159</v>
      </c>
      <c r="AP22" t="s">
        <v>70</v>
      </c>
    </row>
    <row r="23" spans="1:42">
      <c r="A23" t="s">
        <v>309</v>
      </c>
      <c r="B23" t="s">
        <v>221</v>
      </c>
      <c r="C23" t="s">
        <v>139</v>
      </c>
      <c r="D23" t="str">
        <f>IFERROR(キャラマスタ[[#This Row],[初登場時の年齢]]+2,"")</f>
        <v/>
      </c>
      <c r="E23">
        <v>1</v>
      </c>
      <c r="F23">
        <v>3</v>
      </c>
      <c r="G23" s="2">
        <v>44730</v>
      </c>
      <c r="H23" t="str">
        <f>IFERROR(IF(キャラマスタ[[#This Row],[生存ステータス]]=1,1539-キャラマスタ[[#This Row],[初登場時の年齢]]+キャラマスタ[[#This Row],[死亡年]],1539-キャラマスタ[[#This Row],[初登場時の年齢]]),"")</f>
        <v/>
      </c>
      <c r="L23" t="s">
        <v>18</v>
      </c>
      <c r="M23" t="s">
        <v>388</v>
      </c>
      <c r="N23" t="s">
        <v>77</v>
      </c>
      <c r="V23" t="s">
        <v>276</v>
      </c>
      <c r="W23" t="s">
        <v>277</v>
      </c>
      <c r="X23" t="s">
        <v>373</v>
      </c>
      <c r="Z23" t="str">
        <f>IF(キャラマスタ[[#This Row],[生存ステータス]]=1,1539+キャラマスタ[[#This Row],[死亡年]],"")</f>
        <v/>
      </c>
      <c r="AA23">
        <v>0</v>
      </c>
      <c r="AB23" t="s">
        <v>280</v>
      </c>
      <c r="AC23">
        <v>0</v>
      </c>
      <c r="AP23" t="s">
        <v>122</v>
      </c>
    </row>
    <row r="24" spans="1:42">
      <c r="A24" t="s">
        <v>310</v>
      </c>
      <c r="B24" t="s">
        <v>10</v>
      </c>
      <c r="C24">
        <v>20</v>
      </c>
      <c r="D24">
        <f>IFERROR(キャラマスタ[[#This Row],[初登場時の年齢]]+2,"")</f>
        <v>22</v>
      </c>
      <c r="E24">
        <v>1</v>
      </c>
      <c r="F24">
        <v>3</v>
      </c>
      <c r="G24" s="2">
        <v>44028</v>
      </c>
      <c r="H24">
        <f>IFERROR(IF(キャラマスタ[[#This Row],[生存ステータス]]=1,1539-キャラマスタ[[#This Row],[初登場時の年齢]]+キャラマスタ[[#This Row],[死亡年]],1539-キャラマスタ[[#This Row],[初登場時の年齢]]),"")</f>
        <v>1519</v>
      </c>
      <c r="I24">
        <v>179</v>
      </c>
      <c r="L24" t="s">
        <v>18</v>
      </c>
      <c r="M24" t="s">
        <v>388</v>
      </c>
      <c r="N24" t="s">
        <v>77</v>
      </c>
      <c r="R24" t="s">
        <v>446</v>
      </c>
      <c r="S24" t="s">
        <v>473</v>
      </c>
      <c r="T24" t="s">
        <v>474</v>
      </c>
      <c r="V24" t="s">
        <v>274</v>
      </c>
      <c r="W24" t="s">
        <v>277</v>
      </c>
      <c r="X24" t="s">
        <v>375</v>
      </c>
      <c r="Z24" t="str">
        <f>IF(キャラマスタ[[#This Row],[生存ステータス]]=1,1539+キャラマスタ[[#This Row],[死亡年]],"")</f>
        <v/>
      </c>
      <c r="AA24">
        <v>0</v>
      </c>
      <c r="AB24" t="s">
        <v>259</v>
      </c>
      <c r="AC24">
        <v>0</v>
      </c>
      <c r="AD24">
        <v>1.5</v>
      </c>
      <c r="AE24">
        <v>9999</v>
      </c>
      <c r="AG24" t="s">
        <v>22</v>
      </c>
      <c r="AH24" t="s">
        <v>80</v>
      </c>
    </row>
    <row r="25" spans="1:42">
      <c r="A25" t="s">
        <v>311</v>
      </c>
      <c r="B25" t="s">
        <v>222</v>
      </c>
      <c r="C25" t="s">
        <v>139</v>
      </c>
      <c r="D25" t="str">
        <f>IFERROR(キャラマスタ[[#This Row],[初登場時の年齢]]+2,"")</f>
        <v/>
      </c>
      <c r="E25">
        <v>1</v>
      </c>
      <c r="F25">
        <v>3</v>
      </c>
      <c r="G25" s="2">
        <v>44876</v>
      </c>
      <c r="H25" t="str">
        <f>IFERROR(IF(キャラマスタ[[#This Row],[生存ステータス]]=1,1539-キャラマスタ[[#This Row],[初登場時の年齢]]+キャラマスタ[[#This Row],[死亡年]],1539-キャラマスタ[[#This Row],[初登場時の年齢]]),"")</f>
        <v/>
      </c>
      <c r="L25" t="s">
        <v>18</v>
      </c>
      <c r="S25" t="s">
        <v>121</v>
      </c>
      <c r="V25" t="s">
        <v>275</v>
      </c>
      <c r="W25" t="s">
        <v>324</v>
      </c>
      <c r="X25" t="s">
        <v>379</v>
      </c>
      <c r="Z25" t="str">
        <f>IF(キャラマスタ[[#This Row],[生存ステータス]]=1,1539+キャラマスタ[[#This Row],[死亡年]],"")</f>
        <v/>
      </c>
      <c r="AA25" t="s">
        <v>275</v>
      </c>
      <c r="AB25" t="s">
        <v>280</v>
      </c>
      <c r="AC25">
        <v>0</v>
      </c>
    </row>
    <row r="26" spans="1:42">
      <c r="A26" t="s">
        <v>312</v>
      </c>
      <c r="B26" t="s">
        <v>223</v>
      </c>
      <c r="C26" t="s">
        <v>139</v>
      </c>
      <c r="D26" t="str">
        <f>IFERROR(キャラマスタ[[#This Row],[初登場時の年齢]]+2,"")</f>
        <v/>
      </c>
      <c r="E26">
        <v>1</v>
      </c>
      <c r="F26">
        <v>4</v>
      </c>
      <c r="G26" s="2">
        <v>44880</v>
      </c>
      <c r="H26" t="str">
        <f>IFERROR(IF(キャラマスタ[[#This Row],[生存ステータス]]=1,1539-キャラマスタ[[#This Row],[初登場時の年齢]]+キャラマスタ[[#This Row],[死亡年]],1539-キャラマスタ[[#This Row],[初登場時の年齢]]),"")</f>
        <v/>
      </c>
      <c r="L26" t="s">
        <v>18</v>
      </c>
      <c r="M26" t="s">
        <v>388</v>
      </c>
      <c r="N26" t="s">
        <v>77</v>
      </c>
      <c r="V26" t="s">
        <v>276</v>
      </c>
      <c r="W26" t="s">
        <v>277</v>
      </c>
      <c r="X26" t="s">
        <v>373</v>
      </c>
      <c r="Z26" t="str">
        <f>IF(キャラマスタ[[#This Row],[生存ステータス]]=1,1539+キャラマスタ[[#This Row],[死亡年]],"")</f>
        <v/>
      </c>
      <c r="AA26" t="s">
        <v>275</v>
      </c>
      <c r="AB26" t="s">
        <v>280</v>
      </c>
      <c r="AC26">
        <v>0</v>
      </c>
      <c r="AP26" t="s">
        <v>123</v>
      </c>
    </row>
    <row r="27" spans="1:42">
      <c r="A27" t="s">
        <v>313</v>
      </c>
      <c r="B27" t="s">
        <v>11</v>
      </c>
      <c r="C27">
        <v>42</v>
      </c>
      <c r="D27" t="s">
        <v>534</v>
      </c>
      <c r="E27">
        <v>1</v>
      </c>
      <c r="F27">
        <v>4</v>
      </c>
      <c r="G27" s="2">
        <v>43934</v>
      </c>
      <c r="H27">
        <f>IFERROR(IF(キャラマスタ[[#This Row],[生存ステータス]]=1,1539-キャラマスタ[[#This Row],[初登場時の年齢]]+キャラマスタ[[#This Row],[死亡年]],1539-キャラマスタ[[#This Row],[初登場時の年齢]]),"")</f>
        <v>1497</v>
      </c>
      <c r="I27">
        <v>285</v>
      </c>
      <c r="L27" t="s">
        <v>18</v>
      </c>
      <c r="M27" t="s">
        <v>388</v>
      </c>
      <c r="N27" t="s">
        <v>77</v>
      </c>
      <c r="O27" t="s">
        <v>82</v>
      </c>
      <c r="R27" t="s">
        <v>446</v>
      </c>
      <c r="S27" t="s">
        <v>141</v>
      </c>
      <c r="T27" t="s">
        <v>83</v>
      </c>
      <c r="V27" t="s">
        <v>274</v>
      </c>
      <c r="W27" t="s">
        <v>277</v>
      </c>
      <c r="X27" t="s">
        <v>377</v>
      </c>
      <c r="Z27" t="str">
        <f>IF(キャラマスタ[[#This Row],[生存ステータス]]=1,1539+キャラマスタ[[#This Row],[死亡年]],"")</f>
        <v/>
      </c>
      <c r="AA27">
        <v>0</v>
      </c>
      <c r="AB27" t="s">
        <v>259</v>
      </c>
      <c r="AC27">
        <v>0</v>
      </c>
      <c r="AD27">
        <v>1.5</v>
      </c>
      <c r="AE27">
        <v>9999</v>
      </c>
      <c r="AF27" t="s">
        <v>102</v>
      </c>
      <c r="AG27" t="s">
        <v>29</v>
      </c>
      <c r="AH27" t="s">
        <v>81</v>
      </c>
      <c r="AP27" t="s">
        <v>84</v>
      </c>
    </row>
    <row r="28" spans="1:42">
      <c r="A28" t="s">
        <v>314</v>
      </c>
      <c r="B28" t="s">
        <v>124</v>
      </c>
      <c r="C28" t="s">
        <v>139</v>
      </c>
      <c r="D28" t="str">
        <f>IFERROR(キャラマスタ[[#This Row],[初登場時の年齢]]+2,"")</f>
        <v/>
      </c>
      <c r="E28">
        <v>1</v>
      </c>
      <c r="F28">
        <v>4</v>
      </c>
      <c r="G28" s="2">
        <v>44731</v>
      </c>
      <c r="H28" t="str">
        <f>IFERROR(IF(キャラマスタ[[#This Row],[生存ステータス]]=1,1539-キャラマスタ[[#This Row],[初登場時の年齢]]+キャラマスタ[[#This Row],[死亡年]],1539-キャラマスタ[[#This Row],[初登場時の年齢]]),"")</f>
        <v/>
      </c>
      <c r="L28" t="s">
        <v>18</v>
      </c>
      <c r="R28" t="s">
        <v>446</v>
      </c>
      <c r="S28" t="s">
        <v>142</v>
      </c>
      <c r="T28" t="s">
        <v>125</v>
      </c>
      <c r="V28" t="s">
        <v>274</v>
      </c>
      <c r="W28" t="s">
        <v>277</v>
      </c>
      <c r="X28" t="s">
        <v>375</v>
      </c>
      <c r="Z28" t="str">
        <f>IF(キャラマスタ[[#This Row],[生存ステータス]]=1,1539+キャラマスタ[[#This Row],[死亡年]],"")</f>
        <v/>
      </c>
      <c r="AA28" t="s">
        <v>275</v>
      </c>
      <c r="AB28" t="s">
        <v>280</v>
      </c>
      <c r="AC28">
        <v>0</v>
      </c>
      <c r="AP28" t="s">
        <v>126</v>
      </c>
    </row>
    <row r="29" spans="1:42">
      <c r="A29" t="s">
        <v>315</v>
      </c>
      <c r="B29" t="s">
        <v>127</v>
      </c>
      <c r="C29" t="s">
        <v>139</v>
      </c>
      <c r="D29" t="str">
        <f>IFERROR(キャラマスタ[[#This Row],[初登場時の年齢]]+2,"")</f>
        <v/>
      </c>
      <c r="E29">
        <v>1</v>
      </c>
      <c r="F29">
        <v>4</v>
      </c>
      <c r="G29" s="2">
        <v>44609</v>
      </c>
      <c r="H29" t="str">
        <f>IFERROR(IF(キャラマスタ[[#This Row],[生存ステータス]]=1,1539-キャラマスタ[[#This Row],[初登場時の年齢]]+キャラマスタ[[#This Row],[死亡年]],1539-キャラマスタ[[#This Row],[初登場時の年齢]]),"")</f>
        <v/>
      </c>
      <c r="L29" t="s">
        <v>18</v>
      </c>
      <c r="R29" t="s">
        <v>446</v>
      </c>
      <c r="S29" t="s">
        <v>142</v>
      </c>
      <c r="T29" t="s">
        <v>103</v>
      </c>
      <c r="V29" t="s">
        <v>274</v>
      </c>
      <c r="W29" t="s">
        <v>277</v>
      </c>
      <c r="X29" t="s">
        <v>375</v>
      </c>
      <c r="Z29" t="str">
        <f>IF(キャラマスタ[[#This Row],[生存ステータス]]=1,1539+キャラマスタ[[#This Row],[死亡年]],"")</f>
        <v/>
      </c>
      <c r="AA29" t="s">
        <v>275</v>
      </c>
      <c r="AB29" t="s">
        <v>280</v>
      </c>
      <c r="AC29">
        <v>0</v>
      </c>
      <c r="AP29" t="s">
        <v>128</v>
      </c>
    </row>
    <row r="30" spans="1:42">
      <c r="A30" t="s">
        <v>316</v>
      </c>
      <c r="B30" t="s">
        <v>12</v>
      </c>
      <c r="C30">
        <v>11</v>
      </c>
      <c r="D30" t="s">
        <v>534</v>
      </c>
      <c r="E30">
        <v>1</v>
      </c>
      <c r="F30">
        <v>5</v>
      </c>
      <c r="G30" s="2">
        <v>44091</v>
      </c>
      <c r="H30">
        <f>IFERROR(IF(キャラマスタ[[#This Row],[生存ステータス]]=1,1539-キャラマスタ[[#This Row],[初登場時の年齢]]+キャラマスタ[[#This Row],[死亡年]],1539-キャラマスタ[[#This Row],[初登場時の年齢]]),"")</f>
        <v>1517</v>
      </c>
      <c r="I30">
        <v>150</v>
      </c>
      <c r="L30" t="s">
        <v>18</v>
      </c>
      <c r="M30" t="s">
        <v>402</v>
      </c>
      <c r="N30" t="s">
        <v>71</v>
      </c>
      <c r="S30" t="s">
        <v>87</v>
      </c>
      <c r="T30" t="s">
        <v>88</v>
      </c>
      <c r="V30" t="s">
        <v>276</v>
      </c>
      <c r="W30" t="s">
        <v>277</v>
      </c>
      <c r="X30" t="s">
        <v>373</v>
      </c>
      <c r="Y30">
        <v>-11</v>
      </c>
      <c r="Z30">
        <f>IF(キャラマスタ[[#This Row],[生存ステータス]]=1,1539+キャラマスタ[[#This Row],[死亡年]],"")</f>
        <v>1528</v>
      </c>
      <c r="AA30">
        <v>1</v>
      </c>
      <c r="AB30" t="s">
        <v>259</v>
      </c>
      <c r="AC30">
        <v>0</v>
      </c>
      <c r="AD30">
        <v>-4000</v>
      </c>
      <c r="AE30">
        <v>-3950</v>
      </c>
      <c r="AG30" t="s">
        <v>22</v>
      </c>
      <c r="AH30" t="s">
        <v>86</v>
      </c>
      <c r="AP30" t="s">
        <v>157</v>
      </c>
    </row>
    <row r="31" spans="1:42">
      <c r="A31" t="s">
        <v>317</v>
      </c>
      <c r="B31" t="s">
        <v>13</v>
      </c>
      <c r="C31">
        <v>49</v>
      </c>
      <c r="D31">
        <f>IFERROR(キャラマスタ[[#This Row],[初登場時の年齢]]+2,"")</f>
        <v>51</v>
      </c>
      <c r="E31">
        <v>1</v>
      </c>
      <c r="F31">
        <v>5</v>
      </c>
      <c r="G31" s="2">
        <v>43955</v>
      </c>
      <c r="H31">
        <f>IFERROR(IF(キャラマスタ[[#This Row],[生存ステータス]]=1,1539-キャラマスタ[[#This Row],[初登場時の年齢]]+キャラマスタ[[#This Row],[死亡年]],1539-キャラマスタ[[#This Row],[初登場時の年齢]]),"")</f>
        <v>1490</v>
      </c>
      <c r="I31">
        <v>184</v>
      </c>
      <c r="L31" t="s">
        <v>18</v>
      </c>
      <c r="S31" t="s">
        <v>90</v>
      </c>
      <c r="T31" t="s">
        <v>91</v>
      </c>
      <c r="V31" t="s">
        <v>274</v>
      </c>
      <c r="W31" t="s">
        <v>277</v>
      </c>
      <c r="X31" t="s">
        <v>373</v>
      </c>
      <c r="Z31" t="str">
        <f>IF(キャラマスタ[[#This Row],[生存ステータス]]=1,1539+キャラマスタ[[#This Row],[死亡年]],"")</f>
        <v/>
      </c>
      <c r="AA31">
        <v>0</v>
      </c>
      <c r="AB31" t="s">
        <v>259</v>
      </c>
      <c r="AC31">
        <v>0</v>
      </c>
      <c r="AG31" t="s">
        <v>22</v>
      </c>
      <c r="AH31" t="s">
        <v>89</v>
      </c>
      <c r="AP31" t="s">
        <v>158</v>
      </c>
    </row>
    <row r="32" spans="1:42">
      <c r="A32" t="s">
        <v>318</v>
      </c>
      <c r="B32" t="s">
        <v>129</v>
      </c>
      <c r="C32" t="s">
        <v>139</v>
      </c>
      <c r="D32" t="str">
        <f>IFERROR(キャラマスタ[[#This Row],[初登場時の年齢]]+2,"")</f>
        <v/>
      </c>
      <c r="E32">
        <v>1</v>
      </c>
      <c r="F32">
        <v>7</v>
      </c>
      <c r="G32" s="2">
        <v>44725</v>
      </c>
      <c r="H32" t="str">
        <f>IFERROR(IF(キャラマスタ[[#This Row],[生存ステータス]]=1,1539-キャラマスタ[[#This Row],[初登場時の年齢]]+キャラマスタ[[#This Row],[死亡年]],1539-キャラマスタ[[#This Row],[初登場時の年齢]]),"")</f>
        <v/>
      </c>
      <c r="L32" t="s">
        <v>18</v>
      </c>
      <c r="R32" t="s">
        <v>446</v>
      </c>
      <c r="S32" t="s">
        <v>142</v>
      </c>
      <c r="T32" t="s">
        <v>131</v>
      </c>
      <c r="V32" t="s">
        <v>274</v>
      </c>
      <c r="W32" t="s">
        <v>277</v>
      </c>
      <c r="X32" t="s">
        <v>375</v>
      </c>
      <c r="Z32" t="str">
        <f>IF(キャラマスタ[[#This Row],[生存ステータス]]=1,1539+キャラマスタ[[#This Row],[死亡年]],"")</f>
        <v/>
      </c>
      <c r="AA32" t="s">
        <v>275</v>
      </c>
      <c r="AB32" t="s">
        <v>280</v>
      </c>
      <c r="AC32">
        <v>0</v>
      </c>
      <c r="AP32" t="s">
        <v>130</v>
      </c>
    </row>
    <row r="33" spans="1:42">
      <c r="A33" t="s">
        <v>319</v>
      </c>
      <c r="B33" t="s">
        <v>132</v>
      </c>
      <c r="C33" t="s">
        <v>139</v>
      </c>
      <c r="D33" t="str">
        <f>IFERROR(キャラマスタ[[#This Row],[初登場時の年齢]]+2,"")</f>
        <v/>
      </c>
      <c r="E33">
        <v>1</v>
      </c>
      <c r="F33">
        <v>8</v>
      </c>
      <c r="G33" s="2">
        <v>44833</v>
      </c>
      <c r="H33" t="str">
        <f>IFERROR(IF(キャラマスタ[[#This Row],[生存ステータス]]=1,1539-キャラマスタ[[#This Row],[初登場時の年齢]]+キャラマスタ[[#This Row],[死亡年]],1539-キャラマスタ[[#This Row],[初登場時の年齢]]),"")</f>
        <v/>
      </c>
      <c r="L33" t="s">
        <v>18</v>
      </c>
      <c r="S33" t="s">
        <v>134</v>
      </c>
      <c r="V33" t="s">
        <v>275</v>
      </c>
      <c r="W33" t="s">
        <v>323</v>
      </c>
      <c r="X33" t="s">
        <v>379</v>
      </c>
      <c r="Z33" t="str">
        <f>IF(キャラマスタ[[#This Row],[生存ステータス]]=1,1539+キャラマスタ[[#This Row],[死亡年]],"")</f>
        <v/>
      </c>
      <c r="AA33" t="s">
        <v>275</v>
      </c>
      <c r="AB33" t="s">
        <v>280</v>
      </c>
      <c r="AC33">
        <v>0</v>
      </c>
      <c r="AP33" t="s">
        <v>133</v>
      </c>
    </row>
    <row r="34" spans="1:42">
      <c r="A34" t="s">
        <v>320</v>
      </c>
      <c r="B34" t="s">
        <v>135</v>
      </c>
      <c r="C34" t="s">
        <v>139</v>
      </c>
      <c r="D34" t="str">
        <f>IFERROR(キャラマスタ[[#This Row],[初登場時の年齢]]+2,"")</f>
        <v/>
      </c>
      <c r="E34">
        <v>1</v>
      </c>
      <c r="F34">
        <v>8</v>
      </c>
      <c r="G34" s="2">
        <v>44617</v>
      </c>
      <c r="H34" t="str">
        <f>IFERROR(IF(キャラマスタ[[#This Row],[生存ステータス]]=1,1539-キャラマスタ[[#This Row],[初登場時の年齢]]+キャラマスタ[[#This Row],[死亡年]],1539-キャラマスタ[[#This Row],[初登場時の年齢]]),"")</f>
        <v/>
      </c>
      <c r="L34" t="s">
        <v>18</v>
      </c>
      <c r="R34" t="s">
        <v>449</v>
      </c>
      <c r="S34" t="s">
        <v>97</v>
      </c>
      <c r="V34" t="s">
        <v>274</v>
      </c>
      <c r="W34" t="s">
        <v>277</v>
      </c>
      <c r="X34" t="s">
        <v>372</v>
      </c>
      <c r="Z34" t="str">
        <f>IF(キャラマスタ[[#This Row],[生存ステータス]]=1,1539+キャラマスタ[[#This Row],[死亡年]],"")</f>
        <v/>
      </c>
      <c r="AA34" t="s">
        <v>275</v>
      </c>
      <c r="AB34" t="s">
        <v>280</v>
      </c>
      <c r="AC34">
        <v>0</v>
      </c>
      <c r="AP34" t="s">
        <v>136</v>
      </c>
    </row>
    <row r="35" spans="1:42">
      <c r="A35" t="s">
        <v>321</v>
      </c>
      <c r="B35" t="s">
        <v>230</v>
      </c>
      <c r="C35">
        <v>18</v>
      </c>
      <c r="D35">
        <f>IFERROR(キャラマスタ[[#This Row],[初登場時の年齢]]+2,"")</f>
        <v>20</v>
      </c>
      <c r="E35">
        <v>1</v>
      </c>
      <c r="F35">
        <v>8</v>
      </c>
      <c r="G35" s="2">
        <v>44745</v>
      </c>
      <c r="H35">
        <f>IFERROR(IF(キャラマスタ[[#This Row],[生存ステータス]]=1,1539-キャラマスタ[[#This Row],[初登場時の年齢]]+キャラマスタ[[#This Row],[死亡年]],1539-キャラマスタ[[#This Row],[初登場時の年齢]]),"")</f>
        <v>1521</v>
      </c>
      <c r="I35">
        <v>169</v>
      </c>
      <c r="J35" t="s">
        <v>400</v>
      </c>
      <c r="K35" s="9" t="s">
        <v>581</v>
      </c>
      <c r="L35" t="s">
        <v>18</v>
      </c>
      <c r="M35" t="s">
        <v>1273</v>
      </c>
      <c r="N35" t="s">
        <v>94</v>
      </c>
      <c r="R35" t="s">
        <v>439</v>
      </c>
      <c r="S35" t="s">
        <v>237</v>
      </c>
      <c r="T35" t="s">
        <v>957</v>
      </c>
      <c r="V35" t="s">
        <v>276</v>
      </c>
      <c r="W35" t="s">
        <v>277</v>
      </c>
      <c r="X35" t="s">
        <v>378</v>
      </c>
      <c r="Z35" t="str">
        <f>IF(キャラマスタ[[#This Row],[生存ステータス]]=1,1539+キャラマスタ[[#This Row],[死亡年]],"")</f>
        <v/>
      </c>
      <c r="AA35">
        <v>0</v>
      </c>
      <c r="AB35" t="s">
        <v>258</v>
      </c>
      <c r="AC35">
        <v>0</v>
      </c>
      <c r="AD35">
        <v>-2920</v>
      </c>
      <c r="AE35">
        <v>9999</v>
      </c>
      <c r="AF35" t="s">
        <v>806</v>
      </c>
      <c r="AG35" t="s">
        <v>54</v>
      </c>
      <c r="AH35" t="s">
        <v>95</v>
      </c>
      <c r="AI35" t="s">
        <v>96</v>
      </c>
      <c r="AK35" t="s">
        <v>202</v>
      </c>
      <c r="AP35" t="s">
        <v>140</v>
      </c>
    </row>
    <row r="36" spans="1:42">
      <c r="A36" t="s">
        <v>322</v>
      </c>
      <c r="B36" t="s">
        <v>137</v>
      </c>
      <c r="C36" t="s">
        <v>139</v>
      </c>
      <c r="D36" t="str">
        <f>IFERROR(キャラマスタ[[#This Row],[初登場時の年齢]]+2,"")</f>
        <v/>
      </c>
      <c r="E36">
        <v>1</v>
      </c>
      <c r="F36">
        <v>8</v>
      </c>
      <c r="G36" s="2">
        <v>44611</v>
      </c>
      <c r="H36" t="str">
        <f>IFERROR(IF(キャラマスタ[[#This Row],[生存ステータス]]=1,1539-キャラマスタ[[#This Row],[初登場時の年齢]]+キャラマスタ[[#This Row],[死亡年]],1539-キャラマスタ[[#This Row],[初登場時の年齢]]),"")</f>
        <v/>
      </c>
      <c r="L36" t="s">
        <v>18</v>
      </c>
      <c r="R36" t="s">
        <v>449</v>
      </c>
      <c r="S36" t="s">
        <v>97</v>
      </c>
      <c r="V36" t="s">
        <v>274</v>
      </c>
      <c r="W36" t="s">
        <v>277</v>
      </c>
      <c r="X36" t="s">
        <v>372</v>
      </c>
      <c r="Z36" t="str">
        <f>IF(キャラマスタ[[#This Row],[生存ステータス]]=1,1539+キャラマスタ[[#This Row],[死亡年]],"")</f>
        <v/>
      </c>
      <c r="AA36" t="s">
        <v>275</v>
      </c>
      <c r="AB36" t="s">
        <v>280</v>
      </c>
      <c r="AC36">
        <v>0</v>
      </c>
      <c r="AP36" t="s">
        <v>138</v>
      </c>
    </row>
    <row r="37" spans="1:42">
      <c r="A37" t="s">
        <v>571</v>
      </c>
      <c r="B37" t="s">
        <v>568</v>
      </c>
      <c r="C37">
        <v>37</v>
      </c>
      <c r="D37">
        <f>IFERROR(キャラマスタ[[#This Row],[初登場時の年齢]]+2,"")</f>
        <v>39</v>
      </c>
      <c r="E37">
        <v>2</v>
      </c>
      <c r="F37">
        <v>9</v>
      </c>
      <c r="G37" s="2">
        <v>44051</v>
      </c>
      <c r="H37">
        <f>IFERROR(IF(キャラマスタ[[#This Row],[生存ステータス]]=1,1539-キャラマスタ[[#This Row],[初登場時の年齢]]+キャラマスタ[[#This Row],[死亡年]],1539-キャラマスタ[[#This Row],[初登場時の年齢]]),"")</f>
        <v>1502</v>
      </c>
      <c r="I37">
        <v>192</v>
      </c>
      <c r="J37" t="s">
        <v>585</v>
      </c>
      <c r="K37" t="s">
        <v>540</v>
      </c>
      <c r="L37" t="s">
        <v>527</v>
      </c>
      <c r="O37" t="s">
        <v>591</v>
      </c>
      <c r="P37" t="s">
        <v>592</v>
      </c>
      <c r="Q37" t="s">
        <v>528</v>
      </c>
      <c r="R37" t="s">
        <v>449</v>
      </c>
      <c r="S37" t="s">
        <v>97</v>
      </c>
      <c r="T37" t="s">
        <v>39</v>
      </c>
      <c r="V37" t="s">
        <v>274</v>
      </c>
      <c r="W37" t="s">
        <v>277</v>
      </c>
      <c r="X37" t="s">
        <v>372</v>
      </c>
      <c r="Z37" t="str">
        <f>IF(キャラマスタ[[#This Row],[生存ステータス]]=1,1539+キャラマスタ[[#This Row],[死亡年]],"")</f>
        <v/>
      </c>
      <c r="AA37">
        <v>0</v>
      </c>
      <c r="AB37" t="s">
        <v>598</v>
      </c>
      <c r="AC37">
        <v>0</v>
      </c>
      <c r="AD37">
        <v>-9125</v>
      </c>
      <c r="AE37">
        <v>9999</v>
      </c>
      <c r="AG37" t="s">
        <v>149</v>
      </c>
      <c r="AH37" t="s">
        <v>555</v>
      </c>
      <c r="AI37" t="s">
        <v>556</v>
      </c>
      <c r="AJ37" t="s">
        <v>529</v>
      </c>
      <c r="AK37" t="s">
        <v>557</v>
      </c>
      <c r="AM37" t="s">
        <v>530</v>
      </c>
      <c r="AN37" t="s">
        <v>558</v>
      </c>
      <c r="AO37" t="s">
        <v>531</v>
      </c>
      <c r="AP37" t="s">
        <v>532</v>
      </c>
    </row>
    <row r="38" spans="1:42">
      <c r="A38" t="s">
        <v>572</v>
      </c>
      <c r="B38" t="s">
        <v>533</v>
      </c>
      <c r="C38" t="s">
        <v>139</v>
      </c>
      <c r="D38" t="str">
        <f>IFERROR(キャラマスタ[[#This Row],[初登場時の年齢]]+2,"")</f>
        <v/>
      </c>
      <c r="E38">
        <v>2</v>
      </c>
      <c r="F38">
        <v>9</v>
      </c>
      <c r="G38" s="2">
        <v>44591</v>
      </c>
      <c r="H38" t="str">
        <f>IFERROR(IF(キャラマスタ[[#This Row],[生存ステータス]]=1,1539-キャラマスタ[[#This Row],[初登場時の年齢]]+キャラマスタ[[#This Row],[死亡年]],1539-キャラマスタ[[#This Row],[初登場時の年齢]]),"")</f>
        <v/>
      </c>
      <c r="S38" t="s">
        <v>535</v>
      </c>
      <c r="V38" t="s">
        <v>594</v>
      </c>
      <c r="W38" t="s">
        <v>595</v>
      </c>
      <c r="X38" t="s">
        <v>594</v>
      </c>
      <c r="Z38" t="str">
        <f>IF(キャラマスタ[[#This Row],[生存ステータス]]=1,1539+キャラマスタ[[#This Row],[死亡年]],"")</f>
        <v/>
      </c>
      <c r="AA38" t="s">
        <v>594</v>
      </c>
      <c r="AB38" t="s">
        <v>599</v>
      </c>
      <c r="AC38">
        <v>0</v>
      </c>
      <c r="AP38" t="s">
        <v>536</v>
      </c>
    </row>
    <row r="39" spans="1:42">
      <c r="A39" t="s">
        <v>573</v>
      </c>
      <c r="B39" t="s">
        <v>537</v>
      </c>
      <c r="C39" t="s">
        <v>139</v>
      </c>
      <c r="D39" t="str">
        <f>IFERROR(キャラマスタ[[#This Row],[初登場時の年齢]]+2,"")</f>
        <v/>
      </c>
      <c r="E39">
        <v>2</v>
      </c>
      <c r="F39">
        <v>10</v>
      </c>
      <c r="G39" s="2">
        <v>44755</v>
      </c>
      <c r="H39" t="str">
        <f>IFERROR(IF(キャラマスタ[[#This Row],[生存ステータス]]=1,1539-キャラマスタ[[#This Row],[初登場時の年齢]]+キャラマスタ[[#This Row],[死亡年]],1539-キャラマスタ[[#This Row],[初登場時の年齢]]),"")</f>
        <v/>
      </c>
      <c r="L39" t="s">
        <v>18</v>
      </c>
      <c r="R39" t="s">
        <v>449</v>
      </c>
      <c r="S39" t="s">
        <v>97</v>
      </c>
      <c r="V39" t="s">
        <v>274</v>
      </c>
      <c r="W39" t="s">
        <v>277</v>
      </c>
      <c r="X39" t="s">
        <v>372</v>
      </c>
      <c r="Z39" t="str">
        <f>IF(キャラマスタ[[#This Row],[生存ステータス]]=1,1539+キャラマスタ[[#This Row],[死亡年]],"")</f>
        <v/>
      </c>
      <c r="AA39" t="s">
        <v>594</v>
      </c>
      <c r="AB39" t="s">
        <v>599</v>
      </c>
      <c r="AC39">
        <v>0</v>
      </c>
      <c r="AP39" t="s">
        <v>538</v>
      </c>
    </row>
    <row r="40" spans="1:42">
      <c r="A40" t="s">
        <v>574</v>
      </c>
      <c r="B40" t="s">
        <v>539</v>
      </c>
      <c r="C40">
        <v>27</v>
      </c>
      <c r="D40">
        <f>IFERROR(キャラマスタ[[#This Row],[初登場時の年齢]]+2,"")</f>
        <v>29</v>
      </c>
      <c r="E40">
        <v>2</v>
      </c>
      <c r="F40">
        <v>12</v>
      </c>
      <c r="G40" s="2">
        <v>44105</v>
      </c>
      <c r="H40">
        <f>IFERROR(IF(キャラマスタ[[#This Row],[生存ステータス]]=1,1539-キャラマスタ[[#This Row],[初登場時の年齢]]+キャラマスタ[[#This Row],[死亡年]],1539-キャラマスタ[[#This Row],[初登場時の年齢]]),"")</f>
        <v>1512</v>
      </c>
      <c r="I40">
        <v>197</v>
      </c>
      <c r="J40" t="s">
        <v>585</v>
      </c>
      <c r="K40" t="s">
        <v>540</v>
      </c>
      <c r="L40" t="s">
        <v>18</v>
      </c>
      <c r="O40" t="s">
        <v>541</v>
      </c>
      <c r="R40" t="s">
        <v>449</v>
      </c>
      <c r="S40" t="s">
        <v>97</v>
      </c>
      <c r="T40" t="s">
        <v>55</v>
      </c>
      <c r="V40" t="s">
        <v>274</v>
      </c>
      <c r="W40" t="s">
        <v>277</v>
      </c>
      <c r="X40" t="s">
        <v>372</v>
      </c>
      <c r="Z40" t="str">
        <f>IF(キャラマスタ[[#This Row],[生存ステータス]]=1,1539+キャラマスタ[[#This Row],[死亡年]],"")</f>
        <v/>
      </c>
      <c r="AA40">
        <v>0</v>
      </c>
      <c r="AB40" t="s">
        <v>598</v>
      </c>
      <c r="AC40">
        <v>0</v>
      </c>
      <c r="AD40">
        <v>1.8</v>
      </c>
      <c r="AE40">
        <v>9999</v>
      </c>
      <c r="AG40" t="s">
        <v>22</v>
      </c>
      <c r="AH40" t="s">
        <v>559</v>
      </c>
    </row>
    <row r="41" spans="1:42">
      <c r="A41" t="s">
        <v>575</v>
      </c>
      <c r="B41" t="s">
        <v>560</v>
      </c>
      <c r="C41" t="s">
        <v>139</v>
      </c>
      <c r="D41" t="str">
        <f>IFERROR(キャラマスタ[[#This Row],[初登場時の年齢]]+2,"")</f>
        <v/>
      </c>
      <c r="E41">
        <v>2</v>
      </c>
      <c r="F41">
        <v>12</v>
      </c>
      <c r="G41" s="2">
        <v>44765</v>
      </c>
      <c r="H41" t="str">
        <f>IFERROR(IF(キャラマスタ[[#This Row],[生存ステータス]]=1,1539-キャラマスタ[[#This Row],[初登場時の年齢]]+キャラマスタ[[#This Row],[死亡年]],1539-キャラマスタ[[#This Row],[初登場時の年齢]]),"")</f>
        <v/>
      </c>
      <c r="J41" t="s">
        <v>585</v>
      </c>
      <c r="K41" t="s">
        <v>540</v>
      </c>
      <c r="L41" t="s">
        <v>18</v>
      </c>
      <c r="V41" t="s">
        <v>594</v>
      </c>
      <c r="W41" t="s">
        <v>596</v>
      </c>
      <c r="X41" t="s">
        <v>372</v>
      </c>
      <c r="Z41" t="str">
        <f>IF(キャラマスタ[[#This Row],[生存ステータス]]=1,1539+キャラマスタ[[#This Row],[死亡年]],"")</f>
        <v/>
      </c>
      <c r="AA41">
        <v>0</v>
      </c>
      <c r="AB41" t="s">
        <v>598</v>
      </c>
      <c r="AC41">
        <v>0</v>
      </c>
      <c r="AH41" t="s">
        <v>542</v>
      </c>
    </row>
    <row r="42" spans="1:42">
      <c r="A42" t="s">
        <v>576</v>
      </c>
      <c r="B42" t="s">
        <v>561</v>
      </c>
      <c r="C42">
        <v>12</v>
      </c>
      <c r="D42">
        <f>IFERROR(キャラマスタ[[#This Row],[初登場時の年齢]]+2,"")</f>
        <v>14</v>
      </c>
      <c r="E42">
        <v>2</v>
      </c>
      <c r="F42">
        <v>12</v>
      </c>
      <c r="G42" s="2">
        <v>44887</v>
      </c>
      <c r="H42">
        <f>IFERROR(IF(キャラマスタ[[#This Row],[生存ステータス]]=1,1539-キャラマスタ[[#This Row],[初登場時の年齢]]+キャラマスタ[[#This Row],[死亡年]],1539-キャラマスタ[[#This Row],[初登場時の年齢]]),"")</f>
        <v>1527</v>
      </c>
      <c r="I42">
        <v>40</v>
      </c>
      <c r="L42" t="s">
        <v>18</v>
      </c>
      <c r="M42" t="s">
        <v>403</v>
      </c>
      <c r="N42" t="s">
        <v>562</v>
      </c>
      <c r="S42" t="s">
        <v>543</v>
      </c>
      <c r="T42" t="s">
        <v>544</v>
      </c>
      <c r="V42" t="s">
        <v>594</v>
      </c>
      <c r="W42" t="s">
        <v>597</v>
      </c>
      <c r="X42" t="s">
        <v>594</v>
      </c>
      <c r="Z42" t="str">
        <f>IF(キャラマスタ[[#This Row],[生存ステータス]]=1,1539+キャラマスタ[[#This Row],[死亡年]],"")</f>
        <v/>
      </c>
      <c r="AA42">
        <v>0</v>
      </c>
      <c r="AB42" t="s">
        <v>598</v>
      </c>
      <c r="AC42">
        <v>0</v>
      </c>
      <c r="AD42">
        <v>-3640</v>
      </c>
      <c r="AE42">
        <v>9999</v>
      </c>
      <c r="AH42" t="s">
        <v>563</v>
      </c>
      <c r="AP42" t="s">
        <v>545</v>
      </c>
    </row>
    <row r="43" spans="1:42">
      <c r="A43" t="s">
        <v>577</v>
      </c>
      <c r="B43" t="s">
        <v>546</v>
      </c>
      <c r="C43">
        <v>73</v>
      </c>
      <c r="D43">
        <f>IFERROR(キャラマスタ[[#This Row],[初登場時の年齢]]+2,"")</f>
        <v>75</v>
      </c>
      <c r="E43">
        <v>2</v>
      </c>
      <c r="F43">
        <v>12</v>
      </c>
      <c r="G43" s="2">
        <v>43846</v>
      </c>
      <c r="H43">
        <f>IFERROR(IF(キャラマスタ[[#This Row],[生存ステータス]]=1,1539-キャラマスタ[[#This Row],[初登場時の年齢]]+キャラマスタ[[#This Row],[死亡年]],1539-キャラマスタ[[#This Row],[初登場時の年齢]]),"")</f>
        <v>1466</v>
      </c>
      <c r="I43">
        <v>172</v>
      </c>
      <c r="L43" t="s">
        <v>18</v>
      </c>
      <c r="M43" t="s">
        <v>403</v>
      </c>
      <c r="N43" t="s">
        <v>543</v>
      </c>
      <c r="S43" t="s">
        <v>543</v>
      </c>
      <c r="T43" t="s">
        <v>547</v>
      </c>
      <c r="V43" t="s">
        <v>274</v>
      </c>
      <c r="W43" t="s">
        <v>277</v>
      </c>
      <c r="X43" t="s">
        <v>373</v>
      </c>
      <c r="Z43" t="str">
        <f>IF(キャラマスタ[[#This Row],[生存ステータス]]=1,1539+キャラマスタ[[#This Row],[死亡年]],"")</f>
        <v/>
      </c>
      <c r="AA43">
        <v>0</v>
      </c>
      <c r="AB43" t="s">
        <v>598</v>
      </c>
      <c r="AC43">
        <v>0</v>
      </c>
      <c r="AD43">
        <v>-14600</v>
      </c>
      <c r="AE43">
        <v>9999</v>
      </c>
      <c r="AG43" t="s">
        <v>149</v>
      </c>
      <c r="AH43" t="s">
        <v>564</v>
      </c>
    </row>
    <row r="44" spans="1:42">
      <c r="A44" t="s">
        <v>578</v>
      </c>
      <c r="B44" t="s">
        <v>565</v>
      </c>
      <c r="C44" t="s">
        <v>139</v>
      </c>
      <c r="D44" t="str">
        <f>IFERROR(キャラマスタ[[#This Row],[初登場時の年齢]]+2,"")</f>
        <v/>
      </c>
      <c r="E44">
        <v>2</v>
      </c>
      <c r="F44">
        <v>12</v>
      </c>
      <c r="G44" s="2">
        <v>44698</v>
      </c>
      <c r="H44" t="str">
        <f>IFERROR(IF(キャラマスタ[[#This Row],[生存ステータス]]=1,1539-キャラマスタ[[#This Row],[初登場時の年齢]]+キャラマスタ[[#This Row],[死亡年]],1539-キャラマスタ[[#This Row],[初登場時の年齢]]),"")</f>
        <v/>
      </c>
      <c r="L44" t="s">
        <v>18</v>
      </c>
      <c r="M44" t="s">
        <v>403</v>
      </c>
      <c r="N44" t="s">
        <v>562</v>
      </c>
      <c r="S44" t="s">
        <v>548</v>
      </c>
      <c r="T44" t="s">
        <v>549</v>
      </c>
      <c r="V44" t="s">
        <v>274</v>
      </c>
      <c r="W44" t="s">
        <v>277</v>
      </c>
      <c r="X44" t="s">
        <v>373</v>
      </c>
      <c r="Z44" t="str">
        <f>IF(キャラマスタ[[#This Row],[生存ステータス]]=1,1539+キャラマスタ[[#This Row],[死亡年]],"")</f>
        <v/>
      </c>
      <c r="AA44" t="s">
        <v>594</v>
      </c>
      <c r="AB44" t="s">
        <v>599</v>
      </c>
      <c r="AC44">
        <v>0</v>
      </c>
    </row>
    <row r="45" spans="1:42">
      <c r="A45" t="s">
        <v>579</v>
      </c>
      <c r="B45" t="s">
        <v>566</v>
      </c>
      <c r="C45" t="s">
        <v>139</v>
      </c>
      <c r="D45" t="str">
        <f>IFERROR(キャラマスタ[[#This Row],[初登場時の年齢]]+2,"")</f>
        <v/>
      </c>
      <c r="E45">
        <v>2</v>
      </c>
      <c r="F45">
        <v>14</v>
      </c>
      <c r="G45" s="2">
        <v>44692</v>
      </c>
      <c r="H45" t="str">
        <f>IFERROR(IF(キャラマスタ[[#This Row],[生存ステータス]]=1,1539-キャラマスタ[[#This Row],[初登場時の年齢]]+キャラマスタ[[#This Row],[死亡年]],1539-キャラマスタ[[#This Row],[初登場時の年齢]]),"")</f>
        <v/>
      </c>
      <c r="L45" t="s">
        <v>18</v>
      </c>
      <c r="M45" t="s">
        <v>403</v>
      </c>
      <c r="N45" t="s">
        <v>562</v>
      </c>
      <c r="S45" t="s">
        <v>550</v>
      </c>
      <c r="V45" t="s">
        <v>274</v>
      </c>
      <c r="W45" t="s">
        <v>277</v>
      </c>
      <c r="X45" t="s">
        <v>373</v>
      </c>
      <c r="Z45" t="str">
        <f>IF(キャラマスタ[[#This Row],[生存ステータス]]=1,1539+キャラマスタ[[#This Row],[死亡年]],"")</f>
        <v/>
      </c>
      <c r="AA45" t="s">
        <v>594</v>
      </c>
      <c r="AB45" t="s">
        <v>599</v>
      </c>
      <c r="AC45">
        <v>0</v>
      </c>
      <c r="AP45" t="s">
        <v>551</v>
      </c>
    </row>
    <row r="46" spans="1:42">
      <c r="A46" t="s">
        <v>580</v>
      </c>
      <c r="B46" t="s">
        <v>552</v>
      </c>
      <c r="C46">
        <v>32</v>
      </c>
      <c r="D46">
        <f>IFERROR(キャラマスタ[[#This Row],[初登場時の年齢]]+2,"")</f>
        <v>34</v>
      </c>
      <c r="E46">
        <v>2</v>
      </c>
      <c r="F46">
        <v>15</v>
      </c>
      <c r="G46" s="2">
        <v>44082</v>
      </c>
      <c r="H46">
        <f>IFERROR(IF(キャラマスタ[[#This Row],[生存ステータス]]=1,1539-キャラマスタ[[#This Row],[初登場時の年齢]]+キャラマスタ[[#This Row],[死亡年]],1539-キャラマスタ[[#This Row],[初登場時の年齢]]),"")</f>
        <v>1507</v>
      </c>
      <c r="I46">
        <v>208</v>
      </c>
      <c r="J46" t="s">
        <v>585</v>
      </c>
      <c r="K46" t="s">
        <v>540</v>
      </c>
      <c r="L46" t="s">
        <v>18</v>
      </c>
      <c r="O46" t="s">
        <v>553</v>
      </c>
      <c r="R46" t="s">
        <v>449</v>
      </c>
      <c r="S46" t="s">
        <v>97</v>
      </c>
      <c r="T46" t="s">
        <v>554</v>
      </c>
      <c r="V46" t="s">
        <v>274</v>
      </c>
      <c r="W46" t="s">
        <v>277</v>
      </c>
      <c r="X46" t="s">
        <v>372</v>
      </c>
      <c r="Z46" t="str">
        <f>IF(キャラマスタ[[#This Row],[生存ステータス]]=1,1539+キャラマスタ[[#This Row],[死亡年]],"")</f>
        <v/>
      </c>
      <c r="AA46">
        <v>0</v>
      </c>
      <c r="AB46" t="s">
        <v>598</v>
      </c>
      <c r="AC46">
        <v>0</v>
      </c>
      <c r="AD46">
        <v>1.8</v>
      </c>
      <c r="AE46">
        <v>9999</v>
      </c>
      <c r="AG46" t="s">
        <v>54</v>
      </c>
      <c r="AH46" t="s">
        <v>567</v>
      </c>
    </row>
    <row r="47" spans="1:42">
      <c r="A47" t="s">
        <v>716</v>
      </c>
      <c r="B47" t="s">
        <v>665</v>
      </c>
      <c r="C47" t="s">
        <v>534</v>
      </c>
      <c r="D47" t="str">
        <f>IFERROR(キャラマスタ[[#This Row],[初登場時の年齢]]+2,"")</f>
        <v/>
      </c>
      <c r="E47">
        <v>3</v>
      </c>
      <c r="F47">
        <v>22</v>
      </c>
      <c r="G47" s="11">
        <v>44611</v>
      </c>
      <c r="H47" t="str">
        <f>IFERROR(IF(キャラマスタ[[#This Row],[生存ステータス]]=1,1539-キャラマスタ[[#This Row],[初登場時の年齢]]+キャラマスタ[[#This Row],[死亡年]],1539-キャラマスタ[[#This Row],[初登場時の年齢]]),"")</f>
        <v/>
      </c>
      <c r="L47" t="s">
        <v>18</v>
      </c>
      <c r="M47" t="s">
        <v>729</v>
      </c>
      <c r="N47" t="s">
        <v>666</v>
      </c>
      <c r="S47" t="s">
        <v>667</v>
      </c>
      <c r="V47" t="s">
        <v>738</v>
      </c>
      <c r="W47" t="s">
        <v>739</v>
      </c>
      <c r="X47" t="s">
        <v>738</v>
      </c>
      <c r="Z47" t="str">
        <f>IF(キャラマスタ[[#This Row],[生存ステータス]]=1,1539+キャラマスタ[[#This Row],[死亡年]],"")</f>
        <v/>
      </c>
      <c r="AA47" t="s">
        <v>738</v>
      </c>
      <c r="AB47" t="s">
        <v>742</v>
      </c>
      <c r="AC47">
        <v>0</v>
      </c>
      <c r="AP47" t="s">
        <v>668</v>
      </c>
    </row>
    <row r="48" spans="1:42">
      <c r="A48" t="s">
        <v>717</v>
      </c>
      <c r="B48" t="s">
        <v>669</v>
      </c>
      <c r="C48">
        <v>43</v>
      </c>
      <c r="D48">
        <f>IFERROR(キャラマスタ[[#This Row],[初登場時の年齢]]+2,"")</f>
        <v>45</v>
      </c>
      <c r="E48">
        <v>3</v>
      </c>
      <c r="F48">
        <v>22</v>
      </c>
      <c r="G48" s="11">
        <v>44048</v>
      </c>
      <c r="H48">
        <f>IFERROR(IF(キャラマスタ[[#This Row],[生存ステータス]]=1,1539-キャラマスタ[[#This Row],[初登場時の年齢]]+キャラマスタ[[#This Row],[死亡年]],1539-キャラマスタ[[#This Row],[初登場時の年齢]]),"")</f>
        <v>1496</v>
      </c>
      <c r="I48">
        <v>130</v>
      </c>
      <c r="J48" t="s">
        <v>586</v>
      </c>
      <c r="K48" t="s">
        <v>670</v>
      </c>
      <c r="L48" t="s">
        <v>18</v>
      </c>
      <c r="S48" t="s">
        <v>666</v>
      </c>
      <c r="T48" t="s">
        <v>671</v>
      </c>
      <c r="V48" t="s">
        <v>274</v>
      </c>
      <c r="W48" t="s">
        <v>277</v>
      </c>
      <c r="X48" t="s">
        <v>740</v>
      </c>
      <c r="Z48" t="str">
        <f>IF(キャラマスタ[[#This Row],[生存ステータス]]=1,1539+キャラマスタ[[#This Row],[死亡年]],"")</f>
        <v/>
      </c>
      <c r="AA48">
        <v>0</v>
      </c>
      <c r="AB48" t="s">
        <v>743</v>
      </c>
      <c r="AC48">
        <v>0</v>
      </c>
      <c r="AD48">
        <v>-7300</v>
      </c>
      <c r="AE48">
        <v>9999</v>
      </c>
      <c r="AG48" t="s">
        <v>475</v>
      </c>
      <c r="AH48" t="s">
        <v>672</v>
      </c>
      <c r="AP48" t="s">
        <v>673</v>
      </c>
    </row>
    <row r="49" spans="1:42">
      <c r="A49" t="s">
        <v>718</v>
      </c>
      <c r="B49" t="s">
        <v>728</v>
      </c>
      <c r="C49">
        <v>17</v>
      </c>
      <c r="D49">
        <f>IFERROR(キャラマスタ[[#This Row],[初登場時の年齢]]+2,"")</f>
        <v>19</v>
      </c>
      <c r="E49">
        <v>3</v>
      </c>
      <c r="F49">
        <v>23</v>
      </c>
      <c r="G49" s="11">
        <v>44652</v>
      </c>
      <c r="H49">
        <f>IFERROR(IF(キャラマスタ[[#This Row],[生存ステータス]]=1,1539-キャラマスタ[[#This Row],[初登場時の年齢]]+キャラマスタ[[#This Row],[死亡年]],1539-キャラマスタ[[#This Row],[初登場時の年齢]]),"")</f>
        <v>1522</v>
      </c>
      <c r="I49">
        <v>174</v>
      </c>
      <c r="J49" t="s">
        <v>400</v>
      </c>
      <c r="K49" s="9" t="s">
        <v>581</v>
      </c>
      <c r="L49" t="s">
        <v>18</v>
      </c>
      <c r="M49" t="s">
        <v>730</v>
      </c>
      <c r="N49" t="s">
        <v>49</v>
      </c>
      <c r="R49" t="s">
        <v>439</v>
      </c>
      <c r="S49" t="s">
        <v>237</v>
      </c>
      <c r="T49" t="s">
        <v>956</v>
      </c>
      <c r="V49" t="s">
        <v>274</v>
      </c>
      <c r="W49" t="s">
        <v>277</v>
      </c>
      <c r="X49" t="s">
        <v>373</v>
      </c>
      <c r="Z49" t="str">
        <f>IF(キャラマスタ[[#This Row],[生存ステータス]]=1,1539+キャラマスタ[[#This Row],[死亡年]],"")</f>
        <v/>
      </c>
      <c r="AA49">
        <v>0</v>
      </c>
      <c r="AB49" t="s">
        <v>744</v>
      </c>
      <c r="AC49">
        <v>0</v>
      </c>
      <c r="AD49">
        <v>-4200</v>
      </c>
      <c r="AE49">
        <v>9999</v>
      </c>
      <c r="AF49" t="s">
        <v>805</v>
      </c>
      <c r="AG49" t="s">
        <v>686</v>
      </c>
      <c r="AH49" t="s">
        <v>712</v>
      </c>
      <c r="AI49" t="s">
        <v>713</v>
      </c>
      <c r="AK49" t="s">
        <v>714</v>
      </c>
      <c r="AP49" t="s">
        <v>715</v>
      </c>
    </row>
    <row r="50" spans="1:42">
      <c r="A50" t="s">
        <v>719</v>
      </c>
      <c r="B50" t="s">
        <v>674</v>
      </c>
      <c r="C50" t="s">
        <v>139</v>
      </c>
      <c r="D50" t="str">
        <f>IFERROR(キャラマスタ[[#This Row],[初登場時の年齢]]+2,"")</f>
        <v/>
      </c>
      <c r="E50">
        <v>3</v>
      </c>
      <c r="F50">
        <v>23</v>
      </c>
      <c r="G50" s="11">
        <v>44849</v>
      </c>
      <c r="H50" t="str">
        <f>IFERROR(IF(キャラマスタ[[#This Row],[生存ステータス]]=1,1539-キャラマスタ[[#This Row],[初登場時の年齢]]+キャラマスタ[[#This Row],[死亡年]],1539-キャラマスタ[[#This Row],[初登場時の年齢]]),"")</f>
        <v/>
      </c>
      <c r="L50" t="s">
        <v>18</v>
      </c>
      <c r="M50" t="s">
        <v>730</v>
      </c>
      <c r="N50" t="s">
        <v>49</v>
      </c>
      <c r="S50" t="s">
        <v>49</v>
      </c>
      <c r="T50" t="s">
        <v>117</v>
      </c>
      <c r="V50" t="s">
        <v>274</v>
      </c>
      <c r="W50" t="s">
        <v>277</v>
      </c>
      <c r="X50" t="s">
        <v>373</v>
      </c>
      <c r="Z50" t="str">
        <f>IF(キャラマスタ[[#This Row],[生存ステータス]]=1,1539+キャラマスタ[[#This Row],[死亡年]],"")</f>
        <v/>
      </c>
      <c r="AA50" t="s">
        <v>738</v>
      </c>
      <c r="AB50" t="s">
        <v>742</v>
      </c>
      <c r="AC50">
        <v>0</v>
      </c>
      <c r="AP50" t="s">
        <v>675</v>
      </c>
    </row>
    <row r="51" spans="1:42">
      <c r="A51" t="s">
        <v>720</v>
      </c>
      <c r="B51" t="s">
        <v>676</v>
      </c>
      <c r="C51">
        <v>9</v>
      </c>
      <c r="D51">
        <f>IFERROR(キャラマスタ[[#This Row],[初登場時の年齢]]+2,"")</f>
        <v>11</v>
      </c>
      <c r="E51">
        <v>3</v>
      </c>
      <c r="F51">
        <v>23</v>
      </c>
      <c r="G51" s="11">
        <v>43863</v>
      </c>
      <c r="H51">
        <f>IFERROR(IF(キャラマスタ[[#This Row],[生存ステータス]]=1,1539-キャラマスタ[[#This Row],[初登場時の年齢]]+キャラマスタ[[#This Row],[死亡年]],1539-キャラマスタ[[#This Row],[初登場時の年齢]]),"")</f>
        <v>1530</v>
      </c>
      <c r="I51">
        <v>127</v>
      </c>
      <c r="L51" t="s">
        <v>18</v>
      </c>
      <c r="M51" t="s">
        <v>730</v>
      </c>
      <c r="N51" t="s">
        <v>49</v>
      </c>
      <c r="R51" t="s">
        <v>450</v>
      </c>
      <c r="S51" t="s">
        <v>677</v>
      </c>
      <c r="T51" t="s">
        <v>678</v>
      </c>
      <c r="V51" t="s">
        <v>274</v>
      </c>
      <c r="W51" t="s">
        <v>277</v>
      </c>
      <c r="X51" t="s">
        <v>373</v>
      </c>
      <c r="Z51" t="str">
        <f>IF(キャラマスタ[[#This Row],[生存ステータス]]=1,1539+キャラマスタ[[#This Row],[死亡年]],"")</f>
        <v/>
      </c>
      <c r="AA51">
        <v>0</v>
      </c>
      <c r="AB51" t="s">
        <v>743</v>
      </c>
      <c r="AC51">
        <v>0</v>
      </c>
      <c r="AG51" t="s">
        <v>475</v>
      </c>
      <c r="AH51" t="s">
        <v>679</v>
      </c>
      <c r="AP51" t="s">
        <v>680</v>
      </c>
    </row>
    <row r="52" spans="1:42">
      <c r="A52" t="s">
        <v>721</v>
      </c>
      <c r="B52" t="s">
        <v>681</v>
      </c>
      <c r="C52">
        <v>9</v>
      </c>
      <c r="D52">
        <f>IFERROR(キャラマスタ[[#This Row],[初登場時の年齢]]+2,"")</f>
        <v>11</v>
      </c>
      <c r="E52">
        <v>3</v>
      </c>
      <c r="F52">
        <v>23</v>
      </c>
      <c r="G52" s="11">
        <v>43930</v>
      </c>
      <c r="H52">
        <f>IFERROR(IF(キャラマスタ[[#This Row],[生存ステータス]]=1,1539-キャラマスタ[[#This Row],[初登場時の年齢]]+キャラマスタ[[#This Row],[死亡年]],1539-キャラマスタ[[#This Row],[初登場時の年齢]]),"")</f>
        <v>1530</v>
      </c>
      <c r="I52">
        <v>120</v>
      </c>
      <c r="L52" t="s">
        <v>18</v>
      </c>
      <c r="M52" t="s">
        <v>730</v>
      </c>
      <c r="N52" t="s">
        <v>49</v>
      </c>
      <c r="R52" t="s">
        <v>450</v>
      </c>
      <c r="S52" t="s">
        <v>677</v>
      </c>
      <c r="T52" t="s">
        <v>678</v>
      </c>
      <c r="V52" t="s">
        <v>274</v>
      </c>
      <c r="W52" t="s">
        <v>277</v>
      </c>
      <c r="X52" t="s">
        <v>373</v>
      </c>
      <c r="Z52" t="str">
        <f>IF(キャラマスタ[[#This Row],[生存ステータス]]=1,1539+キャラマスタ[[#This Row],[死亡年]],"")</f>
        <v/>
      </c>
      <c r="AA52">
        <v>0</v>
      </c>
      <c r="AB52" t="s">
        <v>743</v>
      </c>
      <c r="AC52">
        <v>0</v>
      </c>
      <c r="AG52" t="s">
        <v>682</v>
      </c>
      <c r="AH52" t="s">
        <v>683</v>
      </c>
      <c r="AP52" t="s">
        <v>684</v>
      </c>
    </row>
    <row r="53" spans="1:42">
      <c r="A53" t="s">
        <v>722</v>
      </c>
      <c r="B53" t="s">
        <v>685</v>
      </c>
      <c r="C53">
        <v>9</v>
      </c>
      <c r="D53">
        <f>IFERROR(キャラマスタ[[#This Row],[初登場時の年齢]]+2,"")</f>
        <v>11</v>
      </c>
      <c r="E53">
        <v>3</v>
      </c>
      <c r="F53">
        <v>23</v>
      </c>
      <c r="G53" s="11">
        <v>43931</v>
      </c>
      <c r="H53">
        <f>IFERROR(IF(キャラマスタ[[#This Row],[生存ステータス]]=1,1539-キャラマスタ[[#This Row],[初登場時の年齢]]+キャラマスタ[[#This Row],[死亡年]],1539-キャラマスタ[[#This Row],[初登場時の年齢]]),"")</f>
        <v>1530</v>
      </c>
      <c r="I53">
        <v>124</v>
      </c>
      <c r="L53" t="s">
        <v>18</v>
      </c>
      <c r="M53" t="s">
        <v>730</v>
      </c>
      <c r="N53" t="s">
        <v>49</v>
      </c>
      <c r="R53" t="s">
        <v>450</v>
      </c>
      <c r="S53" t="s">
        <v>677</v>
      </c>
      <c r="T53" t="s">
        <v>678</v>
      </c>
      <c r="V53" t="s">
        <v>274</v>
      </c>
      <c r="W53" t="s">
        <v>277</v>
      </c>
      <c r="X53" t="s">
        <v>373</v>
      </c>
      <c r="Z53" t="str">
        <f>IF(キャラマスタ[[#This Row],[生存ステータス]]=1,1539+キャラマスタ[[#This Row],[死亡年]],"")</f>
        <v/>
      </c>
      <c r="AA53">
        <v>0</v>
      </c>
      <c r="AB53" t="s">
        <v>743</v>
      </c>
      <c r="AC53">
        <v>0</v>
      </c>
      <c r="AG53" t="s">
        <v>686</v>
      </c>
      <c r="AH53" t="s">
        <v>687</v>
      </c>
      <c r="AP53" t="s">
        <v>688</v>
      </c>
    </row>
    <row r="54" spans="1:42">
      <c r="A54" t="s">
        <v>723</v>
      </c>
      <c r="B54" t="s">
        <v>689</v>
      </c>
      <c r="C54">
        <v>33</v>
      </c>
      <c r="D54">
        <f>IFERROR(キャラマスタ[[#This Row],[初登場時の年齢]]+2,"")</f>
        <v>35</v>
      </c>
      <c r="E54">
        <v>3</v>
      </c>
      <c r="F54">
        <v>24</v>
      </c>
      <c r="G54" s="11">
        <v>43943</v>
      </c>
      <c r="H54">
        <f>IFERROR(IF(キャラマスタ[[#This Row],[生存ステータス]]=1,1539-キャラマスタ[[#This Row],[初登場時の年齢]]+キャラマスタ[[#This Row],[死亡年]],1539-キャラマスタ[[#This Row],[初登場時の年齢]]),"")</f>
        <v>1506</v>
      </c>
      <c r="I54">
        <v>207</v>
      </c>
      <c r="J54" t="s">
        <v>587</v>
      </c>
      <c r="K54" t="s">
        <v>690</v>
      </c>
      <c r="L54" t="s">
        <v>18</v>
      </c>
      <c r="O54" t="s">
        <v>691</v>
      </c>
      <c r="R54" t="s">
        <v>737</v>
      </c>
      <c r="S54" t="s">
        <v>692</v>
      </c>
      <c r="T54" t="s">
        <v>693</v>
      </c>
      <c r="V54" t="s">
        <v>274</v>
      </c>
      <c r="W54" t="s">
        <v>277</v>
      </c>
      <c r="X54" t="s">
        <v>740</v>
      </c>
      <c r="Z54" t="str">
        <f>IF(キャラマスタ[[#This Row],[生存ステータス]]=1,1539+キャラマスタ[[#This Row],[死亡年]],"")</f>
        <v/>
      </c>
      <c r="AA54">
        <v>0</v>
      </c>
      <c r="AB54" t="s">
        <v>743</v>
      </c>
      <c r="AC54">
        <v>0</v>
      </c>
      <c r="AD54">
        <v>-1095</v>
      </c>
      <c r="AE54">
        <v>9999</v>
      </c>
      <c r="AF54" t="s">
        <v>694</v>
      </c>
      <c r="AG54" t="s">
        <v>475</v>
      </c>
      <c r="AH54" t="s">
        <v>695</v>
      </c>
      <c r="AP54" t="s">
        <v>696</v>
      </c>
    </row>
    <row r="55" spans="1:42">
      <c r="A55" t="s">
        <v>724</v>
      </c>
      <c r="B55" t="s">
        <v>697</v>
      </c>
      <c r="C55">
        <v>17</v>
      </c>
      <c r="D55">
        <f>IFERROR(キャラマスタ[[#This Row],[初登場時の年齢]]+2,"")</f>
        <v>19</v>
      </c>
      <c r="E55">
        <v>3</v>
      </c>
      <c r="F55">
        <v>24</v>
      </c>
      <c r="G55" s="11">
        <v>44067</v>
      </c>
      <c r="H55">
        <f>IFERROR(IF(キャラマスタ[[#This Row],[生存ステータス]]=1,1539-キャラマスタ[[#This Row],[初登場時の年齢]]+キャラマスタ[[#This Row],[死亡年]],1539-キャラマスタ[[#This Row],[初登場時の年齢]]),"")</f>
        <v>1522</v>
      </c>
      <c r="I55">
        <v>169</v>
      </c>
      <c r="L55" t="s">
        <v>18</v>
      </c>
      <c r="M55" t="s">
        <v>730</v>
      </c>
      <c r="N55" t="s">
        <v>49</v>
      </c>
      <c r="S55" t="s">
        <v>49</v>
      </c>
      <c r="T55" t="s">
        <v>698</v>
      </c>
      <c r="V55" t="s">
        <v>276</v>
      </c>
      <c r="W55" t="s">
        <v>277</v>
      </c>
      <c r="X55" t="s">
        <v>373</v>
      </c>
      <c r="Z55" t="str">
        <f>IF(キャラマスタ[[#This Row],[生存ステータス]]=1,1539+キャラマスタ[[#This Row],[死亡年]],"")</f>
        <v/>
      </c>
      <c r="AA55">
        <v>0</v>
      </c>
      <c r="AB55" t="s">
        <v>743</v>
      </c>
      <c r="AC55">
        <v>0</v>
      </c>
      <c r="AG55" t="s">
        <v>699</v>
      </c>
      <c r="AH55" t="s">
        <v>700</v>
      </c>
      <c r="AP55" t="s">
        <v>701</v>
      </c>
    </row>
    <row r="56" spans="1:42">
      <c r="A56" t="s">
        <v>725</v>
      </c>
      <c r="B56" t="s">
        <v>702</v>
      </c>
      <c r="C56" t="s">
        <v>139</v>
      </c>
      <c r="D56" t="str">
        <f>IFERROR(キャラマスタ[[#This Row],[初登場時の年齢]]+2,"")</f>
        <v/>
      </c>
      <c r="E56">
        <v>3</v>
      </c>
      <c r="F56">
        <v>24</v>
      </c>
      <c r="G56" s="11">
        <v>44743</v>
      </c>
      <c r="H56" t="str">
        <f>IFERROR(IF(キャラマスタ[[#This Row],[生存ステータス]]=1,1539-キャラマスタ[[#This Row],[初登場時の年齢]]+キャラマスタ[[#This Row],[死亡年]],1539-キャラマスタ[[#This Row],[初登場時の年齢]]),"")</f>
        <v/>
      </c>
      <c r="L56" t="s">
        <v>18</v>
      </c>
      <c r="M56" t="s">
        <v>730</v>
      </c>
      <c r="N56" t="s">
        <v>49</v>
      </c>
      <c r="S56" t="s">
        <v>703</v>
      </c>
      <c r="T56" t="s">
        <v>704</v>
      </c>
      <c r="V56" t="s">
        <v>274</v>
      </c>
      <c r="W56" t="s">
        <v>277</v>
      </c>
      <c r="X56" t="s">
        <v>373</v>
      </c>
      <c r="Z56" t="str">
        <f>IF(キャラマスタ[[#This Row],[生存ステータス]]=1,1539+キャラマスタ[[#This Row],[死亡年]],"")</f>
        <v/>
      </c>
      <c r="AA56" t="s">
        <v>738</v>
      </c>
      <c r="AB56" t="s">
        <v>742</v>
      </c>
      <c r="AC56">
        <v>0</v>
      </c>
      <c r="AP56" t="s">
        <v>705</v>
      </c>
    </row>
    <row r="57" spans="1:42">
      <c r="A57" t="s">
        <v>726</v>
      </c>
      <c r="B57" t="s">
        <v>706</v>
      </c>
      <c r="C57" t="s">
        <v>139</v>
      </c>
      <c r="D57" t="str">
        <f>IFERROR(キャラマスタ[[#This Row],[初登場時の年齢]]+2,"")</f>
        <v/>
      </c>
      <c r="E57">
        <v>3</v>
      </c>
      <c r="F57">
        <v>24</v>
      </c>
      <c r="G57" s="11">
        <v>44583</v>
      </c>
      <c r="H57" t="str">
        <f>IFERROR(IF(キャラマスタ[[#This Row],[生存ステータス]]=1,1539-キャラマスタ[[#This Row],[初登場時の年齢]]+キャラマスタ[[#This Row],[死亡年]],1539-キャラマスタ[[#This Row],[初登場時の年齢]]),"")</f>
        <v/>
      </c>
      <c r="L57" t="s">
        <v>18</v>
      </c>
      <c r="M57" t="s">
        <v>730</v>
      </c>
      <c r="N57" t="s">
        <v>49</v>
      </c>
      <c r="S57" t="s">
        <v>707</v>
      </c>
      <c r="V57" t="s">
        <v>274</v>
      </c>
      <c r="W57" t="s">
        <v>277</v>
      </c>
      <c r="X57" t="s">
        <v>373</v>
      </c>
      <c r="Z57" t="str">
        <f>IF(キャラマスタ[[#This Row],[生存ステータス]]=1,1539+キャラマスタ[[#This Row],[死亡年]],"")</f>
        <v/>
      </c>
      <c r="AA57">
        <v>0</v>
      </c>
      <c r="AB57" t="s">
        <v>743</v>
      </c>
      <c r="AC57">
        <v>0</v>
      </c>
    </row>
    <row r="58" spans="1:42">
      <c r="A58" t="s">
        <v>727</v>
      </c>
      <c r="B58" t="s">
        <v>708</v>
      </c>
      <c r="C58">
        <v>27</v>
      </c>
      <c r="D58">
        <f>IFERROR(キャラマスタ[[#This Row],[初登場時の年齢]]+2,"")</f>
        <v>29</v>
      </c>
      <c r="E58">
        <v>3</v>
      </c>
      <c r="F58">
        <v>25</v>
      </c>
      <c r="G58" s="11">
        <v>44193</v>
      </c>
      <c r="H58">
        <f>IFERROR(IF(キャラマスタ[[#This Row],[生存ステータス]]=1,1539-キャラマスタ[[#This Row],[初登場時の年齢]]+キャラマスタ[[#This Row],[死亡年]],1539-キャラマスタ[[#This Row],[初登場時の年齢]]),"")</f>
        <v>1512</v>
      </c>
      <c r="I58">
        <v>207</v>
      </c>
      <c r="J58" t="s">
        <v>587</v>
      </c>
      <c r="K58" t="s">
        <v>690</v>
      </c>
      <c r="L58" t="s">
        <v>18</v>
      </c>
      <c r="O58" t="s">
        <v>733</v>
      </c>
      <c r="R58" t="s">
        <v>737</v>
      </c>
      <c r="S58" t="s">
        <v>692</v>
      </c>
      <c r="T58" t="s">
        <v>39</v>
      </c>
      <c r="V58" t="s">
        <v>274</v>
      </c>
      <c r="W58" t="s">
        <v>277</v>
      </c>
      <c r="X58" t="s">
        <v>741</v>
      </c>
      <c r="Z58" t="str">
        <f>IF(キャラマスタ[[#This Row],[生存ステータス]]=1,1539+キャラマスタ[[#This Row],[死亡年]],"")</f>
        <v/>
      </c>
      <c r="AA58">
        <v>0</v>
      </c>
      <c r="AB58" t="s">
        <v>743</v>
      </c>
      <c r="AC58">
        <v>0</v>
      </c>
      <c r="AD58">
        <v>-1095</v>
      </c>
      <c r="AE58">
        <v>9999</v>
      </c>
      <c r="AF58" t="s">
        <v>709</v>
      </c>
      <c r="AG58" t="s">
        <v>686</v>
      </c>
      <c r="AH58" t="s">
        <v>710</v>
      </c>
      <c r="AP58" t="s">
        <v>711</v>
      </c>
    </row>
    <row r="59" spans="1:42">
      <c r="A59" t="s">
        <v>820</v>
      </c>
      <c r="B59" t="s">
        <v>822</v>
      </c>
      <c r="C59">
        <v>21</v>
      </c>
      <c r="D59">
        <f>IFERROR(キャラマスタ[[#This Row],[初登場時の年齢]]+2,"")</f>
        <v>23</v>
      </c>
      <c r="E59">
        <v>4</v>
      </c>
      <c r="F59">
        <v>31</v>
      </c>
      <c r="G59" s="11">
        <v>43940</v>
      </c>
      <c r="H59">
        <f>IFERROR(IF(キャラマスタ[[#This Row],[生存ステータス]]=1,1539-キャラマスタ[[#This Row],[初登場時の年齢]]+キャラマスタ[[#This Row],[死亡年]],1539-キャラマスタ[[#This Row],[初登場時の年齢]]),"")</f>
        <v>1518</v>
      </c>
      <c r="I59">
        <v>201</v>
      </c>
      <c r="J59" t="s">
        <v>587</v>
      </c>
      <c r="K59" t="s">
        <v>690</v>
      </c>
      <c r="L59" t="s">
        <v>18</v>
      </c>
      <c r="R59" t="s">
        <v>737</v>
      </c>
      <c r="S59" t="s">
        <v>692</v>
      </c>
      <c r="T59" t="s">
        <v>823</v>
      </c>
      <c r="V59" t="s">
        <v>274</v>
      </c>
      <c r="W59" t="s">
        <v>277</v>
      </c>
      <c r="X59" t="s">
        <v>372</v>
      </c>
      <c r="Z59" t="str">
        <f>IF(キャラマスタ[[#This Row],[生存ステータス]]=1,1539+キャラマスタ[[#This Row],[死亡年]],"")</f>
        <v/>
      </c>
      <c r="AA59">
        <v>0</v>
      </c>
      <c r="AB59" t="s">
        <v>259</v>
      </c>
      <c r="AC59">
        <v>0</v>
      </c>
      <c r="AD59">
        <v>-1095</v>
      </c>
      <c r="AE59">
        <v>9999</v>
      </c>
      <c r="AG59" t="s">
        <v>475</v>
      </c>
      <c r="AH59" t="s">
        <v>824</v>
      </c>
      <c r="AP59" t="s">
        <v>825</v>
      </c>
    </row>
    <row r="60" spans="1:42">
      <c r="A60" t="s">
        <v>821</v>
      </c>
      <c r="B60" t="s">
        <v>826</v>
      </c>
      <c r="C60">
        <v>21</v>
      </c>
      <c r="D60">
        <f>IFERROR(キャラマスタ[[#This Row],[初登場時の年齢]]+2,"")</f>
        <v>23</v>
      </c>
      <c r="E60">
        <v>4</v>
      </c>
      <c r="F60">
        <v>31</v>
      </c>
      <c r="G60" s="11">
        <v>43868</v>
      </c>
      <c r="H60">
        <f>IFERROR(IF(キャラマスタ[[#This Row],[生存ステータス]]=1,1539-キャラマスタ[[#This Row],[初登場時の年齢]]+キャラマスタ[[#This Row],[死亡年]],1539-キャラマスタ[[#This Row],[初登場時の年齢]]),"")</f>
        <v>1518</v>
      </c>
      <c r="I60">
        <v>216</v>
      </c>
      <c r="J60" t="s">
        <v>587</v>
      </c>
      <c r="K60" t="s">
        <v>690</v>
      </c>
      <c r="L60" t="s">
        <v>18</v>
      </c>
      <c r="R60" t="s">
        <v>737</v>
      </c>
      <c r="S60" t="s">
        <v>827</v>
      </c>
      <c r="T60" t="s">
        <v>828</v>
      </c>
      <c r="V60" t="s">
        <v>274</v>
      </c>
      <c r="W60" t="s">
        <v>277</v>
      </c>
      <c r="X60" t="s">
        <v>372</v>
      </c>
      <c r="Z60" t="str">
        <f>IF(キャラマスタ[[#This Row],[生存ステータス]]=1,1539+キャラマスタ[[#This Row],[死亡年]],"")</f>
        <v/>
      </c>
      <c r="AA60">
        <v>0</v>
      </c>
      <c r="AB60" t="s">
        <v>259</v>
      </c>
      <c r="AC60">
        <v>0</v>
      </c>
      <c r="AD60">
        <v>-1095</v>
      </c>
      <c r="AE60">
        <v>9999</v>
      </c>
      <c r="AG60" t="s">
        <v>475</v>
      </c>
      <c r="AH60" t="s">
        <v>829</v>
      </c>
      <c r="AP60" t="s">
        <v>825</v>
      </c>
    </row>
    <row r="61" spans="1:42">
      <c r="A61" t="s">
        <v>841</v>
      </c>
      <c r="B61" t="s">
        <v>830</v>
      </c>
      <c r="C61" t="s">
        <v>139</v>
      </c>
      <c r="D61" t="str">
        <f>IFERROR(キャラマスタ[[#This Row],[初登場時の年齢]]+2,"")</f>
        <v/>
      </c>
      <c r="E61">
        <v>5</v>
      </c>
      <c r="F61">
        <v>37</v>
      </c>
      <c r="G61" s="11">
        <v>44760</v>
      </c>
      <c r="H61" t="str">
        <f>IFERROR(IF(キャラマスタ[[#This Row],[生存ステータス]]=1,1539-キャラマスタ[[#This Row],[初登場時の年齢]]+キャラマスタ[[#This Row],[死亡年]],1539-キャラマスタ[[#This Row],[初登場時の年齢]]),"")</f>
        <v/>
      </c>
      <c r="L61" t="s">
        <v>18</v>
      </c>
      <c r="S61" t="s">
        <v>692</v>
      </c>
      <c r="V61" t="s">
        <v>274</v>
      </c>
      <c r="W61" t="s">
        <v>277</v>
      </c>
      <c r="X61" t="s">
        <v>372</v>
      </c>
      <c r="Z61" t="str">
        <f>IF(キャラマスタ[[#This Row],[生存ステータス]]=1,1539+キャラマスタ[[#This Row],[死亡年]],"")</f>
        <v/>
      </c>
      <c r="AA61" t="s">
        <v>275</v>
      </c>
      <c r="AB61" t="s">
        <v>280</v>
      </c>
      <c r="AC61">
        <v>0</v>
      </c>
      <c r="AP61" t="s">
        <v>831</v>
      </c>
    </row>
    <row r="62" spans="1:42">
      <c r="A62" t="s">
        <v>842</v>
      </c>
      <c r="B62" t="s">
        <v>888</v>
      </c>
      <c r="C62" t="s">
        <v>139</v>
      </c>
      <c r="D62" t="str">
        <f>IFERROR(キャラマスタ[[#This Row],[初登場時の年齢]]+2,"")</f>
        <v/>
      </c>
      <c r="E62">
        <v>5</v>
      </c>
      <c r="F62">
        <v>41</v>
      </c>
      <c r="G62" s="11">
        <v>44912</v>
      </c>
      <c r="H62" t="str">
        <f>IFERROR(IF(キャラマスタ[[#This Row],[生存ステータス]]=1,1539-キャラマスタ[[#This Row],[初登場時の年齢]]+キャラマスタ[[#This Row],[死亡年]],1539-キャラマスタ[[#This Row],[初登場時の年齢]]),"")</f>
        <v/>
      </c>
      <c r="L62" t="s">
        <v>18</v>
      </c>
      <c r="M62" t="s">
        <v>730</v>
      </c>
      <c r="N62" t="s">
        <v>49</v>
      </c>
      <c r="V62" t="s">
        <v>276</v>
      </c>
      <c r="W62" t="s">
        <v>277</v>
      </c>
      <c r="X62" t="s">
        <v>373</v>
      </c>
      <c r="Z62" t="str">
        <f>IF(キャラマスタ[[#This Row],[生存ステータス]]=1,1539+キャラマスタ[[#This Row],[死亡年]],"")</f>
        <v/>
      </c>
      <c r="AA62" t="s">
        <v>275</v>
      </c>
      <c r="AB62" t="s">
        <v>280</v>
      </c>
      <c r="AC62">
        <v>0</v>
      </c>
      <c r="AP62" t="s">
        <v>889</v>
      </c>
    </row>
    <row r="63" spans="1:42">
      <c r="A63" t="s">
        <v>843</v>
      </c>
      <c r="B63" t="s">
        <v>581</v>
      </c>
      <c r="C63" t="s">
        <v>139</v>
      </c>
      <c r="D63" t="str">
        <f>IFERROR(キャラマスタ[[#This Row],[初登場時の年齢]]+2,"")</f>
        <v/>
      </c>
      <c r="E63">
        <v>5</v>
      </c>
      <c r="F63">
        <v>41</v>
      </c>
      <c r="G63" s="11">
        <v>45313</v>
      </c>
      <c r="I63">
        <v>1300</v>
      </c>
      <c r="R63" t="s">
        <v>507</v>
      </c>
      <c r="S63" t="s">
        <v>15</v>
      </c>
      <c r="T63" t="s">
        <v>1082</v>
      </c>
      <c r="V63" t="s">
        <v>1083</v>
      </c>
      <c r="W63" t="s">
        <v>1083</v>
      </c>
      <c r="Z63" t="str">
        <f>IF(キャラマスタ[[#This Row],[生存ステータス]]=1,1539+キャラマスタ[[#This Row],[死亡年]],"")</f>
        <v/>
      </c>
      <c r="AA63" t="s">
        <v>1083</v>
      </c>
      <c r="AB63" t="s">
        <v>1084</v>
      </c>
      <c r="AC63">
        <v>0</v>
      </c>
    </row>
    <row r="64" spans="1:42">
      <c r="A64" t="s">
        <v>844</v>
      </c>
      <c r="B64" t="s">
        <v>890</v>
      </c>
      <c r="C64">
        <v>24</v>
      </c>
      <c r="D64">
        <f>IFERROR(キャラマスタ[[#This Row],[初登場時の年齢]]+2,"")</f>
        <v>26</v>
      </c>
      <c r="E64">
        <v>5</v>
      </c>
      <c r="F64">
        <v>42</v>
      </c>
      <c r="G64" s="11">
        <v>44145</v>
      </c>
      <c r="H64">
        <f>IFERROR(IF(キャラマスタ[[#This Row],[生存ステータス]]=1,1539-キャラマスタ[[#This Row],[初登場時の年齢]]+キャラマスタ[[#This Row],[死亡年]],1539-キャラマスタ[[#This Row],[初登場時の年齢]]),"")</f>
        <v>1515</v>
      </c>
      <c r="I64">
        <v>185</v>
      </c>
      <c r="J64" t="s">
        <v>588</v>
      </c>
      <c r="K64" t="s">
        <v>891</v>
      </c>
      <c r="L64" t="s">
        <v>18</v>
      </c>
      <c r="R64" t="s">
        <v>447</v>
      </c>
      <c r="S64" t="s">
        <v>958</v>
      </c>
      <c r="V64" t="s">
        <v>274</v>
      </c>
      <c r="W64" t="s">
        <v>277</v>
      </c>
      <c r="X64" t="s">
        <v>508</v>
      </c>
      <c r="Z64" t="str">
        <f>IF(キャラマスタ[[#This Row],[生存ステータス]]=1,1539+キャラマスタ[[#This Row],[死亡年]],"")</f>
        <v/>
      </c>
      <c r="AA64">
        <v>0</v>
      </c>
      <c r="AB64" t="s">
        <v>259</v>
      </c>
      <c r="AC64">
        <v>0</v>
      </c>
      <c r="AD64">
        <v>3.5</v>
      </c>
      <c r="AE64">
        <v>9999</v>
      </c>
      <c r="AF64" t="s">
        <v>892</v>
      </c>
      <c r="AG64" t="s">
        <v>699</v>
      </c>
      <c r="AH64" t="s">
        <v>893</v>
      </c>
    </row>
    <row r="65" spans="1:42">
      <c r="A65" t="s">
        <v>845</v>
      </c>
      <c r="B65" t="s">
        <v>894</v>
      </c>
      <c r="C65">
        <v>23</v>
      </c>
      <c r="D65">
        <f>IFERROR(キャラマスタ[[#This Row],[初登場時の年齢]]+2,"")</f>
        <v>25</v>
      </c>
      <c r="E65">
        <v>5</v>
      </c>
      <c r="F65">
        <v>42</v>
      </c>
      <c r="G65" s="11">
        <v>44147</v>
      </c>
      <c r="H65">
        <f>IFERROR(IF(キャラマスタ[[#This Row],[生存ステータス]]=1,1539-キャラマスタ[[#This Row],[初登場時の年齢]]+キャラマスタ[[#This Row],[死亡年]],1539-キャラマスタ[[#This Row],[初登場時の年齢]]),"")</f>
        <v>1516</v>
      </c>
      <c r="I65">
        <v>186</v>
      </c>
      <c r="J65" t="s">
        <v>588</v>
      </c>
      <c r="K65" t="s">
        <v>895</v>
      </c>
      <c r="L65" t="s">
        <v>18</v>
      </c>
      <c r="R65" t="s">
        <v>447</v>
      </c>
      <c r="S65" t="s">
        <v>958</v>
      </c>
      <c r="V65" t="s">
        <v>274</v>
      </c>
      <c r="W65" t="s">
        <v>277</v>
      </c>
      <c r="X65" t="s">
        <v>508</v>
      </c>
      <c r="Z65" t="str">
        <f>IF(キャラマスタ[[#This Row],[生存ステータス]]=1,1539+キャラマスタ[[#This Row],[死亡年]],"")</f>
        <v/>
      </c>
      <c r="AA65">
        <v>0</v>
      </c>
      <c r="AB65" t="s">
        <v>259</v>
      </c>
      <c r="AC65">
        <v>0</v>
      </c>
      <c r="AD65">
        <v>3.5</v>
      </c>
      <c r="AE65">
        <v>9999</v>
      </c>
      <c r="AF65" t="s">
        <v>892</v>
      </c>
      <c r="AG65" t="s">
        <v>699</v>
      </c>
      <c r="AH65" t="s">
        <v>896</v>
      </c>
    </row>
    <row r="66" spans="1:42">
      <c r="A66" t="s">
        <v>846</v>
      </c>
      <c r="B66" t="s">
        <v>897</v>
      </c>
      <c r="C66">
        <v>26</v>
      </c>
      <c r="D66">
        <f>IFERROR(キャラマスタ[[#This Row],[初登場時の年齢]]+2,"")</f>
        <v>28</v>
      </c>
      <c r="E66">
        <v>5</v>
      </c>
      <c r="F66">
        <v>43</v>
      </c>
      <c r="G66" s="11">
        <v>44081</v>
      </c>
      <c r="H66">
        <f>IFERROR(IF(キャラマスタ[[#This Row],[生存ステータス]]=1,1539-キャラマスタ[[#This Row],[初登場時の年齢]]+キャラマスタ[[#This Row],[死亡年]],1539-キャラマスタ[[#This Row],[初登場時の年齢]]),"")</f>
        <v>1513</v>
      </c>
      <c r="I66">
        <v>184</v>
      </c>
      <c r="L66" t="s">
        <v>53</v>
      </c>
      <c r="O66" t="s">
        <v>948</v>
      </c>
      <c r="R66" t="s">
        <v>446</v>
      </c>
      <c r="S66" t="s">
        <v>898</v>
      </c>
      <c r="T66" t="s">
        <v>965</v>
      </c>
      <c r="V66" t="s">
        <v>274</v>
      </c>
      <c r="W66" t="s">
        <v>277</v>
      </c>
      <c r="X66" t="s">
        <v>375</v>
      </c>
      <c r="Z66" t="str">
        <f>IF(キャラマスタ[[#This Row],[生存ステータス]]=1,1539+キャラマスタ[[#This Row],[死亡年]],"")</f>
        <v/>
      </c>
      <c r="AA66">
        <v>0</v>
      </c>
      <c r="AB66" t="s">
        <v>259</v>
      </c>
      <c r="AC66">
        <v>0</v>
      </c>
      <c r="AD66">
        <v>5</v>
      </c>
      <c r="AE66">
        <v>9999</v>
      </c>
      <c r="AF66" t="s">
        <v>899</v>
      </c>
      <c r="AG66" t="s">
        <v>699</v>
      </c>
      <c r="AH66" t="s">
        <v>900</v>
      </c>
      <c r="AP66" t="s">
        <v>901</v>
      </c>
    </row>
    <row r="67" spans="1:42">
      <c r="A67" t="s">
        <v>847</v>
      </c>
      <c r="B67" t="s">
        <v>902</v>
      </c>
      <c r="C67" t="s">
        <v>139</v>
      </c>
      <c r="D67" t="str">
        <f>IFERROR(キャラマスタ[[#This Row],[初登場時の年齢]]+2,"")</f>
        <v/>
      </c>
      <c r="E67">
        <v>5</v>
      </c>
      <c r="F67">
        <v>43</v>
      </c>
      <c r="G67" s="11">
        <v>44811</v>
      </c>
      <c r="H67" t="str">
        <f>IFERROR(IF(キャラマスタ[[#This Row],[生存ステータス]]=1,1539-キャラマスタ[[#This Row],[初登場時の年齢]]+キャラマスタ[[#This Row],[死亡年]],1539-キャラマスタ[[#This Row],[初登場時の年齢]]),"")</f>
        <v/>
      </c>
      <c r="L67" t="s">
        <v>18</v>
      </c>
      <c r="V67" t="s">
        <v>274</v>
      </c>
      <c r="W67" t="s">
        <v>277</v>
      </c>
      <c r="X67" t="s">
        <v>373</v>
      </c>
      <c r="Z67" t="str">
        <f>IF(キャラマスタ[[#This Row],[生存ステータス]]=1,1539+キャラマスタ[[#This Row],[死亡年]],"")</f>
        <v/>
      </c>
      <c r="AA67" t="s">
        <v>275</v>
      </c>
      <c r="AB67" t="s">
        <v>280</v>
      </c>
      <c r="AC67">
        <v>0</v>
      </c>
      <c r="AP67" t="s">
        <v>903</v>
      </c>
    </row>
    <row r="68" spans="1:42">
      <c r="A68" t="s">
        <v>848</v>
      </c>
      <c r="B68" t="s">
        <v>904</v>
      </c>
      <c r="C68" t="s">
        <v>534</v>
      </c>
      <c r="D68" t="str">
        <f>IFERROR(キャラマスタ[[#This Row],[初登場時の年齢]]+2,"")</f>
        <v/>
      </c>
      <c r="E68">
        <v>5</v>
      </c>
      <c r="F68">
        <v>43</v>
      </c>
      <c r="G68" s="11">
        <v>44882</v>
      </c>
      <c r="H68" t="str">
        <f>IFERROR(IF(キャラマスタ[[#This Row],[生存ステータス]]=1,1539-キャラマスタ[[#This Row],[初登場時の年齢]]+キャラマスタ[[#This Row],[死亡年]],1539-キャラマスタ[[#This Row],[初登場時の年齢]]),"")</f>
        <v/>
      </c>
      <c r="L68" t="s">
        <v>119</v>
      </c>
      <c r="V68" t="s">
        <v>276</v>
      </c>
      <c r="W68" t="s">
        <v>277</v>
      </c>
      <c r="X68" t="s">
        <v>373</v>
      </c>
      <c r="Z68" t="str">
        <f>IF(キャラマスタ[[#This Row],[生存ステータス]]=1,1539+キャラマスタ[[#This Row],[死亡年]],"")</f>
        <v/>
      </c>
      <c r="AA68" t="s">
        <v>275</v>
      </c>
      <c r="AB68" t="s">
        <v>280</v>
      </c>
      <c r="AC68">
        <v>0</v>
      </c>
      <c r="AP68" t="s">
        <v>905</v>
      </c>
    </row>
    <row r="69" spans="1:42">
      <c r="A69" t="s">
        <v>942</v>
      </c>
      <c r="B69" t="s">
        <v>941</v>
      </c>
      <c r="C69">
        <v>19</v>
      </c>
      <c r="D69">
        <f>IFERROR(キャラマスタ[[#This Row],[初登場時の年齢]]+2,"")</f>
        <v>21</v>
      </c>
      <c r="E69">
        <v>5</v>
      </c>
      <c r="F69">
        <v>43</v>
      </c>
      <c r="G69" s="11">
        <v>43892</v>
      </c>
      <c r="H69">
        <f>IFERROR(IF(キャラマスタ[[#This Row],[生存ステータス]]=1,1539-キャラマスタ[[#This Row],[初登場時の年齢]]+キャラマスタ[[#This Row],[死亡年]],1539-キャラマスタ[[#This Row],[初登場時の年齢]]),"")</f>
        <v>1520</v>
      </c>
      <c r="I69">
        <v>177</v>
      </c>
      <c r="J69" t="s">
        <v>400</v>
      </c>
      <c r="K69" t="s">
        <v>581</v>
      </c>
      <c r="L69" t="s">
        <v>53</v>
      </c>
      <c r="N69" t="s">
        <v>935</v>
      </c>
      <c r="R69" t="s">
        <v>959</v>
      </c>
      <c r="S69" t="s">
        <v>908</v>
      </c>
      <c r="T69" t="s">
        <v>961</v>
      </c>
      <c r="V69" t="s">
        <v>274</v>
      </c>
      <c r="W69" t="s">
        <v>277</v>
      </c>
      <c r="X69" t="s">
        <v>373</v>
      </c>
      <c r="Z69" t="str">
        <f>IF(キャラマスタ[[#This Row],[生存ステータス]]=1,1539+キャラマスタ[[#This Row],[死亡年]],"")</f>
        <v/>
      </c>
      <c r="AA69">
        <v>0</v>
      </c>
      <c r="AB69" t="s">
        <v>258</v>
      </c>
      <c r="AC69">
        <v>0</v>
      </c>
      <c r="AD69">
        <v>-3285</v>
      </c>
      <c r="AE69">
        <v>9999</v>
      </c>
      <c r="AF69" t="s">
        <v>910</v>
      </c>
      <c r="AG69" t="s">
        <v>936</v>
      </c>
      <c r="AH69" t="s">
        <v>937</v>
      </c>
      <c r="AI69" t="s">
        <v>938</v>
      </c>
      <c r="AK69" t="s">
        <v>939</v>
      </c>
      <c r="AP69" t="s">
        <v>940</v>
      </c>
    </row>
    <row r="70" spans="1:42">
      <c r="A70" t="s">
        <v>943</v>
      </c>
      <c r="B70" t="s">
        <v>906</v>
      </c>
      <c r="C70">
        <v>65</v>
      </c>
      <c r="D70">
        <f>IFERROR(キャラマスタ[[#This Row],[初登場時の年齢]]+2,"")</f>
        <v>67</v>
      </c>
      <c r="E70">
        <v>5</v>
      </c>
      <c r="F70">
        <v>43</v>
      </c>
      <c r="G70" s="11">
        <v>43923</v>
      </c>
      <c r="H70">
        <f>IFERROR(IF(キャラマスタ[[#This Row],[生存ステータス]]=1,1539-キャラマスタ[[#This Row],[初登場時の年齢]]+キャラマスタ[[#This Row],[死亡年]],1539-キャラマスタ[[#This Row],[初登場時の年齢]]),"")</f>
        <v>1474</v>
      </c>
      <c r="I70">
        <v>189</v>
      </c>
      <c r="J70" t="s">
        <v>589</v>
      </c>
      <c r="K70" t="s">
        <v>917</v>
      </c>
      <c r="L70" t="s">
        <v>119</v>
      </c>
      <c r="O70" t="s">
        <v>907</v>
      </c>
      <c r="R70" t="s">
        <v>959</v>
      </c>
      <c r="S70" t="s">
        <v>908</v>
      </c>
      <c r="T70" t="s">
        <v>909</v>
      </c>
      <c r="V70" t="s">
        <v>274</v>
      </c>
      <c r="W70" t="s">
        <v>277</v>
      </c>
      <c r="X70" t="s">
        <v>373</v>
      </c>
      <c r="Z70" t="str">
        <f>IF(キャラマスタ[[#This Row],[生存ステータス]]=1,1539+キャラマスタ[[#This Row],[死亡年]],"")</f>
        <v/>
      </c>
      <c r="AA70">
        <v>0</v>
      </c>
      <c r="AB70" t="s">
        <v>259</v>
      </c>
      <c r="AC70">
        <v>0</v>
      </c>
      <c r="AD70">
        <v>-3650</v>
      </c>
      <c r="AE70">
        <v>9999</v>
      </c>
      <c r="AF70" t="s">
        <v>910</v>
      </c>
      <c r="AG70" t="s">
        <v>682</v>
      </c>
      <c r="AH70" t="s">
        <v>911</v>
      </c>
      <c r="AP70" t="s">
        <v>912</v>
      </c>
    </row>
    <row r="71" spans="1:42">
      <c r="A71" t="s">
        <v>944</v>
      </c>
      <c r="B71" t="s">
        <v>913</v>
      </c>
      <c r="C71" t="s">
        <v>534</v>
      </c>
      <c r="D71" t="str">
        <f>IFERROR(キャラマスタ[[#This Row],[初登場時の年齢]]+2,"")</f>
        <v/>
      </c>
      <c r="E71">
        <v>5</v>
      </c>
      <c r="F71">
        <v>43</v>
      </c>
      <c r="G71" s="11">
        <v>44743</v>
      </c>
      <c r="H71" t="str">
        <f>IFERROR(IF(キャラマスタ[[#This Row],[生存ステータス]]=1,1539-キャラマスタ[[#This Row],[初登場時の年齢]]+キャラマスタ[[#This Row],[死亡年]],1539-キャラマスタ[[#This Row],[初登場時の年齢]]),"")</f>
        <v/>
      </c>
      <c r="L71" t="s">
        <v>119</v>
      </c>
      <c r="S71" t="s">
        <v>914</v>
      </c>
      <c r="V71" t="s">
        <v>275</v>
      </c>
      <c r="W71" t="s">
        <v>963</v>
      </c>
      <c r="X71" t="s">
        <v>962</v>
      </c>
      <c r="Z71" t="str">
        <f>IF(キャラマスタ[[#This Row],[生存ステータス]]=1,1539+キャラマスタ[[#This Row],[死亡年]],"")</f>
        <v/>
      </c>
      <c r="AA71" t="s">
        <v>275</v>
      </c>
      <c r="AB71" t="s">
        <v>280</v>
      </c>
      <c r="AC71">
        <v>0</v>
      </c>
      <c r="AP71" t="s">
        <v>915</v>
      </c>
    </row>
    <row r="72" spans="1:42">
      <c r="A72" t="s">
        <v>945</v>
      </c>
      <c r="B72" t="s">
        <v>916</v>
      </c>
      <c r="C72">
        <v>27</v>
      </c>
      <c r="D72">
        <f>IFERROR(キャラマスタ[[#This Row],[初登場時の年齢]]+2,"")</f>
        <v>29</v>
      </c>
      <c r="E72">
        <v>5</v>
      </c>
      <c r="F72">
        <v>44</v>
      </c>
      <c r="G72" s="11">
        <v>43902</v>
      </c>
      <c r="H72">
        <f>IFERROR(IF(キャラマスタ[[#This Row],[生存ステータス]]=1,1539-キャラマスタ[[#This Row],[初登場時の年齢]]+キャラマスタ[[#This Row],[死亡年]],1539-キャラマスタ[[#This Row],[初登場時の年齢]]),"")</f>
        <v>1512</v>
      </c>
      <c r="I72">
        <v>204</v>
      </c>
      <c r="J72" t="s">
        <v>589</v>
      </c>
      <c r="K72" t="s">
        <v>917</v>
      </c>
      <c r="L72" t="s">
        <v>18</v>
      </c>
      <c r="R72" t="s">
        <v>959</v>
      </c>
      <c r="S72" t="s">
        <v>908</v>
      </c>
      <c r="T72" t="s">
        <v>328</v>
      </c>
      <c r="V72" t="s">
        <v>274</v>
      </c>
      <c r="W72" t="s">
        <v>277</v>
      </c>
      <c r="X72" t="s">
        <v>373</v>
      </c>
      <c r="Z72" t="str">
        <f>IF(キャラマスタ[[#This Row],[生存ステータス]]=1,1539+キャラマスタ[[#This Row],[死亡年]],"")</f>
        <v/>
      </c>
      <c r="AA72">
        <v>0</v>
      </c>
      <c r="AB72" t="s">
        <v>259</v>
      </c>
      <c r="AC72">
        <v>0</v>
      </c>
      <c r="AG72" t="s">
        <v>475</v>
      </c>
      <c r="AH72" t="s">
        <v>918</v>
      </c>
      <c r="AP72" t="s">
        <v>919</v>
      </c>
    </row>
    <row r="73" spans="1:42">
      <c r="A73" t="s">
        <v>946</v>
      </c>
      <c r="B73" t="s">
        <v>920</v>
      </c>
      <c r="C73" t="s">
        <v>534</v>
      </c>
      <c r="D73" t="str">
        <f>IFERROR(キャラマスタ[[#This Row],[初登場時の年齢]]+2,"")</f>
        <v/>
      </c>
      <c r="E73">
        <v>5</v>
      </c>
      <c r="F73">
        <v>44</v>
      </c>
      <c r="G73" s="11">
        <v>44922</v>
      </c>
      <c r="H73" t="str">
        <f>IFERROR(IF(キャラマスタ[[#This Row],[生存ステータス]]=1,1539-キャラマスタ[[#This Row],[初登場時の年齢]]+キャラマスタ[[#This Row],[死亡年]],1539-キャラマスタ[[#This Row],[初登場時の年齢]]),"")</f>
        <v/>
      </c>
      <c r="L73" t="s">
        <v>119</v>
      </c>
      <c r="R73" t="s">
        <v>446</v>
      </c>
      <c r="S73" t="s">
        <v>898</v>
      </c>
      <c r="T73" t="s">
        <v>921</v>
      </c>
      <c r="V73" t="s">
        <v>274</v>
      </c>
      <c r="W73" t="s">
        <v>277</v>
      </c>
      <c r="X73" t="s">
        <v>375</v>
      </c>
      <c r="Z73" t="str">
        <f>IF(キャラマスタ[[#This Row],[生存ステータス]]=1,1539+キャラマスタ[[#This Row],[死亡年]],"")</f>
        <v/>
      </c>
      <c r="AA73" t="s">
        <v>275</v>
      </c>
      <c r="AB73" t="s">
        <v>280</v>
      </c>
      <c r="AC73">
        <v>0</v>
      </c>
      <c r="AP73" t="s">
        <v>922</v>
      </c>
    </row>
    <row r="74" spans="1:42">
      <c r="A74" t="s">
        <v>947</v>
      </c>
      <c r="B74" t="s">
        <v>923</v>
      </c>
      <c r="C74" t="s">
        <v>534</v>
      </c>
      <c r="D74" t="str">
        <f>IFERROR(キャラマスタ[[#This Row],[初登場時の年齢]]+2,"")</f>
        <v/>
      </c>
      <c r="E74">
        <v>5</v>
      </c>
      <c r="F74">
        <v>44</v>
      </c>
      <c r="G74" s="12" t="s">
        <v>924</v>
      </c>
      <c r="H74" t="str">
        <f>IFERROR(IF(キャラマスタ[[#This Row],[生存ステータス]]=1,1539-キャラマスタ[[#This Row],[初登場時の年齢]]+キャラマスタ[[#This Row],[死亡年]],1539-キャラマスタ[[#This Row],[初登場時の年齢]]),"")</f>
        <v/>
      </c>
      <c r="I74">
        <v>200</v>
      </c>
      <c r="L74" t="s">
        <v>925</v>
      </c>
      <c r="S74" t="s">
        <v>926</v>
      </c>
      <c r="V74" t="s">
        <v>274</v>
      </c>
      <c r="W74" t="s">
        <v>964</v>
      </c>
      <c r="X74" t="s">
        <v>373</v>
      </c>
      <c r="Z74" t="str">
        <f>IF(キャラマスタ[[#This Row],[生存ステータス]]=1,1539+キャラマスタ[[#This Row],[死亡年]],"")</f>
        <v/>
      </c>
      <c r="AA74" t="s">
        <v>275</v>
      </c>
      <c r="AB74" t="s">
        <v>280</v>
      </c>
      <c r="AC74">
        <v>0</v>
      </c>
      <c r="AP74" t="s">
        <v>927</v>
      </c>
    </row>
    <row r="75" spans="1:42">
      <c r="A75" t="s">
        <v>1085</v>
      </c>
      <c r="B75" t="s">
        <v>928</v>
      </c>
      <c r="C75">
        <v>25</v>
      </c>
      <c r="D75">
        <f>IFERROR(キャラマスタ[[#This Row],[初登場時の年齢]]+2,"")</f>
        <v>27</v>
      </c>
      <c r="E75">
        <v>5</v>
      </c>
      <c r="F75">
        <v>44</v>
      </c>
      <c r="G75" s="11">
        <v>43928</v>
      </c>
      <c r="H75">
        <f>IFERROR(IF(キャラマスタ[[#This Row],[生存ステータス]]=1,1539-キャラマスタ[[#This Row],[初登場時の年齢]]+キャラマスタ[[#This Row],[死亡年]],1539-キャラマスタ[[#This Row],[初登場時の年齢]]),"")</f>
        <v>1514</v>
      </c>
      <c r="I75">
        <v>186</v>
      </c>
      <c r="J75" t="s">
        <v>950</v>
      </c>
      <c r="K75" t="s">
        <v>929</v>
      </c>
      <c r="L75" t="s">
        <v>119</v>
      </c>
      <c r="O75" t="s">
        <v>930</v>
      </c>
      <c r="R75" t="s">
        <v>960</v>
      </c>
      <c r="S75" t="s">
        <v>931</v>
      </c>
      <c r="T75" t="s">
        <v>932</v>
      </c>
      <c r="V75" t="s">
        <v>274</v>
      </c>
      <c r="W75" t="s">
        <v>277</v>
      </c>
      <c r="X75" t="s">
        <v>372</v>
      </c>
      <c r="Z75" t="str">
        <f>IF(キャラマスタ[[#This Row],[生存ステータス]]=1,1539+キャラマスタ[[#This Row],[死亡年]],"")</f>
        <v/>
      </c>
      <c r="AA75">
        <v>0</v>
      </c>
      <c r="AB75" t="s">
        <v>259</v>
      </c>
      <c r="AC75">
        <v>0</v>
      </c>
      <c r="AD75">
        <v>-5</v>
      </c>
      <c r="AE75">
        <v>9999</v>
      </c>
      <c r="AF75" t="s">
        <v>933</v>
      </c>
      <c r="AG75" t="s">
        <v>686</v>
      </c>
      <c r="AH75" t="s">
        <v>934</v>
      </c>
    </row>
    <row r="76" spans="1:42">
      <c r="A76" t="s">
        <v>1097</v>
      </c>
      <c r="B76" t="s">
        <v>1101</v>
      </c>
      <c r="C76">
        <v>32</v>
      </c>
      <c r="D76">
        <f>IFERROR(キャラマスタ[[#This Row],[初登場時の年齢]]+2,"")</f>
        <v>34</v>
      </c>
      <c r="E76">
        <v>6</v>
      </c>
      <c r="F76">
        <v>45</v>
      </c>
      <c r="G76" s="2">
        <v>43870</v>
      </c>
      <c r="H76">
        <f>IFERROR(IF(キャラマスタ[[#This Row],[生存ステータス]]=1,1539-キャラマスタ[[#This Row],[初登場時の年齢]]+キャラマスタ[[#This Row],[死亡年]],1539-キャラマスタ[[#This Row],[初登場時の年齢]]),"")</f>
        <v>1507</v>
      </c>
      <c r="I76">
        <v>171</v>
      </c>
      <c r="J76" t="s">
        <v>589</v>
      </c>
      <c r="K76" t="s">
        <v>1102</v>
      </c>
      <c r="L76" t="s">
        <v>119</v>
      </c>
      <c r="R76" t="s">
        <v>959</v>
      </c>
      <c r="S76" t="s">
        <v>908</v>
      </c>
      <c r="T76" t="s">
        <v>160</v>
      </c>
      <c r="V76" t="s">
        <v>274</v>
      </c>
      <c r="W76" t="s">
        <v>277</v>
      </c>
      <c r="X76" t="s">
        <v>373</v>
      </c>
      <c r="Z76" t="str">
        <f>IF(キャラマスタ[[#This Row],[生存ステータス]]=1,1539+キャラマスタ[[#This Row],[死亡年]],"")</f>
        <v/>
      </c>
      <c r="AA76">
        <v>0</v>
      </c>
      <c r="AB76" t="s">
        <v>1142</v>
      </c>
      <c r="AC76">
        <v>0</v>
      </c>
      <c r="AG76" t="s">
        <v>22</v>
      </c>
      <c r="AH76" t="s">
        <v>1103</v>
      </c>
      <c r="AP76" t="s">
        <v>1104</v>
      </c>
    </row>
    <row r="77" spans="1:42">
      <c r="A77" t="s">
        <v>1098</v>
      </c>
      <c r="B77" t="s">
        <v>1105</v>
      </c>
      <c r="C77" t="s">
        <v>139</v>
      </c>
      <c r="D77" t="str">
        <f>IFERROR(キャラマスタ[[#This Row],[初登場時の年齢]]+2,"")</f>
        <v/>
      </c>
      <c r="E77">
        <v>6</v>
      </c>
      <c r="F77">
        <v>46</v>
      </c>
      <c r="G77" s="2">
        <v>44584</v>
      </c>
      <c r="H77" t="str">
        <f>IFERROR(IF(キャラマスタ[[#This Row],[生存ステータス]]=1,1539-キャラマスタ[[#This Row],[初登場時の年齢]]+キャラマスタ[[#This Row],[死亡年]],1539-キャラマスタ[[#This Row],[初登場時の年齢]]),"")</f>
        <v/>
      </c>
      <c r="L77" t="s">
        <v>18</v>
      </c>
      <c r="V77" t="s">
        <v>276</v>
      </c>
      <c r="W77" t="s">
        <v>277</v>
      </c>
      <c r="X77" t="s">
        <v>373</v>
      </c>
      <c r="Z77" t="str">
        <f>IF(キャラマスタ[[#This Row],[生存ステータス]]=1,1539+キャラマスタ[[#This Row],[死亡年]],"")</f>
        <v/>
      </c>
      <c r="AA77" t="s">
        <v>1083</v>
      </c>
      <c r="AB77" t="s">
        <v>1083</v>
      </c>
      <c r="AC77">
        <v>0</v>
      </c>
      <c r="AP77" t="s">
        <v>1106</v>
      </c>
    </row>
    <row r="78" spans="1:42">
      <c r="A78" t="s">
        <v>1099</v>
      </c>
      <c r="B78" t="s">
        <v>1107</v>
      </c>
      <c r="C78">
        <v>42</v>
      </c>
      <c r="D78">
        <f>IFERROR(キャラマスタ[[#This Row],[初登場時の年齢]]+2,"")</f>
        <v>44</v>
      </c>
      <c r="E78">
        <v>6</v>
      </c>
      <c r="F78">
        <v>46</v>
      </c>
      <c r="G78" s="2">
        <v>44093</v>
      </c>
      <c r="H78">
        <f>IFERROR(IF(キャラマスタ[[#This Row],[生存ステータス]]=1,1539-キャラマスタ[[#This Row],[初登場時の年齢]]+キャラマスタ[[#This Row],[死亡年]],1539-キャラマスタ[[#This Row],[初登場時の年齢]]),"")</f>
        <v>1497</v>
      </c>
      <c r="I78">
        <v>243</v>
      </c>
      <c r="J78" t="s">
        <v>950</v>
      </c>
      <c r="K78" t="s">
        <v>929</v>
      </c>
      <c r="L78" t="s">
        <v>119</v>
      </c>
      <c r="O78" t="s">
        <v>1108</v>
      </c>
      <c r="R78" t="s">
        <v>960</v>
      </c>
      <c r="S78" t="s">
        <v>931</v>
      </c>
      <c r="T78" t="s">
        <v>1109</v>
      </c>
      <c r="V78" t="s">
        <v>274</v>
      </c>
      <c r="W78" t="s">
        <v>277</v>
      </c>
      <c r="X78" t="s">
        <v>372</v>
      </c>
      <c r="Z78" t="str">
        <f>IF(キャラマスタ[[#This Row],[生存ステータス]]=1,1539+キャラマスタ[[#This Row],[死亡年]],"")</f>
        <v/>
      </c>
      <c r="AA78">
        <v>0</v>
      </c>
      <c r="AB78" t="s">
        <v>1142</v>
      </c>
      <c r="AC78">
        <v>0</v>
      </c>
      <c r="AD78">
        <v>-5</v>
      </c>
      <c r="AE78">
        <v>9999</v>
      </c>
      <c r="AF78" t="s">
        <v>1110</v>
      </c>
      <c r="AG78" t="s">
        <v>29</v>
      </c>
      <c r="AH78" t="s">
        <v>1111</v>
      </c>
    </row>
    <row r="79" spans="1:42">
      <c r="A79" t="s">
        <v>1100</v>
      </c>
      <c r="B79" t="s">
        <v>1112</v>
      </c>
      <c r="C79">
        <v>41</v>
      </c>
      <c r="D79">
        <f>IFERROR(キャラマスタ[[#This Row],[初登場時の年齢]]+2,"")</f>
        <v>43</v>
      </c>
      <c r="E79">
        <v>6</v>
      </c>
      <c r="F79">
        <v>50</v>
      </c>
      <c r="G79" s="2">
        <v>43899</v>
      </c>
      <c r="H79">
        <f>IFERROR(IF(キャラマスタ[[#This Row],[生存ステータス]]=1,1539-キャラマスタ[[#This Row],[初登場時の年齢]]+キャラマスタ[[#This Row],[死亡年]],1539-キャラマスタ[[#This Row],[初登場時の年齢]]),"")</f>
        <v>1498</v>
      </c>
      <c r="I79">
        <v>198</v>
      </c>
      <c r="J79" t="s">
        <v>951</v>
      </c>
      <c r="K79" t="s">
        <v>1139</v>
      </c>
      <c r="O79" t="s">
        <v>1143</v>
      </c>
      <c r="R79" t="s">
        <v>1146</v>
      </c>
      <c r="S79" t="s">
        <v>1140</v>
      </c>
      <c r="V79" t="s">
        <v>274</v>
      </c>
      <c r="W79" t="s">
        <v>277</v>
      </c>
      <c r="X79" t="s">
        <v>1141</v>
      </c>
      <c r="Z79" t="str">
        <f>IF(キャラマスタ[[#This Row],[生存ステータス]]=1,1539+キャラマスタ[[#This Row],[死亡年]],"")</f>
        <v/>
      </c>
      <c r="AA79">
        <v>0</v>
      </c>
      <c r="AB79" t="s">
        <v>1142</v>
      </c>
      <c r="AC79">
        <v>0</v>
      </c>
      <c r="AD79">
        <v>2</v>
      </c>
      <c r="AE79">
        <v>9999</v>
      </c>
      <c r="AF79" t="s">
        <v>100</v>
      </c>
      <c r="AG79" t="s">
        <v>22</v>
      </c>
      <c r="AH79" t="s">
        <v>1113</v>
      </c>
      <c r="AI79" t="s">
        <v>1114</v>
      </c>
      <c r="AJ79" t="s">
        <v>1115</v>
      </c>
      <c r="AK79" t="s">
        <v>1116</v>
      </c>
      <c r="AP79" t="s">
        <v>1117</v>
      </c>
    </row>
    <row r="80" spans="1:42">
      <c r="A80" t="s">
        <v>1236</v>
      </c>
      <c r="B80" t="s">
        <v>1240</v>
      </c>
      <c r="C80">
        <v>23</v>
      </c>
      <c r="D80">
        <f>IFERROR(キャラマスタ[[#This Row],[初登場時の年齢]]+2,"")</f>
        <v>25</v>
      </c>
      <c r="E80">
        <v>7</v>
      </c>
      <c r="F80">
        <v>54</v>
      </c>
      <c r="G80" s="11">
        <v>44753</v>
      </c>
      <c r="H80">
        <f>IFERROR(IF(キャラマスタ[[#This Row],[生存ステータス]]=1,1539-キャラマスタ[[#This Row],[初登場時の年齢]]+キャラマスタ[[#This Row],[死亡年]],1539-キャラマスタ[[#This Row],[初登場時の年齢]]),"")</f>
        <v>1516</v>
      </c>
      <c r="I80">
        <v>239</v>
      </c>
      <c r="J80" t="s">
        <v>950</v>
      </c>
      <c r="K80" t="s">
        <v>929</v>
      </c>
      <c r="L80" t="s">
        <v>18</v>
      </c>
      <c r="O80" t="s">
        <v>1241</v>
      </c>
      <c r="R80" t="s">
        <v>960</v>
      </c>
      <c r="S80" t="s">
        <v>931</v>
      </c>
      <c r="T80" t="s">
        <v>1242</v>
      </c>
      <c r="V80" t="s">
        <v>274</v>
      </c>
      <c r="W80" t="s">
        <v>277</v>
      </c>
      <c r="X80" t="s">
        <v>372</v>
      </c>
      <c r="Z80" t="str">
        <f>IF(キャラマスタ[[#This Row],[生存ステータス]]=1,1539+キャラマスタ[[#This Row],[死亡年]],"")</f>
        <v/>
      </c>
      <c r="AA80">
        <v>0</v>
      </c>
      <c r="AB80" t="s">
        <v>259</v>
      </c>
      <c r="AC80">
        <v>0</v>
      </c>
      <c r="AF80" t="s">
        <v>1243</v>
      </c>
      <c r="AG80" t="s">
        <v>699</v>
      </c>
      <c r="AH80" t="s">
        <v>1244</v>
      </c>
      <c r="AP80" t="s">
        <v>1245</v>
      </c>
    </row>
    <row r="81" spans="1:42">
      <c r="A81" t="s">
        <v>1237</v>
      </c>
      <c r="B81" t="s">
        <v>1246</v>
      </c>
      <c r="C81" t="s">
        <v>534</v>
      </c>
      <c r="D81" t="str">
        <f>IFERROR(キャラマスタ[[#This Row],[初登場時の年齢]]+2,"")</f>
        <v/>
      </c>
      <c r="E81">
        <v>7</v>
      </c>
      <c r="F81">
        <v>55</v>
      </c>
      <c r="G81" s="11">
        <v>44637</v>
      </c>
      <c r="H81" t="str">
        <f>IFERROR(IF(キャラマスタ[[#This Row],[生存ステータス]]=1,1539-キャラマスタ[[#This Row],[初登場時の年齢]]+キャラマスタ[[#This Row],[死亡年]],1539-キャラマスタ[[#This Row],[初登場時の年齢]]),"")</f>
        <v/>
      </c>
      <c r="J81" t="s">
        <v>950</v>
      </c>
      <c r="K81" t="s">
        <v>929</v>
      </c>
      <c r="L81" t="s">
        <v>18</v>
      </c>
      <c r="R81" t="s">
        <v>960</v>
      </c>
      <c r="S81" t="s">
        <v>931</v>
      </c>
      <c r="T81" t="s">
        <v>1247</v>
      </c>
      <c r="V81" t="s">
        <v>274</v>
      </c>
      <c r="W81" t="s">
        <v>277</v>
      </c>
      <c r="X81" t="s">
        <v>372</v>
      </c>
      <c r="Z81" t="str">
        <f>IF(キャラマスタ[[#This Row],[生存ステータス]]=1,1539+キャラマスタ[[#This Row],[死亡年]],"")</f>
        <v/>
      </c>
      <c r="AA81" t="s">
        <v>1255</v>
      </c>
      <c r="AB81" t="s">
        <v>280</v>
      </c>
      <c r="AC81">
        <v>0</v>
      </c>
    </row>
    <row r="82" spans="1:42">
      <c r="A82" t="s">
        <v>1238</v>
      </c>
      <c r="B82" t="s">
        <v>1248</v>
      </c>
      <c r="C82" t="s">
        <v>534</v>
      </c>
      <c r="D82" t="str">
        <f>IFERROR(キャラマスタ[[#This Row],[初登場時の年齢]]+2,"")</f>
        <v/>
      </c>
      <c r="E82">
        <v>7</v>
      </c>
      <c r="F82">
        <v>60</v>
      </c>
      <c r="G82" s="11">
        <v>44770</v>
      </c>
      <c r="H82" t="str">
        <f>IFERROR(IF(キャラマスタ[[#This Row],[生存ステータス]]=1,1539-キャラマスタ[[#This Row],[初登場時の年齢]]+キャラマスタ[[#This Row],[死亡年]],1539-キャラマスタ[[#This Row],[初登場時の年齢]]),"")</f>
        <v/>
      </c>
      <c r="J82" t="s">
        <v>950</v>
      </c>
      <c r="K82" t="s">
        <v>929</v>
      </c>
      <c r="L82" t="s">
        <v>119</v>
      </c>
      <c r="R82" t="s">
        <v>960</v>
      </c>
      <c r="S82" t="s">
        <v>931</v>
      </c>
      <c r="T82" t="s">
        <v>1249</v>
      </c>
      <c r="V82" t="s">
        <v>274</v>
      </c>
      <c r="W82" t="s">
        <v>277</v>
      </c>
      <c r="X82" t="s">
        <v>372</v>
      </c>
      <c r="Z82" t="str">
        <f>IF(キャラマスタ[[#This Row],[生存ステータス]]=1,1539+キャラマスタ[[#This Row],[死亡年]],"")</f>
        <v/>
      </c>
      <c r="AA82" t="s">
        <v>1255</v>
      </c>
      <c r="AB82" t="s">
        <v>280</v>
      </c>
      <c r="AC82">
        <v>0</v>
      </c>
    </row>
    <row r="83" spans="1:42">
      <c r="A83" t="s">
        <v>1239</v>
      </c>
      <c r="B83" t="s">
        <v>1250</v>
      </c>
      <c r="C83" t="s">
        <v>1255</v>
      </c>
      <c r="D83" t="str">
        <f>IFERROR(キャラマスタ[[#This Row],[初登場時の年齢]]+2,"")</f>
        <v/>
      </c>
      <c r="E83">
        <v>7</v>
      </c>
      <c r="F83">
        <v>62</v>
      </c>
      <c r="G83" s="11">
        <v>44824</v>
      </c>
      <c r="H83" t="str">
        <f>IFERROR(IF(キャラマスタ[[#This Row],[生存ステータス]]=1,1539-キャラマスタ[[#This Row],[初登場時の年齢]]+キャラマスタ[[#This Row],[死亡年]],1539-キャラマスタ[[#This Row],[初登場時の年齢]]),"")</f>
        <v/>
      </c>
      <c r="L83" t="s">
        <v>18</v>
      </c>
      <c r="V83" t="s">
        <v>274</v>
      </c>
      <c r="W83" t="s">
        <v>277</v>
      </c>
      <c r="X83" t="s">
        <v>373</v>
      </c>
      <c r="Z83" t="str">
        <f>IF(キャラマスタ[[#This Row],[生存ステータス]]=1,1539+キャラマスタ[[#This Row],[死亡年]],"")</f>
        <v/>
      </c>
      <c r="AA83" t="s">
        <v>1255</v>
      </c>
      <c r="AB83" t="s">
        <v>280</v>
      </c>
      <c r="AC83">
        <v>0</v>
      </c>
      <c r="AP83" t="s">
        <v>1251</v>
      </c>
    </row>
    <row r="84" spans="1:42">
      <c r="A84" t="s">
        <v>1306</v>
      </c>
      <c r="B84" t="s">
        <v>1252</v>
      </c>
      <c r="C84" t="s">
        <v>534</v>
      </c>
      <c r="D84" t="str">
        <f>IFERROR(キャラマスタ[[#This Row],[初登場時の年齢]]+2,"")</f>
        <v/>
      </c>
      <c r="E84">
        <v>8</v>
      </c>
      <c r="F84">
        <v>64</v>
      </c>
      <c r="G84" s="11">
        <v>44861</v>
      </c>
      <c r="H84" t="str">
        <f>IFERROR(IF(キャラマスタ[[#This Row],[生存ステータス]]=1,1539-キャラマスタ[[#This Row],[初登場時の年齢]]+キャラマスタ[[#This Row],[死亡年]],1539-キャラマスタ[[#This Row],[初登場時の年齢]]),"")</f>
        <v/>
      </c>
      <c r="J84" t="s">
        <v>950</v>
      </c>
      <c r="K84" t="s">
        <v>929</v>
      </c>
      <c r="L84" t="s">
        <v>18</v>
      </c>
      <c r="R84" t="s">
        <v>960</v>
      </c>
      <c r="S84" t="s">
        <v>1253</v>
      </c>
      <c r="T84" t="s">
        <v>1254</v>
      </c>
      <c r="V84" t="s">
        <v>274</v>
      </c>
      <c r="W84" t="s">
        <v>277</v>
      </c>
      <c r="X84" t="s">
        <v>372</v>
      </c>
      <c r="Z84" t="str">
        <f>IF(キャラマスタ[[#This Row],[生存ステータス]]=1,1539+キャラマスタ[[#This Row],[死亡年]],"")</f>
        <v/>
      </c>
      <c r="AA84" t="s">
        <v>1255</v>
      </c>
      <c r="AB84" t="s">
        <v>280</v>
      </c>
      <c r="AC84">
        <v>0</v>
      </c>
    </row>
    <row r="85" spans="1:42">
      <c r="A85" t="s">
        <v>1307</v>
      </c>
      <c r="B85" t="s">
        <v>1315</v>
      </c>
      <c r="C85" t="s">
        <v>1339</v>
      </c>
      <c r="D85" t="str">
        <f>IFERROR(キャラマスタ[[#This Row],[初登場時の年齢]]+2,"")</f>
        <v/>
      </c>
      <c r="E85">
        <v>8</v>
      </c>
      <c r="F85">
        <v>68</v>
      </c>
      <c r="G85" s="11">
        <v>44802</v>
      </c>
      <c r="H85" t="str">
        <f>IFERROR(IF(キャラマスタ[[#This Row],[生存ステータス]]=1,1539-キャラマスタ[[#This Row],[初登場時の年齢]]+キャラマスタ[[#This Row],[死亡年]],1539-キャラマスタ[[#This Row],[初登場時の年齢]]),"")</f>
        <v/>
      </c>
      <c r="L85" t="s">
        <v>18</v>
      </c>
      <c r="V85" t="s">
        <v>1339</v>
      </c>
      <c r="W85" t="s">
        <v>1344</v>
      </c>
      <c r="X85" t="s">
        <v>1339</v>
      </c>
      <c r="Z85" t="str">
        <f>IF(キャラマスタ[[#This Row],[生存ステータス]]=1,1539+キャラマスタ[[#This Row],[死亡年]],"")</f>
        <v/>
      </c>
      <c r="AA85" t="s">
        <v>1339</v>
      </c>
      <c r="AB85" t="s">
        <v>280</v>
      </c>
      <c r="AC85">
        <v>0</v>
      </c>
      <c r="AP85" t="s">
        <v>1315</v>
      </c>
    </row>
    <row r="86" spans="1:42">
      <c r="A86" t="s">
        <v>1308</v>
      </c>
      <c r="B86" t="s">
        <v>1316</v>
      </c>
      <c r="C86" t="s">
        <v>1339</v>
      </c>
      <c r="D86" t="str">
        <f>IFERROR(キャラマスタ[[#This Row],[初登場時の年齢]]+2,"")</f>
        <v/>
      </c>
      <c r="E86">
        <v>8</v>
      </c>
      <c r="F86">
        <v>69</v>
      </c>
      <c r="G86" s="11">
        <v>44015</v>
      </c>
      <c r="H86" t="str">
        <f>IFERROR(IF(キャラマスタ[[#This Row],[生存ステータス]]=1,1539-キャラマスタ[[#This Row],[初登場時の年齢]]+キャラマスタ[[#This Row],[死亡年]],1539-キャラマスタ[[#This Row],[初登場時の年齢]]),"")</f>
        <v/>
      </c>
      <c r="L86" t="s">
        <v>18</v>
      </c>
      <c r="V86" t="s">
        <v>276</v>
      </c>
      <c r="W86" t="s">
        <v>1341</v>
      </c>
      <c r="X86" t="s">
        <v>373</v>
      </c>
      <c r="Z86" t="str">
        <f>IF(キャラマスタ[[#This Row],[生存ステータス]]=1,1539+キャラマスタ[[#This Row],[死亡年]],"")</f>
        <v/>
      </c>
      <c r="AA86" t="s">
        <v>1339</v>
      </c>
      <c r="AB86" t="s">
        <v>280</v>
      </c>
      <c r="AC86">
        <v>0</v>
      </c>
    </row>
    <row r="87" spans="1:42">
      <c r="A87" t="s">
        <v>1309</v>
      </c>
      <c r="B87" t="s">
        <v>1317</v>
      </c>
      <c r="C87">
        <v>34</v>
      </c>
      <c r="D87">
        <f>IFERROR(キャラマスタ[[#This Row],[初登場時の年齢]]+2,"")</f>
        <v>36</v>
      </c>
      <c r="E87">
        <v>8</v>
      </c>
      <c r="F87">
        <v>69</v>
      </c>
      <c r="G87" s="11">
        <v>44177</v>
      </c>
      <c r="H87">
        <f>IFERROR(IF(キャラマスタ[[#This Row],[生存ステータス]]=1,1539-キャラマスタ[[#This Row],[初登場時の年齢]]+キャラマスタ[[#This Row],[死亡年]],1539-キャラマスタ[[#This Row],[初登場時の年齢]]),"")</f>
        <v>1505</v>
      </c>
      <c r="I87">
        <v>182</v>
      </c>
      <c r="L87" t="s">
        <v>18</v>
      </c>
      <c r="R87" t="s">
        <v>446</v>
      </c>
      <c r="S87" t="s">
        <v>1318</v>
      </c>
      <c r="T87" t="s">
        <v>83</v>
      </c>
      <c r="V87" t="s">
        <v>274</v>
      </c>
      <c r="W87" t="s">
        <v>277</v>
      </c>
      <c r="X87" t="s">
        <v>375</v>
      </c>
      <c r="Z87" t="str">
        <f>IF(キャラマスタ[[#This Row],[生存ステータス]]=1,1539+キャラマスタ[[#This Row],[死亡年]],"")</f>
        <v/>
      </c>
      <c r="AA87">
        <v>0</v>
      </c>
      <c r="AB87" t="s">
        <v>1342</v>
      </c>
      <c r="AC87">
        <v>0</v>
      </c>
      <c r="AG87" t="s">
        <v>682</v>
      </c>
      <c r="AH87" t="s">
        <v>1319</v>
      </c>
    </row>
    <row r="88" spans="1:42">
      <c r="A88" t="s">
        <v>1310</v>
      </c>
      <c r="B88" t="s">
        <v>1320</v>
      </c>
      <c r="C88">
        <v>39</v>
      </c>
      <c r="D88">
        <f>IFERROR(キャラマスタ[[#This Row],[初登場時の年齢]]+2,"")</f>
        <v>41</v>
      </c>
      <c r="E88">
        <v>8</v>
      </c>
      <c r="F88">
        <v>69</v>
      </c>
      <c r="G88" s="11">
        <v>43954</v>
      </c>
      <c r="H88">
        <f>IFERROR(IF(キャラマスタ[[#This Row],[生存ステータス]]=1,1539-キャラマスタ[[#This Row],[初登場時の年齢]]+キャラマスタ[[#This Row],[死亡年]],1539-キャラマスタ[[#This Row],[初登場時の年齢]]),"")</f>
        <v>1500</v>
      </c>
      <c r="I88">
        <v>263</v>
      </c>
      <c r="J88" t="s">
        <v>953</v>
      </c>
      <c r="K88" t="s">
        <v>1321</v>
      </c>
      <c r="L88" t="s">
        <v>527</v>
      </c>
      <c r="N88" t="s">
        <v>1322</v>
      </c>
      <c r="O88" t="s">
        <v>1323</v>
      </c>
      <c r="R88" t="s">
        <v>1292</v>
      </c>
      <c r="S88" t="s">
        <v>1324</v>
      </c>
      <c r="T88" t="s">
        <v>39</v>
      </c>
      <c r="V88" t="s">
        <v>274</v>
      </c>
      <c r="W88" t="s">
        <v>1341</v>
      </c>
      <c r="X88" t="s">
        <v>372</v>
      </c>
      <c r="Z88" t="str">
        <f>IF(キャラマスタ[[#This Row],[生存ステータス]]=1,1539+キャラマスタ[[#This Row],[死亡年]],"")</f>
        <v/>
      </c>
      <c r="AA88">
        <v>0</v>
      </c>
      <c r="AB88" t="s">
        <v>1342</v>
      </c>
      <c r="AC88">
        <v>0</v>
      </c>
      <c r="AD88">
        <v>-2920</v>
      </c>
      <c r="AE88">
        <v>9999</v>
      </c>
      <c r="AF88" t="s">
        <v>1325</v>
      </c>
      <c r="AG88" t="s">
        <v>699</v>
      </c>
      <c r="AH88" t="s">
        <v>1326</v>
      </c>
      <c r="AP88" t="s">
        <v>1327</v>
      </c>
    </row>
    <row r="89" spans="1:42">
      <c r="A89" t="s">
        <v>1311</v>
      </c>
      <c r="B89" t="s">
        <v>1328</v>
      </c>
      <c r="C89">
        <v>36</v>
      </c>
      <c r="D89">
        <f>IFERROR(キャラマスタ[[#This Row],[初登場時の年齢]]+2,"")</f>
        <v>38</v>
      </c>
      <c r="E89">
        <v>8</v>
      </c>
      <c r="F89">
        <v>69</v>
      </c>
      <c r="G89" s="11">
        <v>44051</v>
      </c>
      <c r="H89">
        <f>IFERROR(IF(キャラマスタ[[#This Row],[生存ステータス]]=1,1539-キャラマスタ[[#This Row],[初登場時の年齢]]+キャラマスタ[[#This Row],[死亡年]],1539-キャラマスタ[[#This Row],[初登場時の年齢]]),"")</f>
        <v>1503</v>
      </c>
      <c r="I89">
        <v>220</v>
      </c>
      <c r="J89" t="s">
        <v>953</v>
      </c>
      <c r="K89" t="s">
        <v>1321</v>
      </c>
      <c r="L89" t="s">
        <v>527</v>
      </c>
      <c r="N89" t="s">
        <v>1322</v>
      </c>
      <c r="O89" t="s">
        <v>1329</v>
      </c>
      <c r="R89" t="s">
        <v>1292</v>
      </c>
      <c r="S89" t="s">
        <v>1324</v>
      </c>
      <c r="T89" t="s">
        <v>1340</v>
      </c>
      <c r="V89" t="s">
        <v>274</v>
      </c>
      <c r="W89" t="s">
        <v>1341</v>
      </c>
      <c r="X89" t="s">
        <v>372</v>
      </c>
      <c r="Z89" t="str">
        <f>IF(キャラマスタ[[#This Row],[生存ステータス]]=1,1539+キャラマスタ[[#This Row],[死亡年]],"")</f>
        <v/>
      </c>
      <c r="AA89">
        <v>0</v>
      </c>
      <c r="AB89" t="s">
        <v>1342</v>
      </c>
      <c r="AC89">
        <v>0</v>
      </c>
      <c r="AD89">
        <v>-2920</v>
      </c>
      <c r="AE89">
        <v>9999</v>
      </c>
      <c r="AF89" t="s">
        <v>100</v>
      </c>
      <c r="AG89" t="s">
        <v>686</v>
      </c>
      <c r="AH89" t="s">
        <v>1330</v>
      </c>
      <c r="AP89" t="s">
        <v>1331</v>
      </c>
    </row>
    <row r="90" spans="1:42">
      <c r="A90" t="s">
        <v>1312</v>
      </c>
      <c r="B90" t="s">
        <v>1332</v>
      </c>
      <c r="C90" t="s">
        <v>1339</v>
      </c>
      <c r="D90" t="str">
        <f>IFERROR(キャラマスタ[[#This Row],[初登場時の年齢]]+2,"")</f>
        <v/>
      </c>
      <c r="E90">
        <v>8</v>
      </c>
      <c r="F90">
        <v>69</v>
      </c>
      <c r="G90" s="11">
        <v>44726</v>
      </c>
      <c r="H90" t="str">
        <f>IFERROR(IF(キャラマスタ[[#This Row],[生存ステータス]]=1,1539-キャラマスタ[[#This Row],[初登場時の年齢]]+キャラマスタ[[#This Row],[死亡年]],1539-キャラマスタ[[#This Row],[初登場時の年齢]]),"")</f>
        <v/>
      </c>
      <c r="L90" t="s">
        <v>119</v>
      </c>
      <c r="N90" t="s">
        <v>1333</v>
      </c>
      <c r="V90" t="s">
        <v>274</v>
      </c>
      <c r="W90" t="s">
        <v>277</v>
      </c>
      <c r="X90" t="s">
        <v>373</v>
      </c>
      <c r="Z90" t="str">
        <f>IF(キャラマスタ[[#This Row],[生存ステータス]]=1,1539+キャラマスタ[[#This Row],[死亡年]],"")</f>
        <v/>
      </c>
      <c r="AA90" t="s">
        <v>1339</v>
      </c>
      <c r="AB90" t="s">
        <v>1343</v>
      </c>
      <c r="AC90">
        <v>0</v>
      </c>
    </row>
    <row r="91" spans="1:42">
      <c r="A91" t="s">
        <v>1313</v>
      </c>
      <c r="B91" t="s">
        <v>1334</v>
      </c>
      <c r="C91">
        <v>20</v>
      </c>
      <c r="D91">
        <f>IFERROR(キャラマスタ[[#This Row],[初登場時の年齢]]+2,"")</f>
        <v>22</v>
      </c>
      <c r="E91">
        <v>8</v>
      </c>
      <c r="F91">
        <v>70</v>
      </c>
      <c r="G91" s="11">
        <v>44037</v>
      </c>
      <c r="H91">
        <f>IFERROR(IF(キャラマスタ[[#This Row],[生存ステータス]]=1,1539-キャラマスタ[[#This Row],[初登場時の年齢]]+キャラマスタ[[#This Row],[死亡年]],1539-キャラマスタ[[#This Row],[初登場時の年齢]]),"")</f>
        <v>1519</v>
      </c>
      <c r="I91">
        <v>170</v>
      </c>
      <c r="L91" t="s">
        <v>119</v>
      </c>
      <c r="M91" t="s">
        <v>1273</v>
      </c>
      <c r="N91" t="s">
        <v>94</v>
      </c>
      <c r="S91" t="s">
        <v>94</v>
      </c>
      <c r="T91" t="s">
        <v>671</v>
      </c>
      <c r="V91" t="s">
        <v>276</v>
      </c>
      <c r="W91" t="s">
        <v>277</v>
      </c>
      <c r="X91" t="s">
        <v>373</v>
      </c>
      <c r="Z91" t="str">
        <f>IF(キャラマスタ[[#This Row],[生存ステータス]]=1,1539+キャラマスタ[[#This Row],[死亡年]],"")</f>
        <v/>
      </c>
      <c r="AA91">
        <v>0</v>
      </c>
      <c r="AB91" t="s">
        <v>1342</v>
      </c>
      <c r="AC91">
        <v>0</v>
      </c>
      <c r="AG91" t="s">
        <v>686</v>
      </c>
      <c r="AH91" t="s">
        <v>1335</v>
      </c>
    </row>
    <row r="92" spans="1:42">
      <c r="A92" t="s">
        <v>1314</v>
      </c>
      <c r="B92" t="s">
        <v>1336</v>
      </c>
      <c r="C92">
        <v>46</v>
      </c>
      <c r="D92">
        <f>IFERROR(キャラマスタ[[#This Row],[初登場時の年齢]]+2,"")</f>
        <v>48</v>
      </c>
      <c r="E92">
        <v>8</v>
      </c>
      <c r="F92">
        <v>71</v>
      </c>
      <c r="G92" s="11">
        <v>43999</v>
      </c>
      <c r="H92">
        <f>IFERROR(IF(キャラマスタ[[#This Row],[生存ステータス]]=1,1539-キャラマスタ[[#This Row],[初登場時の年齢]]+キャラマスタ[[#This Row],[死亡年]],1539-キャラマスタ[[#This Row],[初登場時の年齢]]),"")</f>
        <v>1493</v>
      </c>
      <c r="I92">
        <v>173</v>
      </c>
      <c r="L92" t="s">
        <v>119</v>
      </c>
      <c r="M92" t="s">
        <v>1273</v>
      </c>
      <c r="N92" t="s">
        <v>94</v>
      </c>
      <c r="S92" t="s">
        <v>94</v>
      </c>
      <c r="T92" t="s">
        <v>1337</v>
      </c>
      <c r="V92" t="s">
        <v>274</v>
      </c>
      <c r="W92" t="s">
        <v>277</v>
      </c>
      <c r="X92" t="s">
        <v>373</v>
      </c>
      <c r="Z92" t="str">
        <f>IF(キャラマスタ[[#This Row],[生存ステータス]]=1,1539+キャラマスタ[[#This Row],[死亡年]],"")</f>
        <v/>
      </c>
      <c r="AA92">
        <v>0</v>
      </c>
      <c r="AB92" t="s">
        <v>1342</v>
      </c>
      <c r="AC92">
        <v>0</v>
      </c>
      <c r="AG92" t="s">
        <v>699</v>
      </c>
      <c r="AH92" t="s">
        <v>1338</v>
      </c>
    </row>
    <row r="93" spans="1:42">
      <c r="A93" t="s">
        <v>1451</v>
      </c>
      <c r="B93" t="s">
        <v>1461</v>
      </c>
      <c r="C93" t="s">
        <v>534</v>
      </c>
      <c r="D93" t="str">
        <f>IFERROR(キャラマスタ[[#This Row],[初登場時の年齢]]+2,"")</f>
        <v/>
      </c>
      <c r="E93">
        <v>9</v>
      </c>
      <c r="F93">
        <v>72</v>
      </c>
      <c r="G93" s="11">
        <v>44897</v>
      </c>
      <c r="H93" t="str">
        <f>IFERROR(IF(キャラマスタ[[#This Row],[生存ステータス]]=1,1539-キャラマスタ[[#This Row],[初登場時の年齢]]+キャラマスタ[[#This Row],[死亡年]],1539-キャラマスタ[[#This Row],[初登場時の年齢]]),"")</f>
        <v/>
      </c>
      <c r="J93" t="s">
        <v>953</v>
      </c>
      <c r="K93" t="s">
        <v>1321</v>
      </c>
      <c r="L93" t="s">
        <v>1462</v>
      </c>
      <c r="N93" t="s">
        <v>1463</v>
      </c>
      <c r="R93" t="s">
        <v>1292</v>
      </c>
      <c r="S93" t="s">
        <v>1324</v>
      </c>
      <c r="T93" t="s">
        <v>1464</v>
      </c>
      <c r="V93" t="s">
        <v>274</v>
      </c>
      <c r="W93" t="s">
        <v>1341</v>
      </c>
      <c r="X93" t="s">
        <v>372</v>
      </c>
      <c r="Z93" t="str">
        <f>IF(キャラマスタ[[#This Row],[生存ステータス]]=1,1539+キャラマスタ[[#This Row],[死亡年]],"")</f>
        <v/>
      </c>
      <c r="AA93" t="s">
        <v>1498</v>
      </c>
      <c r="AB93" t="s">
        <v>599</v>
      </c>
      <c r="AC93">
        <v>0</v>
      </c>
      <c r="AP93" t="s">
        <v>1465</v>
      </c>
    </row>
    <row r="94" spans="1:42">
      <c r="A94" t="s">
        <v>1452</v>
      </c>
      <c r="B94" t="s">
        <v>1466</v>
      </c>
      <c r="C94" t="s">
        <v>534</v>
      </c>
      <c r="D94" t="str">
        <f>IFERROR(キャラマスタ[[#This Row],[初登場時の年齢]]+2,"")</f>
        <v/>
      </c>
      <c r="E94">
        <v>9</v>
      </c>
      <c r="F94">
        <v>72</v>
      </c>
      <c r="G94" s="11">
        <v>44787</v>
      </c>
      <c r="H94" t="str">
        <f>IFERROR(IF(キャラマスタ[[#This Row],[生存ステータス]]=1,1539-キャラマスタ[[#This Row],[初登場時の年齢]]+キャラマスタ[[#This Row],[死亡年]],1539-キャラマスタ[[#This Row],[初登場時の年齢]]),"")</f>
        <v/>
      </c>
      <c r="J94" t="s">
        <v>953</v>
      </c>
      <c r="K94" t="s">
        <v>1467</v>
      </c>
      <c r="L94" t="s">
        <v>1468</v>
      </c>
      <c r="N94" t="s">
        <v>1469</v>
      </c>
      <c r="R94" t="s">
        <v>1292</v>
      </c>
      <c r="S94" t="s">
        <v>1324</v>
      </c>
      <c r="T94" t="s">
        <v>143</v>
      </c>
      <c r="V94" t="s">
        <v>274</v>
      </c>
      <c r="W94" t="s">
        <v>1341</v>
      </c>
      <c r="X94" t="s">
        <v>372</v>
      </c>
      <c r="Z94" t="str">
        <f>IF(キャラマスタ[[#This Row],[生存ステータス]]=1,1539+キャラマスタ[[#This Row],[死亡年]],"")</f>
        <v/>
      </c>
      <c r="AA94" t="s">
        <v>1498</v>
      </c>
      <c r="AB94" t="s">
        <v>599</v>
      </c>
      <c r="AC94">
        <v>0</v>
      </c>
    </row>
    <row r="95" spans="1:42">
      <c r="A95" t="s">
        <v>1453</v>
      </c>
      <c r="B95" t="s">
        <v>1470</v>
      </c>
      <c r="C95">
        <v>14</v>
      </c>
      <c r="D95">
        <f>IFERROR(キャラマスタ[[#This Row],[初登場時の年齢]]+2,"")</f>
        <v>16</v>
      </c>
      <c r="E95">
        <v>9</v>
      </c>
      <c r="F95">
        <v>73</v>
      </c>
      <c r="G95" s="11">
        <v>43930</v>
      </c>
      <c r="H95">
        <f>IFERROR(IF(キャラマスタ[[#This Row],[生存ステータス]]=1,1539-キャラマスタ[[#This Row],[初登場時の年齢]]+キャラマスタ[[#This Row],[死亡年]],1539-キャラマスタ[[#This Row],[初登場時の年齢]]),"")</f>
        <v>1525</v>
      </c>
      <c r="I95">
        <v>3600</v>
      </c>
      <c r="J95" t="s">
        <v>953</v>
      </c>
      <c r="K95" t="s">
        <v>1321</v>
      </c>
      <c r="L95" t="s">
        <v>527</v>
      </c>
      <c r="O95" t="s">
        <v>1471</v>
      </c>
      <c r="R95" t="s">
        <v>1292</v>
      </c>
      <c r="S95" t="s">
        <v>1324</v>
      </c>
      <c r="T95" t="s">
        <v>331</v>
      </c>
      <c r="V95" t="s">
        <v>1498</v>
      </c>
      <c r="W95" t="s">
        <v>1497</v>
      </c>
      <c r="X95" t="s">
        <v>372</v>
      </c>
      <c r="Z95" t="str">
        <f>IF(キャラマスタ[[#This Row],[生存ステータス]]=1,1539+キャラマスタ[[#This Row],[死亡年]],"")</f>
        <v/>
      </c>
      <c r="AA95">
        <v>0</v>
      </c>
      <c r="AB95" t="s">
        <v>1499</v>
      </c>
      <c r="AC95">
        <v>0</v>
      </c>
      <c r="AG95" t="s">
        <v>686</v>
      </c>
      <c r="AH95" t="s">
        <v>1472</v>
      </c>
      <c r="AP95" t="s">
        <v>1473</v>
      </c>
    </row>
    <row r="96" spans="1:42">
      <c r="A96" t="s">
        <v>1454</v>
      </c>
      <c r="B96" t="s">
        <v>1474</v>
      </c>
      <c r="C96">
        <v>33</v>
      </c>
      <c r="D96">
        <f>IFERROR(キャラマスタ[[#This Row],[初登場時の年齢]]+2,"")</f>
        <v>35</v>
      </c>
      <c r="E96">
        <v>9</v>
      </c>
      <c r="F96">
        <v>75</v>
      </c>
      <c r="G96" s="11">
        <v>43974</v>
      </c>
      <c r="H96">
        <f>IFERROR(IF(キャラマスタ[[#This Row],[生存ステータス]]=1,1539-キャラマスタ[[#This Row],[初登場時の年齢]]+キャラマスタ[[#This Row],[死亡年]],1539-キャラマスタ[[#This Row],[初登場時の年齢]]),"")</f>
        <v>1506</v>
      </c>
      <c r="I96">
        <v>257</v>
      </c>
      <c r="J96" t="s">
        <v>953</v>
      </c>
      <c r="K96" t="s">
        <v>1321</v>
      </c>
      <c r="L96" t="s">
        <v>527</v>
      </c>
      <c r="N96" t="s">
        <v>1322</v>
      </c>
      <c r="R96" t="s">
        <v>1292</v>
      </c>
      <c r="S96" t="s">
        <v>1324</v>
      </c>
      <c r="T96" t="s">
        <v>1340</v>
      </c>
      <c r="V96" t="s">
        <v>274</v>
      </c>
      <c r="W96" t="s">
        <v>1341</v>
      </c>
      <c r="X96" t="s">
        <v>372</v>
      </c>
      <c r="Z96" t="str">
        <f>IF(キャラマスタ[[#This Row],[生存ステータス]]=1,1539+キャラマスタ[[#This Row],[死亡年]],"")</f>
        <v/>
      </c>
      <c r="AA96">
        <v>0</v>
      </c>
      <c r="AB96" t="s">
        <v>1499</v>
      </c>
      <c r="AC96">
        <v>0</v>
      </c>
      <c r="AF96" t="s">
        <v>1475</v>
      </c>
      <c r="AG96" t="s">
        <v>475</v>
      </c>
      <c r="AH96" t="s">
        <v>1476</v>
      </c>
      <c r="AP96" t="s">
        <v>1477</v>
      </c>
    </row>
    <row r="97" spans="1:42">
      <c r="A97" t="s">
        <v>1455</v>
      </c>
      <c r="B97" t="s">
        <v>1478</v>
      </c>
      <c r="C97">
        <v>36</v>
      </c>
      <c r="D97">
        <f>IFERROR(キャラマスタ[[#This Row],[初登場時の年齢]]+2,"")</f>
        <v>38</v>
      </c>
      <c r="E97">
        <v>9</v>
      </c>
      <c r="F97">
        <v>75</v>
      </c>
      <c r="G97" s="11">
        <v>44129</v>
      </c>
      <c r="H97">
        <f>IFERROR(IF(キャラマスタ[[#This Row],[生存ステータス]]=1,1539-キャラマスタ[[#This Row],[初登場時の年齢]]+キャラマスタ[[#This Row],[死亡年]],1539-キャラマスタ[[#This Row],[初登場時の年齢]]),"")</f>
        <v>1503</v>
      </c>
      <c r="I97">
        <v>252</v>
      </c>
      <c r="J97" t="s">
        <v>953</v>
      </c>
      <c r="K97" t="s">
        <v>1321</v>
      </c>
      <c r="L97" t="s">
        <v>527</v>
      </c>
      <c r="N97" t="s">
        <v>1322</v>
      </c>
      <c r="R97" t="s">
        <v>1292</v>
      </c>
      <c r="S97" t="s">
        <v>1324</v>
      </c>
      <c r="T97" t="s">
        <v>1340</v>
      </c>
      <c r="V97" t="s">
        <v>274</v>
      </c>
      <c r="W97" t="s">
        <v>1341</v>
      </c>
      <c r="X97" t="s">
        <v>372</v>
      </c>
      <c r="Z97" t="str">
        <f>IF(キャラマスタ[[#This Row],[生存ステータス]]=1,1539+キャラマスタ[[#This Row],[死亡年]],"")</f>
        <v/>
      </c>
      <c r="AA97">
        <v>0</v>
      </c>
      <c r="AB97" t="s">
        <v>1499</v>
      </c>
      <c r="AC97">
        <v>0</v>
      </c>
      <c r="AF97" t="s">
        <v>1479</v>
      </c>
      <c r="AG97" t="s">
        <v>29</v>
      </c>
      <c r="AH97" t="s">
        <v>1480</v>
      </c>
      <c r="AP97" t="s">
        <v>1481</v>
      </c>
    </row>
    <row r="98" spans="1:42">
      <c r="A98" t="s">
        <v>1456</v>
      </c>
      <c r="B98" t="s">
        <v>1482</v>
      </c>
      <c r="C98" t="s">
        <v>534</v>
      </c>
      <c r="D98" t="str">
        <f>IFERROR(キャラマスタ[[#This Row],[初登場時の年齢]]+2,"")</f>
        <v/>
      </c>
      <c r="E98">
        <v>9</v>
      </c>
      <c r="F98">
        <v>75</v>
      </c>
      <c r="G98" s="11">
        <v>44647</v>
      </c>
      <c r="H98" t="str">
        <f>IFERROR(IF(キャラマスタ[[#This Row],[生存ステータス]]=1,1539-キャラマスタ[[#This Row],[初登場時の年齢]]+キャラマスタ[[#This Row],[死亡年]],1539-キャラマスタ[[#This Row],[初登場時の年齢]]),"")</f>
        <v/>
      </c>
      <c r="J98" t="s">
        <v>953</v>
      </c>
      <c r="K98" t="s">
        <v>1321</v>
      </c>
      <c r="L98" t="s">
        <v>1462</v>
      </c>
      <c r="N98" t="s">
        <v>1463</v>
      </c>
      <c r="R98" t="s">
        <v>1292</v>
      </c>
      <c r="S98" t="s">
        <v>1324</v>
      </c>
      <c r="T98" t="s">
        <v>1483</v>
      </c>
      <c r="V98" t="s">
        <v>274</v>
      </c>
      <c r="W98" t="s">
        <v>1341</v>
      </c>
      <c r="X98" t="s">
        <v>372</v>
      </c>
      <c r="Z98" t="str">
        <f>IF(キャラマスタ[[#This Row],[生存ステータス]]=1,1539+キャラマスタ[[#This Row],[死亡年]],"")</f>
        <v/>
      </c>
      <c r="AA98" t="s">
        <v>1498</v>
      </c>
      <c r="AB98" t="s">
        <v>1500</v>
      </c>
      <c r="AC98">
        <v>0</v>
      </c>
      <c r="AP98" t="s">
        <v>1484</v>
      </c>
    </row>
    <row r="99" spans="1:42">
      <c r="A99" t="s">
        <v>1457</v>
      </c>
      <c r="B99" t="s">
        <v>1485</v>
      </c>
      <c r="C99" t="s">
        <v>534</v>
      </c>
      <c r="D99" t="str">
        <f>IFERROR(キャラマスタ[[#This Row],[初登場時の年齢]]+2,"")</f>
        <v/>
      </c>
      <c r="E99">
        <v>9</v>
      </c>
      <c r="F99">
        <v>75</v>
      </c>
      <c r="G99" s="11">
        <v>44794</v>
      </c>
      <c r="H99" t="str">
        <f>IFERROR(IF(キャラマスタ[[#This Row],[生存ステータス]]=1,1539-キャラマスタ[[#This Row],[初登場時の年齢]]+キャラマスタ[[#This Row],[死亡年]],1539-キャラマスタ[[#This Row],[初登場時の年齢]]),"")</f>
        <v/>
      </c>
      <c r="J99" t="s">
        <v>953</v>
      </c>
      <c r="K99" t="s">
        <v>1321</v>
      </c>
      <c r="L99" t="s">
        <v>1462</v>
      </c>
      <c r="N99" t="s">
        <v>1463</v>
      </c>
      <c r="R99" t="s">
        <v>1292</v>
      </c>
      <c r="S99" t="s">
        <v>1324</v>
      </c>
      <c r="T99" t="s">
        <v>1486</v>
      </c>
      <c r="V99" t="s">
        <v>274</v>
      </c>
      <c r="W99" t="s">
        <v>1341</v>
      </c>
      <c r="X99" t="s">
        <v>372</v>
      </c>
      <c r="Z99" t="str">
        <f>IF(キャラマスタ[[#This Row],[生存ステータス]]=1,1539+キャラマスタ[[#This Row],[死亡年]],"")</f>
        <v/>
      </c>
      <c r="AA99" t="s">
        <v>1498</v>
      </c>
      <c r="AB99" t="s">
        <v>1500</v>
      </c>
      <c r="AC99">
        <v>0</v>
      </c>
      <c r="AP99" t="s">
        <v>1487</v>
      </c>
    </row>
    <row r="100" spans="1:42">
      <c r="A100" t="s">
        <v>1458</v>
      </c>
      <c r="B100" t="s">
        <v>1488</v>
      </c>
      <c r="C100" t="s">
        <v>534</v>
      </c>
      <c r="D100" t="str">
        <f>IFERROR(キャラマスタ[[#This Row],[初登場時の年齢]]+2,"")</f>
        <v/>
      </c>
      <c r="E100">
        <v>9</v>
      </c>
      <c r="F100">
        <v>75</v>
      </c>
      <c r="G100" s="11">
        <v>44697</v>
      </c>
      <c r="H100" t="str">
        <f>IFERROR(IF(キャラマスタ[[#This Row],[生存ステータス]]=1,1539-キャラマスタ[[#This Row],[初登場時の年齢]]+キャラマスタ[[#This Row],[死亡年]],1539-キャラマスタ[[#This Row],[初登場時の年齢]]),"")</f>
        <v/>
      </c>
      <c r="L100" t="s">
        <v>18</v>
      </c>
      <c r="R100" t="s">
        <v>446</v>
      </c>
      <c r="S100" t="s">
        <v>1489</v>
      </c>
      <c r="T100" t="s">
        <v>1490</v>
      </c>
      <c r="V100" t="s">
        <v>274</v>
      </c>
      <c r="W100" t="s">
        <v>277</v>
      </c>
      <c r="X100" t="s">
        <v>375</v>
      </c>
      <c r="Z100" t="str">
        <f>IF(キャラマスタ[[#This Row],[生存ステータス]]=1,1539+キャラマスタ[[#This Row],[死亡年]],"")</f>
        <v/>
      </c>
      <c r="AA100">
        <v>0</v>
      </c>
      <c r="AB100" t="s">
        <v>1499</v>
      </c>
      <c r="AC100">
        <v>0</v>
      </c>
    </row>
    <row r="101" spans="1:42">
      <c r="A101" t="s">
        <v>1459</v>
      </c>
      <c r="B101" t="s">
        <v>1491</v>
      </c>
      <c r="C101">
        <v>28</v>
      </c>
      <c r="D101">
        <f>IFERROR(キャラマスタ[[#This Row],[初登場時の年齢]]+2,"")</f>
        <v>30</v>
      </c>
      <c r="E101">
        <v>9</v>
      </c>
      <c r="F101">
        <v>77</v>
      </c>
      <c r="G101" s="11">
        <v>44168</v>
      </c>
      <c r="H101">
        <f>IFERROR(IF(キャラマスタ[[#This Row],[生存ステータス]]=1,1539-キャラマスタ[[#This Row],[初登場時の年齢]]+キャラマスタ[[#This Row],[死亡年]],1539-キャラマスタ[[#This Row],[初登場時の年齢]]),"")</f>
        <v>1503</v>
      </c>
      <c r="I101">
        <v>186</v>
      </c>
      <c r="L101" t="s">
        <v>119</v>
      </c>
      <c r="M101" t="s">
        <v>1273</v>
      </c>
      <c r="N101" t="s">
        <v>94</v>
      </c>
      <c r="R101" t="s">
        <v>1292</v>
      </c>
      <c r="S101" t="s">
        <v>94</v>
      </c>
      <c r="T101" t="s">
        <v>671</v>
      </c>
      <c r="V101" t="s">
        <v>276</v>
      </c>
      <c r="W101" t="s">
        <v>277</v>
      </c>
      <c r="X101" t="s">
        <v>373</v>
      </c>
      <c r="Y101">
        <v>-8</v>
      </c>
      <c r="Z101">
        <f>IF(キャラマスタ[[#This Row],[生存ステータス]]=1,1539+キャラマスタ[[#This Row],[死亡年]],"")</f>
        <v>1531</v>
      </c>
      <c r="AA101">
        <v>1</v>
      </c>
      <c r="AB101" t="s">
        <v>1499</v>
      </c>
      <c r="AC101">
        <v>0</v>
      </c>
      <c r="AG101" t="s">
        <v>686</v>
      </c>
      <c r="AH101" t="s">
        <v>1335</v>
      </c>
      <c r="AP101" t="s">
        <v>377</v>
      </c>
    </row>
    <row r="102" spans="1:42">
      <c r="A102" t="s">
        <v>1460</v>
      </c>
      <c r="B102" t="s">
        <v>1492</v>
      </c>
      <c r="C102" t="s">
        <v>534</v>
      </c>
      <c r="D102" t="str">
        <f>IFERROR(キャラマスタ[[#This Row],[初登場時の年齢]]+2,"")</f>
        <v/>
      </c>
      <c r="E102">
        <v>9</v>
      </c>
      <c r="F102">
        <v>78</v>
      </c>
      <c r="G102" s="11">
        <v>44743</v>
      </c>
      <c r="H102" t="str">
        <f>IFERROR(IF(キャラマスタ[[#This Row],[生存ステータス]]=1,1539-キャラマスタ[[#This Row],[初登場時の年齢]]+キャラマスタ[[#This Row],[死亡年]],1539-キャラマスタ[[#This Row],[初登場時の年齢]]),"")</f>
        <v/>
      </c>
      <c r="L102" t="s">
        <v>18</v>
      </c>
      <c r="M102" t="s">
        <v>1273</v>
      </c>
      <c r="N102" t="s">
        <v>94</v>
      </c>
      <c r="V102" t="s">
        <v>274</v>
      </c>
      <c r="W102" t="s">
        <v>277</v>
      </c>
      <c r="X102" t="s">
        <v>373</v>
      </c>
      <c r="Z102" t="str">
        <f>IF(キャラマスタ[[#This Row],[生存ステータス]]=1,1539+キャラマスタ[[#This Row],[死亡年]],"")</f>
        <v/>
      </c>
      <c r="AA102" t="s">
        <v>1498</v>
      </c>
      <c r="AB102" t="s">
        <v>1500</v>
      </c>
      <c r="AC102">
        <v>0</v>
      </c>
    </row>
    <row r="103" spans="1:42">
      <c r="A103" t="s">
        <v>1495</v>
      </c>
      <c r="B103" t="s">
        <v>1493</v>
      </c>
      <c r="C103" t="s">
        <v>1496</v>
      </c>
      <c r="D103" t="str">
        <f>IFERROR(キャラマスタ[[#This Row],[初登場時の年齢]]+2,"")</f>
        <v/>
      </c>
      <c r="E103">
        <v>9</v>
      </c>
      <c r="F103">
        <v>79</v>
      </c>
      <c r="G103" s="11">
        <v>44886</v>
      </c>
      <c r="H103" t="str">
        <f>IFERROR(IF(キャラマスタ[[#This Row],[生存ステータス]]=1,1539-キャラマスタ[[#This Row],[初登場時の年齢]]+キャラマスタ[[#This Row],[死亡年]],1539-キャラマスタ[[#This Row],[初登場時の年齢]]),"")</f>
        <v/>
      </c>
      <c r="L103" t="s">
        <v>18</v>
      </c>
      <c r="V103" t="s">
        <v>276</v>
      </c>
      <c r="W103" t="s">
        <v>277</v>
      </c>
      <c r="X103" t="s">
        <v>373</v>
      </c>
      <c r="Z103" t="str">
        <f>IF(キャラマスタ[[#This Row],[生存ステータス]]=1,1539+キャラマスタ[[#This Row],[死亡年]],"")</f>
        <v/>
      </c>
      <c r="AA103" t="s">
        <v>1498</v>
      </c>
      <c r="AB103" t="s">
        <v>1500</v>
      </c>
      <c r="AC103">
        <v>0</v>
      </c>
      <c r="AP103" t="s">
        <v>1494</v>
      </c>
    </row>
    <row r="104" spans="1:42">
      <c r="A104" t="s">
        <v>1794</v>
      </c>
      <c r="B104" t="s">
        <v>1742</v>
      </c>
      <c r="C104" t="s">
        <v>534</v>
      </c>
      <c r="D104" t="str">
        <f>IFERROR(キャラマスタ[[#This Row],[初登場時の年齢]]+2,"")</f>
        <v/>
      </c>
      <c r="E104">
        <v>11</v>
      </c>
      <c r="F104">
        <v>94</v>
      </c>
      <c r="G104" s="11">
        <v>44855</v>
      </c>
      <c r="H104" t="str">
        <f>IFERROR(IF(キャラマスタ[[#This Row],[生存ステータス]]=1,1539-キャラマスタ[[#This Row],[初登場時の年齢]]+キャラマスタ[[#This Row],[死亡年]],1539-キャラマスタ[[#This Row],[初登場時の年齢]]),"")</f>
        <v/>
      </c>
      <c r="L104" t="s">
        <v>18</v>
      </c>
      <c r="M104" t="s">
        <v>1273</v>
      </c>
      <c r="N104" t="s">
        <v>1743</v>
      </c>
      <c r="V104" t="s">
        <v>274</v>
      </c>
      <c r="W104" t="s">
        <v>277</v>
      </c>
      <c r="X104" t="s">
        <v>373</v>
      </c>
      <c r="Z104" t="str">
        <f>IF(キャラマスタ[[#This Row],[生存ステータス]]=1,1539+キャラマスタ[[#This Row],[死亡年]],"")</f>
        <v/>
      </c>
      <c r="AA104" t="s">
        <v>1821</v>
      </c>
      <c r="AB104" t="s">
        <v>280</v>
      </c>
      <c r="AC104">
        <v>0</v>
      </c>
      <c r="AP104" t="s">
        <v>1744</v>
      </c>
    </row>
    <row r="105" spans="1:42">
      <c r="A105" t="s">
        <v>1795</v>
      </c>
      <c r="B105" t="s">
        <v>1745</v>
      </c>
      <c r="C105" t="s">
        <v>534</v>
      </c>
      <c r="D105" t="str">
        <f>IFERROR(キャラマスタ[[#This Row],[初登場時の年齢]]+2,"")</f>
        <v/>
      </c>
      <c r="E105">
        <v>11</v>
      </c>
      <c r="F105">
        <v>94</v>
      </c>
      <c r="G105" s="11"/>
      <c r="H105" t="str">
        <f>IFERROR(IF(キャラマスタ[[#This Row],[生存ステータス]]=1,1539-キャラマスタ[[#This Row],[初登場時の年齢]]+キャラマスタ[[#This Row],[死亡年]],1539-キャラマスタ[[#This Row],[初登場時の年齢]]),"")</f>
        <v/>
      </c>
      <c r="L105" t="s">
        <v>1746</v>
      </c>
      <c r="V105" t="s">
        <v>1821</v>
      </c>
      <c r="W105" t="s">
        <v>1823</v>
      </c>
      <c r="X105" t="s">
        <v>962</v>
      </c>
      <c r="Z105" t="str">
        <f>IF(キャラマスタ[[#This Row],[生存ステータス]]=1,1539+キャラマスタ[[#This Row],[死亡年]],"")</f>
        <v/>
      </c>
      <c r="AA105" t="s">
        <v>1821</v>
      </c>
      <c r="AB105" t="s">
        <v>280</v>
      </c>
      <c r="AC105">
        <v>0</v>
      </c>
      <c r="AH105" t="s">
        <v>1747</v>
      </c>
      <c r="AP105" t="s">
        <v>1748</v>
      </c>
    </row>
    <row r="106" spans="1:42">
      <c r="A106" t="s">
        <v>1796</v>
      </c>
      <c r="B106" t="s">
        <v>1749</v>
      </c>
      <c r="C106" t="s">
        <v>534</v>
      </c>
      <c r="D106" t="str">
        <f>IFERROR(キャラマスタ[[#This Row],[初登場時の年齢]]+2,"")</f>
        <v/>
      </c>
      <c r="E106">
        <v>11</v>
      </c>
      <c r="F106">
        <v>96</v>
      </c>
      <c r="G106" s="11"/>
      <c r="H106" t="str">
        <f>IFERROR(IF(キャラマスタ[[#This Row],[生存ステータス]]=1,1539-キャラマスタ[[#This Row],[初登場時の年齢]]+キャラマスタ[[#This Row],[死亡年]],1539-キャラマスタ[[#This Row],[初登場時の年齢]]),"")</f>
        <v/>
      </c>
      <c r="L106" t="s">
        <v>527</v>
      </c>
      <c r="V106" t="s">
        <v>1821</v>
      </c>
      <c r="W106" t="s">
        <v>1824</v>
      </c>
      <c r="X106" t="s">
        <v>962</v>
      </c>
      <c r="Z106" t="str">
        <f>IF(キャラマスタ[[#This Row],[生存ステータス]]=1,1539+キャラマスタ[[#This Row],[死亡年]],"")</f>
        <v/>
      </c>
      <c r="AA106" t="s">
        <v>1821</v>
      </c>
      <c r="AB106" t="s">
        <v>280</v>
      </c>
      <c r="AC106">
        <v>0</v>
      </c>
      <c r="AH106" t="s">
        <v>1750</v>
      </c>
      <c r="AP106" t="s">
        <v>1751</v>
      </c>
    </row>
    <row r="107" spans="1:42">
      <c r="A107" t="s">
        <v>1797</v>
      </c>
      <c r="B107" t="s">
        <v>1752</v>
      </c>
      <c r="C107">
        <v>54</v>
      </c>
      <c r="D107">
        <f>IFERROR(キャラマスタ[[#This Row],[初登場時の年齢]]+2,"")</f>
        <v>56</v>
      </c>
      <c r="E107">
        <v>11</v>
      </c>
      <c r="F107">
        <v>96</v>
      </c>
      <c r="G107" s="11">
        <v>44077</v>
      </c>
      <c r="H107">
        <f>IFERROR(IF(キャラマスタ[[#This Row],[生存ステータス]]=1,1539-キャラマスタ[[#This Row],[初登場時の年齢]]+キャラマスタ[[#This Row],[死亡年]],1539-キャラマスタ[[#This Row],[初登場時の年齢]]),"")</f>
        <v>1485</v>
      </c>
      <c r="I107">
        <v>190</v>
      </c>
      <c r="L107" t="s">
        <v>1753</v>
      </c>
      <c r="R107" t="s">
        <v>446</v>
      </c>
      <c r="S107" t="s">
        <v>1754</v>
      </c>
      <c r="T107" t="s">
        <v>1819</v>
      </c>
      <c r="V107" t="s">
        <v>274</v>
      </c>
      <c r="W107" t="s">
        <v>277</v>
      </c>
      <c r="X107" t="s">
        <v>375</v>
      </c>
      <c r="Z107" t="str">
        <f>IF(キャラマスタ[[#This Row],[生存ステータス]]=1,1539+キャラマスタ[[#This Row],[死亡年]],"")</f>
        <v/>
      </c>
      <c r="AA107">
        <v>0</v>
      </c>
      <c r="AB107" t="s">
        <v>1826</v>
      </c>
      <c r="AC107">
        <v>0</v>
      </c>
      <c r="AF107" t="s">
        <v>100</v>
      </c>
      <c r="AG107" t="s">
        <v>475</v>
      </c>
      <c r="AH107" t="s">
        <v>1755</v>
      </c>
    </row>
    <row r="108" spans="1:42">
      <c r="A108" t="s">
        <v>1798</v>
      </c>
      <c r="B108" t="s">
        <v>1756</v>
      </c>
      <c r="C108" t="s">
        <v>534</v>
      </c>
      <c r="D108" t="str">
        <f>IFERROR(キャラマスタ[[#This Row],[初登場時の年齢]]+2,"")</f>
        <v/>
      </c>
      <c r="E108">
        <v>11</v>
      </c>
      <c r="F108">
        <v>96</v>
      </c>
      <c r="G108" s="11">
        <v>44700</v>
      </c>
      <c r="H108" t="str">
        <f>IFERROR(IF(キャラマスタ[[#This Row],[生存ステータス]]=1,1539-キャラマスタ[[#This Row],[初登場時の年齢]]+キャラマスタ[[#This Row],[死亡年]],1539-キャラマスタ[[#This Row],[初登場時の年齢]]),"")</f>
        <v/>
      </c>
      <c r="L108" t="s">
        <v>1757</v>
      </c>
      <c r="R108" t="s">
        <v>446</v>
      </c>
      <c r="S108" t="s">
        <v>898</v>
      </c>
      <c r="T108" t="s">
        <v>1758</v>
      </c>
      <c r="V108" t="s">
        <v>274</v>
      </c>
      <c r="W108" t="s">
        <v>1825</v>
      </c>
      <c r="X108" t="s">
        <v>375</v>
      </c>
      <c r="Z108" t="str">
        <f>IF(キャラマスタ[[#This Row],[生存ステータス]]=1,1539+キャラマスタ[[#This Row],[死亡年]],"")</f>
        <v/>
      </c>
      <c r="AA108">
        <v>0</v>
      </c>
      <c r="AB108" t="s">
        <v>1826</v>
      </c>
      <c r="AC108">
        <v>0</v>
      </c>
      <c r="AP108" t="s">
        <v>1759</v>
      </c>
    </row>
    <row r="109" spans="1:42">
      <c r="A109" t="s">
        <v>1799</v>
      </c>
      <c r="B109" t="s">
        <v>1760</v>
      </c>
      <c r="C109" t="s">
        <v>534</v>
      </c>
      <c r="D109" t="str">
        <f>IFERROR(キャラマスタ[[#This Row],[初登場時の年齢]]+2,"")</f>
        <v/>
      </c>
      <c r="E109">
        <v>11</v>
      </c>
      <c r="F109">
        <v>96</v>
      </c>
      <c r="G109" s="11">
        <v>44904</v>
      </c>
      <c r="H109" t="str">
        <f>IFERROR(IF(キャラマスタ[[#This Row],[生存ステータス]]=1,1539-キャラマスタ[[#This Row],[初登場時の年齢]]+キャラマスタ[[#This Row],[死亡年]],1539-キャラマスタ[[#This Row],[初登場時の年齢]]),"")</f>
        <v/>
      </c>
      <c r="L109" t="s">
        <v>119</v>
      </c>
      <c r="M109" t="s">
        <v>1809</v>
      </c>
      <c r="N109" t="s">
        <v>21</v>
      </c>
      <c r="S109" t="s">
        <v>1761</v>
      </c>
      <c r="T109" t="s">
        <v>1762</v>
      </c>
      <c r="V109" t="s">
        <v>274</v>
      </c>
      <c r="W109" t="s">
        <v>277</v>
      </c>
      <c r="X109" t="s">
        <v>372</v>
      </c>
      <c r="Z109" t="str">
        <f>IF(キャラマスタ[[#This Row],[生存ステータス]]=1,1539+キャラマスタ[[#This Row],[死亡年]],"")</f>
        <v/>
      </c>
      <c r="AA109" t="s">
        <v>1821</v>
      </c>
      <c r="AB109" t="s">
        <v>280</v>
      </c>
      <c r="AC109">
        <v>0</v>
      </c>
      <c r="AP109" t="s">
        <v>1763</v>
      </c>
    </row>
    <row r="110" spans="1:42">
      <c r="A110" t="s">
        <v>1800</v>
      </c>
      <c r="B110" t="s">
        <v>1764</v>
      </c>
      <c r="C110" t="s">
        <v>534</v>
      </c>
      <c r="D110" t="str">
        <f>IFERROR(キャラマスタ[[#This Row],[初登場時の年齢]]+2,"")</f>
        <v/>
      </c>
      <c r="E110">
        <v>11</v>
      </c>
      <c r="F110">
        <v>96</v>
      </c>
      <c r="G110" s="11">
        <v>44708</v>
      </c>
      <c r="H110" t="str">
        <f>IFERROR(IF(キャラマスタ[[#This Row],[生存ステータス]]=1,1539-キャラマスタ[[#This Row],[初登場時の年齢]]+キャラマスタ[[#This Row],[死亡年]],1539-キャラマスタ[[#This Row],[初登場時の年齢]]),"")</f>
        <v/>
      </c>
      <c r="L110" t="s">
        <v>18</v>
      </c>
      <c r="S110" t="s">
        <v>1765</v>
      </c>
      <c r="T110" t="s">
        <v>1762</v>
      </c>
      <c r="V110" t="s">
        <v>274</v>
      </c>
      <c r="W110" t="s">
        <v>277</v>
      </c>
      <c r="X110" t="s">
        <v>372</v>
      </c>
      <c r="Z110" t="str">
        <f>IF(キャラマスタ[[#This Row],[生存ステータス]]=1,1539+キャラマスタ[[#This Row],[死亡年]],"")</f>
        <v/>
      </c>
      <c r="AA110" t="s">
        <v>1821</v>
      </c>
      <c r="AB110" t="s">
        <v>280</v>
      </c>
      <c r="AC110">
        <v>0</v>
      </c>
      <c r="AP110" t="s">
        <v>1766</v>
      </c>
    </row>
    <row r="111" spans="1:42">
      <c r="A111" t="s">
        <v>1801</v>
      </c>
      <c r="B111" t="s">
        <v>1767</v>
      </c>
      <c r="C111" t="s">
        <v>534</v>
      </c>
      <c r="D111" t="str">
        <f>IFERROR(キャラマスタ[[#This Row],[初登場時の年齢]]+2,"")</f>
        <v/>
      </c>
      <c r="E111">
        <v>11</v>
      </c>
      <c r="F111">
        <v>97</v>
      </c>
      <c r="G111" s="11">
        <v>44827</v>
      </c>
      <c r="H111" t="str">
        <f>IFERROR(IF(キャラマスタ[[#This Row],[生存ステータス]]=1,1539-キャラマスタ[[#This Row],[初登場時の年齢]]+キャラマスタ[[#This Row],[死亡年]],1539-キャラマスタ[[#This Row],[初登場時の年齢]]),"")</f>
        <v/>
      </c>
      <c r="L111" t="s">
        <v>18</v>
      </c>
      <c r="M111" t="s">
        <v>1809</v>
      </c>
      <c r="N111" t="s">
        <v>1768</v>
      </c>
      <c r="S111" t="s">
        <v>1769</v>
      </c>
      <c r="T111" t="s">
        <v>1770</v>
      </c>
      <c r="V111" t="s">
        <v>274</v>
      </c>
      <c r="W111" t="s">
        <v>277</v>
      </c>
      <c r="X111" t="s">
        <v>373</v>
      </c>
      <c r="Z111" t="str">
        <f>IF(キャラマスタ[[#This Row],[生存ステータス]]=1,1539+キャラマスタ[[#This Row],[死亡年]],"")</f>
        <v/>
      </c>
      <c r="AA111" t="s">
        <v>1821</v>
      </c>
      <c r="AB111" t="s">
        <v>280</v>
      </c>
      <c r="AC111">
        <v>0</v>
      </c>
    </row>
    <row r="112" spans="1:42">
      <c r="A112" t="s">
        <v>1802</v>
      </c>
      <c r="B112" t="s">
        <v>1771</v>
      </c>
      <c r="C112">
        <v>38</v>
      </c>
      <c r="D112">
        <f>IFERROR(キャラマスタ[[#This Row],[初登場時の年齢]]+2,"")</f>
        <v>40</v>
      </c>
      <c r="E112">
        <v>11</v>
      </c>
      <c r="F112">
        <v>97</v>
      </c>
      <c r="G112" s="11">
        <v>43861</v>
      </c>
      <c r="H112">
        <f>IFERROR(IF(キャラマスタ[[#This Row],[生存ステータス]]=1,1539-キャラマスタ[[#This Row],[初登場時の年齢]]+キャラマスタ[[#This Row],[死亡年]],1539-キャラマスタ[[#This Row],[初登場時の年齢]]),"")</f>
        <v>1501</v>
      </c>
      <c r="I112">
        <v>157</v>
      </c>
      <c r="L112" t="s">
        <v>18</v>
      </c>
      <c r="M112" t="s">
        <v>1809</v>
      </c>
      <c r="N112" t="s">
        <v>1768</v>
      </c>
      <c r="S112" t="s">
        <v>1772</v>
      </c>
      <c r="T112" t="s">
        <v>57</v>
      </c>
      <c r="V112" t="s">
        <v>274</v>
      </c>
      <c r="W112" t="s">
        <v>277</v>
      </c>
      <c r="X112" t="s">
        <v>373</v>
      </c>
      <c r="Z112" t="str">
        <f>IF(キャラマスタ[[#This Row],[生存ステータス]]=1,1539+キャラマスタ[[#This Row],[死亡年]],"")</f>
        <v/>
      </c>
      <c r="AA112" t="s">
        <v>1821</v>
      </c>
      <c r="AB112" t="s">
        <v>280</v>
      </c>
      <c r="AC112">
        <v>0</v>
      </c>
      <c r="AG112" t="s">
        <v>475</v>
      </c>
      <c r="AH112" t="s">
        <v>1773</v>
      </c>
    </row>
    <row r="113" spans="1:42">
      <c r="A113" t="s">
        <v>1803</v>
      </c>
      <c r="B113" t="s">
        <v>1774</v>
      </c>
      <c r="C113" t="s">
        <v>534</v>
      </c>
      <c r="D113" t="str">
        <f>IFERROR(キャラマスタ[[#This Row],[初登場時の年齢]]+2,"")</f>
        <v/>
      </c>
      <c r="E113">
        <v>11</v>
      </c>
      <c r="F113">
        <v>97</v>
      </c>
      <c r="G113" s="11">
        <v>44896</v>
      </c>
      <c r="H113" t="str">
        <f>IFERROR(IF(キャラマスタ[[#This Row],[生存ステータス]]=1,1539-キャラマスタ[[#This Row],[初登場時の年齢]]+キャラマスタ[[#This Row],[死亡年]],1539-キャラマスタ[[#This Row],[初登場時の年齢]]),"")</f>
        <v/>
      </c>
      <c r="L113" t="s">
        <v>18</v>
      </c>
      <c r="M113" t="s">
        <v>1809</v>
      </c>
      <c r="N113" t="s">
        <v>1768</v>
      </c>
      <c r="V113" t="s">
        <v>276</v>
      </c>
      <c r="W113" t="s">
        <v>277</v>
      </c>
      <c r="X113" t="s">
        <v>373</v>
      </c>
      <c r="Z113" t="str">
        <f>IF(キャラマスタ[[#This Row],[生存ステータス]]=1,1539+キャラマスタ[[#This Row],[死亡年]],"")</f>
        <v/>
      </c>
      <c r="AA113" s="4" t="s">
        <v>1821</v>
      </c>
      <c r="AB113" t="s">
        <v>280</v>
      </c>
      <c r="AC113">
        <v>0</v>
      </c>
      <c r="AP113" t="s">
        <v>1775</v>
      </c>
    </row>
    <row r="114" spans="1:42">
      <c r="A114" t="s">
        <v>1804</v>
      </c>
      <c r="B114" t="s">
        <v>1776</v>
      </c>
      <c r="C114" t="s">
        <v>534</v>
      </c>
      <c r="D114" t="str">
        <f>IFERROR(キャラマスタ[[#This Row],[初登場時の年齢]]+2,"")</f>
        <v/>
      </c>
      <c r="E114">
        <v>11</v>
      </c>
      <c r="F114">
        <v>98</v>
      </c>
      <c r="G114" s="11">
        <v>44642</v>
      </c>
      <c r="H114" t="str">
        <f>IFERROR(IF(キャラマスタ[[#This Row],[生存ステータス]]=1,1539-キャラマスタ[[#This Row],[初登場時の年齢]]+キャラマスタ[[#This Row],[死亡年]],1539-キャラマスタ[[#This Row],[初登場時の年齢]]),"")</f>
        <v/>
      </c>
      <c r="L114" t="s">
        <v>18</v>
      </c>
      <c r="M114" t="s">
        <v>1809</v>
      </c>
      <c r="N114" t="s">
        <v>1768</v>
      </c>
      <c r="S114" t="s">
        <v>1777</v>
      </c>
      <c r="V114" t="s">
        <v>274</v>
      </c>
      <c r="W114" t="s">
        <v>1822</v>
      </c>
      <c r="X114" t="s">
        <v>373</v>
      </c>
      <c r="Z114" t="str">
        <f>IF(キャラマスタ[[#This Row],[生存ステータス]]=1,1539+キャラマスタ[[#This Row],[死亡年]],"")</f>
        <v/>
      </c>
      <c r="AA114" t="s">
        <v>1821</v>
      </c>
      <c r="AB114" t="s">
        <v>280</v>
      </c>
      <c r="AC114">
        <v>0</v>
      </c>
      <c r="AP114" t="s">
        <v>1778</v>
      </c>
    </row>
    <row r="115" spans="1:42">
      <c r="A115" t="s">
        <v>1805</v>
      </c>
      <c r="B115" t="s">
        <v>1779</v>
      </c>
      <c r="C115" t="s">
        <v>534</v>
      </c>
      <c r="D115" t="str">
        <f>IFERROR(キャラマスタ[[#This Row],[初登場時の年齢]]+2,"")</f>
        <v/>
      </c>
      <c r="E115">
        <v>11</v>
      </c>
      <c r="F115">
        <v>98</v>
      </c>
      <c r="G115" s="11">
        <v>44921</v>
      </c>
      <c r="H115" t="str">
        <f>IFERROR(IF(キャラマスタ[[#This Row],[生存ステータス]]=1,1539-キャラマスタ[[#This Row],[初登場時の年齢]]+キャラマスタ[[#This Row],[死亡年]],1539-キャラマスタ[[#This Row],[初登場時の年齢]]),"")</f>
        <v/>
      </c>
      <c r="L115" t="s">
        <v>18</v>
      </c>
      <c r="R115" t="s">
        <v>446</v>
      </c>
      <c r="S115" t="s">
        <v>898</v>
      </c>
      <c r="T115" t="s">
        <v>1780</v>
      </c>
      <c r="V115" t="s">
        <v>274</v>
      </c>
      <c r="W115" t="s">
        <v>277</v>
      </c>
      <c r="X115" t="s">
        <v>375</v>
      </c>
      <c r="Z115" t="str">
        <f>IF(キャラマスタ[[#This Row],[生存ステータス]]=1,1539+キャラマスタ[[#This Row],[死亡年]],"")</f>
        <v/>
      </c>
      <c r="AA115" t="s">
        <v>1821</v>
      </c>
      <c r="AB115" t="s">
        <v>280</v>
      </c>
      <c r="AC115">
        <v>0</v>
      </c>
    </row>
    <row r="116" spans="1:42">
      <c r="A116" t="s">
        <v>1806</v>
      </c>
      <c r="B116" t="s">
        <v>1781</v>
      </c>
      <c r="C116">
        <v>34</v>
      </c>
      <c r="D116">
        <f>IFERROR(キャラマスタ[[#This Row],[初登場時の年齢]]+2,"")</f>
        <v>36</v>
      </c>
      <c r="E116">
        <v>11</v>
      </c>
      <c r="F116">
        <v>98</v>
      </c>
      <c r="G116" s="11">
        <v>43904</v>
      </c>
      <c r="H116">
        <f>IFERROR(IF(キャラマスタ[[#This Row],[生存ステータス]]=1,1539-キャラマスタ[[#This Row],[初登場時の年齢]]+キャラマスタ[[#This Row],[死亡年]],1539-キャラマスタ[[#This Row],[初登場時の年齢]]),"")</f>
        <v>1505</v>
      </c>
      <c r="I116">
        <v>209</v>
      </c>
      <c r="L116" t="s">
        <v>527</v>
      </c>
      <c r="O116" t="s">
        <v>1782</v>
      </c>
      <c r="P116" t="s">
        <v>1816</v>
      </c>
      <c r="Q116" t="s">
        <v>1783</v>
      </c>
      <c r="R116" t="s">
        <v>446</v>
      </c>
      <c r="S116" t="s">
        <v>898</v>
      </c>
      <c r="T116" t="s">
        <v>83</v>
      </c>
      <c r="V116" t="s">
        <v>274</v>
      </c>
      <c r="W116" t="s">
        <v>277</v>
      </c>
      <c r="X116" t="s">
        <v>375</v>
      </c>
      <c r="Z116" t="str">
        <f>IF(キャラマスタ[[#This Row],[生存ステータス]]=1,1539+キャラマスタ[[#This Row],[死亡年]],"")</f>
        <v/>
      </c>
      <c r="AA116">
        <v>0</v>
      </c>
      <c r="AB116" t="s">
        <v>1826</v>
      </c>
      <c r="AC116">
        <v>0</v>
      </c>
      <c r="AD116">
        <v>11.2</v>
      </c>
      <c r="AE116">
        <v>9999</v>
      </c>
      <c r="AF116" t="s">
        <v>1784</v>
      </c>
      <c r="AG116" t="s">
        <v>29</v>
      </c>
      <c r="AH116" t="s">
        <v>1785</v>
      </c>
      <c r="AJ116" t="s">
        <v>1786</v>
      </c>
    </row>
    <row r="117" spans="1:42">
      <c r="A117" t="s">
        <v>1807</v>
      </c>
      <c r="B117" t="s">
        <v>1787</v>
      </c>
      <c r="C117" t="s">
        <v>534</v>
      </c>
      <c r="D117" t="str">
        <f>IFERROR(キャラマスタ[[#This Row],[初登場時の年齢]]+2,"")</f>
        <v/>
      </c>
      <c r="E117">
        <v>11</v>
      </c>
      <c r="F117">
        <v>98</v>
      </c>
      <c r="G117" s="11">
        <v>44761</v>
      </c>
      <c r="H117" t="str">
        <f>IFERROR(IF(キャラマスタ[[#This Row],[生存ステータス]]=1,1539-キャラマスタ[[#This Row],[初登場時の年齢]]+キャラマスタ[[#This Row],[死亡年]],1539-キャラマスタ[[#This Row],[初登場時の年齢]]),"")</f>
        <v/>
      </c>
      <c r="L117" t="s">
        <v>18</v>
      </c>
      <c r="M117" t="s">
        <v>1809</v>
      </c>
      <c r="N117" t="s">
        <v>1768</v>
      </c>
      <c r="S117" t="s">
        <v>1788</v>
      </c>
      <c r="T117" t="s">
        <v>1789</v>
      </c>
      <c r="V117" t="s">
        <v>276</v>
      </c>
      <c r="W117" t="s">
        <v>277</v>
      </c>
      <c r="X117" t="s">
        <v>373</v>
      </c>
      <c r="Z117" t="str">
        <f>IF(キャラマスタ[[#This Row],[生存ステータス]]=1,1539+キャラマスタ[[#This Row],[死亡年]],"")</f>
        <v/>
      </c>
      <c r="AA117" t="s">
        <v>1821</v>
      </c>
      <c r="AB117" t="s">
        <v>1827</v>
      </c>
      <c r="AC117">
        <v>0</v>
      </c>
      <c r="AP117" t="s">
        <v>1790</v>
      </c>
    </row>
    <row r="118" spans="1:42">
      <c r="A118" t="s">
        <v>1808</v>
      </c>
      <c r="B118" t="s">
        <v>1791</v>
      </c>
      <c r="C118">
        <v>21</v>
      </c>
      <c r="D118">
        <f>IFERROR(キャラマスタ[[#This Row],[初登場時の年齢]]+2,"")</f>
        <v>23</v>
      </c>
      <c r="E118">
        <v>11</v>
      </c>
      <c r="F118">
        <v>98</v>
      </c>
      <c r="G118" s="11">
        <v>44110</v>
      </c>
      <c r="H118">
        <f>IFERROR(IF(キャラマスタ[[#This Row],[生存ステータス]]=1,1539-キャラマスタ[[#This Row],[初登場時の年齢]]+キャラマスタ[[#This Row],[死亡年]],1539-キャラマスタ[[#This Row],[初登場時の年齢]]),"")</f>
        <v>1518</v>
      </c>
      <c r="I118">
        <v>170</v>
      </c>
      <c r="L118" t="s">
        <v>18</v>
      </c>
      <c r="R118" t="s">
        <v>446</v>
      </c>
      <c r="S118" t="s">
        <v>898</v>
      </c>
      <c r="T118" t="s">
        <v>1820</v>
      </c>
      <c r="V118" t="s">
        <v>276</v>
      </c>
      <c r="W118" t="s">
        <v>277</v>
      </c>
      <c r="X118" t="s">
        <v>375</v>
      </c>
      <c r="Z118" t="str">
        <f>IF(キャラマスタ[[#This Row],[生存ステータス]]=1,1539+キャラマスタ[[#This Row],[死亡年]],"")</f>
        <v/>
      </c>
      <c r="AA118">
        <v>0</v>
      </c>
      <c r="AB118" t="s">
        <v>1826</v>
      </c>
      <c r="AC118">
        <v>0</v>
      </c>
      <c r="AD118">
        <v>11.2</v>
      </c>
      <c r="AE118">
        <v>9999</v>
      </c>
      <c r="AF118" t="s">
        <v>100</v>
      </c>
      <c r="AG118" t="s">
        <v>686</v>
      </c>
      <c r="AH118" t="s">
        <v>1792</v>
      </c>
      <c r="AJ118" t="s">
        <v>1793</v>
      </c>
    </row>
    <row r="119" spans="1:42">
      <c r="A119" t="s">
        <v>1907</v>
      </c>
      <c r="B119" t="s">
        <v>1921</v>
      </c>
      <c r="C119">
        <v>53</v>
      </c>
      <c r="D119">
        <f>IFERROR(キャラマスタ[[#This Row],[初登場時の年齢]]+2,"")</f>
        <v>55</v>
      </c>
      <c r="E119">
        <v>12</v>
      </c>
      <c r="F119">
        <v>100</v>
      </c>
      <c r="G119" s="11">
        <v>44109</v>
      </c>
      <c r="H119">
        <f>IFERROR(IF(キャラマスタ[[#This Row],[生存ステータス]]=1,1539-キャラマスタ[[#This Row],[初登場時の年齢]]+キャラマスタ[[#This Row],[死亡年]],1539-キャラマスタ[[#This Row],[初登場時の年齢]]),"")</f>
        <v>1486</v>
      </c>
      <c r="I119">
        <v>256</v>
      </c>
      <c r="J119" t="s">
        <v>955</v>
      </c>
      <c r="K119" t="s">
        <v>1922</v>
      </c>
      <c r="L119" t="s">
        <v>119</v>
      </c>
      <c r="N119" t="s">
        <v>1894</v>
      </c>
      <c r="O119" t="s">
        <v>1969</v>
      </c>
      <c r="R119" t="s">
        <v>1293</v>
      </c>
      <c r="S119" t="s">
        <v>1923</v>
      </c>
      <c r="T119" t="s">
        <v>1924</v>
      </c>
      <c r="V119" t="s">
        <v>274</v>
      </c>
      <c r="W119" t="s">
        <v>277</v>
      </c>
      <c r="X119" t="s">
        <v>1993</v>
      </c>
      <c r="Z119" t="str">
        <f>IF(キャラマスタ[[#This Row],[生存ステータス]]=1,1539+キャラマスタ[[#This Row],[死亡年]],"")</f>
        <v/>
      </c>
      <c r="AA119">
        <v>0</v>
      </c>
      <c r="AB119" t="s">
        <v>259</v>
      </c>
      <c r="AC119">
        <v>1</v>
      </c>
      <c r="AD119">
        <v>11.2</v>
      </c>
      <c r="AE119">
        <v>9999</v>
      </c>
      <c r="AG119" t="s">
        <v>699</v>
      </c>
      <c r="AH119" t="s">
        <v>1925</v>
      </c>
      <c r="AP119" t="s">
        <v>23</v>
      </c>
    </row>
    <row r="120" spans="1:42">
      <c r="A120" t="s">
        <v>1908</v>
      </c>
      <c r="B120" t="s">
        <v>1926</v>
      </c>
      <c r="C120">
        <v>51</v>
      </c>
      <c r="D120">
        <f>IFERROR(キャラマスタ[[#This Row],[初登場時の年齢]]+2,"")</f>
        <v>53</v>
      </c>
      <c r="E120">
        <v>12</v>
      </c>
      <c r="F120">
        <v>102</v>
      </c>
      <c r="G120" s="11">
        <v>44090</v>
      </c>
      <c r="H120">
        <f>IFERROR(IF(キャラマスタ[[#This Row],[生存ステータス]]=1,1539-キャラマスタ[[#This Row],[初登場時の年齢]]+キャラマスタ[[#This Row],[死亡年]],1539-キャラマスタ[[#This Row],[初登場時の年齢]]),"")</f>
        <v>1488</v>
      </c>
      <c r="I120">
        <v>40000</v>
      </c>
      <c r="L120" t="s">
        <v>28</v>
      </c>
      <c r="S120" t="s">
        <v>1927</v>
      </c>
      <c r="T120" t="s">
        <v>1928</v>
      </c>
      <c r="V120" t="s">
        <v>2014</v>
      </c>
      <c r="W120" t="s">
        <v>2015</v>
      </c>
      <c r="X120" t="s">
        <v>2014</v>
      </c>
      <c r="Z120" t="str">
        <f>IF(キャラマスタ[[#This Row],[生存ステータス]]=1,1539+キャラマスタ[[#This Row],[死亡年]],"")</f>
        <v/>
      </c>
      <c r="AA120">
        <v>0</v>
      </c>
      <c r="AB120" t="s">
        <v>259</v>
      </c>
      <c r="AC120">
        <v>0</v>
      </c>
      <c r="AG120" t="s">
        <v>699</v>
      </c>
      <c r="AH120" t="s">
        <v>1929</v>
      </c>
      <c r="AP120" t="s">
        <v>1930</v>
      </c>
    </row>
    <row r="121" spans="1:42">
      <c r="A121" t="s">
        <v>1909</v>
      </c>
      <c r="B121" t="s">
        <v>1931</v>
      </c>
      <c r="C121">
        <v>71</v>
      </c>
      <c r="D121">
        <f>IFERROR(キャラマスタ[[#This Row],[初登場時の年齢]]+2,"")</f>
        <v>73</v>
      </c>
      <c r="E121">
        <v>12</v>
      </c>
      <c r="F121">
        <v>103</v>
      </c>
      <c r="G121" s="11">
        <v>43986</v>
      </c>
      <c r="H121">
        <f>IFERROR(IF(キャラマスタ[[#This Row],[生存ステータス]]=1,1539-キャラマスタ[[#This Row],[初登場時の年齢]]+キャラマスタ[[#This Row],[死亡年]],1539-キャラマスタ[[#This Row],[初登場時の年齢]]),"")</f>
        <v>1468</v>
      </c>
      <c r="I121">
        <v>203</v>
      </c>
      <c r="J121" t="s">
        <v>582</v>
      </c>
      <c r="K121" t="s">
        <v>27</v>
      </c>
      <c r="L121" t="s">
        <v>527</v>
      </c>
      <c r="S121" t="s">
        <v>1932</v>
      </c>
      <c r="T121" t="s">
        <v>1933</v>
      </c>
      <c r="V121" t="s">
        <v>274</v>
      </c>
      <c r="W121" t="s">
        <v>277</v>
      </c>
      <c r="X121" t="s">
        <v>373</v>
      </c>
      <c r="Z121" t="str">
        <f>IF(キャラマスタ[[#This Row],[生存ステータス]]=1,1539+キャラマスタ[[#This Row],[死亡年]],"")</f>
        <v/>
      </c>
      <c r="AA121">
        <v>0</v>
      </c>
      <c r="AB121" t="s">
        <v>259</v>
      </c>
      <c r="AC121">
        <v>0</v>
      </c>
      <c r="AD121">
        <v>-18250</v>
      </c>
      <c r="AE121">
        <v>9999</v>
      </c>
      <c r="AG121" t="s">
        <v>1934</v>
      </c>
      <c r="AH121" t="s">
        <v>1935</v>
      </c>
    </row>
    <row r="122" spans="1:42">
      <c r="A122" t="s">
        <v>1910</v>
      </c>
      <c r="B122" t="s">
        <v>1995</v>
      </c>
      <c r="C122">
        <v>16</v>
      </c>
      <c r="D122">
        <f>IFERROR(キャラマスタ[[#This Row],[初登場時の年齢]]+2,"")</f>
        <v>18</v>
      </c>
      <c r="E122">
        <v>12</v>
      </c>
      <c r="F122">
        <v>103</v>
      </c>
      <c r="G122" s="11">
        <v>43863</v>
      </c>
      <c r="H122">
        <f>IFERROR(IF(キャラマスタ[[#This Row],[生存ステータス]]=1,1539-キャラマスタ[[#This Row],[初登場時の年齢]]+キャラマスタ[[#This Row],[死亡年]],1539-キャラマスタ[[#This Row],[初登場時の年齢]]),"")</f>
        <v>1523</v>
      </c>
      <c r="I122">
        <v>169</v>
      </c>
      <c r="L122" t="s">
        <v>527</v>
      </c>
      <c r="N122" t="s">
        <v>1936</v>
      </c>
      <c r="R122" t="s">
        <v>2156</v>
      </c>
      <c r="S122" t="s">
        <v>1945</v>
      </c>
      <c r="T122" t="s">
        <v>1946</v>
      </c>
      <c r="V122" t="s">
        <v>276</v>
      </c>
      <c r="W122" t="s">
        <v>277</v>
      </c>
      <c r="X122" t="s">
        <v>1994</v>
      </c>
      <c r="Z122" t="str">
        <f>IF(キャラマスタ[[#This Row],[生存ステータス]]=1,1539+キャラマスタ[[#This Row],[死亡年]],"")</f>
        <v/>
      </c>
      <c r="AA122">
        <v>0</v>
      </c>
      <c r="AB122" t="s">
        <v>259</v>
      </c>
      <c r="AC122">
        <v>0</v>
      </c>
      <c r="AD122">
        <v>11.5</v>
      </c>
      <c r="AE122">
        <v>9999</v>
      </c>
      <c r="AG122" t="s">
        <v>699</v>
      </c>
      <c r="AH122" t="s">
        <v>1937</v>
      </c>
      <c r="AI122" t="s">
        <v>1938</v>
      </c>
      <c r="AK122" t="s">
        <v>1939</v>
      </c>
      <c r="AP122" t="s">
        <v>1940</v>
      </c>
    </row>
    <row r="123" spans="1:42">
      <c r="A123" t="s">
        <v>1911</v>
      </c>
      <c r="B123" t="s">
        <v>1941</v>
      </c>
      <c r="C123" t="s">
        <v>534</v>
      </c>
      <c r="D123" t="str">
        <f>IFERROR(キャラマスタ[[#This Row],[初登場時の年齢]]+2,"")</f>
        <v/>
      </c>
      <c r="E123">
        <v>12</v>
      </c>
      <c r="F123">
        <v>103</v>
      </c>
      <c r="G123" s="11">
        <v>44831</v>
      </c>
      <c r="H123" t="str">
        <f>IFERROR(IF(キャラマスタ[[#This Row],[生存ステータス]]=1,1539-キャラマスタ[[#This Row],[初登場時の年齢]]+キャラマスタ[[#This Row],[死亡年]],1539-キャラマスタ[[#This Row],[初登場時の年齢]]),"")</f>
        <v/>
      </c>
      <c r="L123" t="s">
        <v>527</v>
      </c>
      <c r="R123" t="s">
        <v>2156</v>
      </c>
      <c r="S123" t="s">
        <v>1945</v>
      </c>
      <c r="T123" t="s">
        <v>1946</v>
      </c>
      <c r="V123" t="s">
        <v>274</v>
      </c>
      <c r="W123" t="s">
        <v>277</v>
      </c>
      <c r="X123" t="s">
        <v>1994</v>
      </c>
      <c r="Z123" t="str">
        <f>IF(キャラマスタ[[#This Row],[生存ステータス]]=1,1539+キャラマスタ[[#This Row],[死亡年]],"")</f>
        <v/>
      </c>
      <c r="AA123">
        <v>0</v>
      </c>
      <c r="AB123" t="s">
        <v>259</v>
      </c>
      <c r="AC123">
        <v>0</v>
      </c>
      <c r="AP123" t="s">
        <v>1942</v>
      </c>
    </row>
    <row r="124" spans="1:42">
      <c r="A124" t="s">
        <v>1912</v>
      </c>
      <c r="B124" t="s">
        <v>1943</v>
      </c>
      <c r="C124" t="s">
        <v>534</v>
      </c>
      <c r="D124" t="str">
        <f>IFERROR(キャラマスタ[[#This Row],[初登場時の年齢]]+2,"")</f>
        <v/>
      </c>
      <c r="E124">
        <v>12</v>
      </c>
      <c r="F124">
        <v>105</v>
      </c>
      <c r="G124" s="11">
        <v>44698</v>
      </c>
      <c r="H124" t="str">
        <f>IFERROR(IF(キャラマスタ[[#This Row],[生存ステータス]]=1,1539-キャラマスタ[[#This Row],[初登場時の年齢]]+キャラマスタ[[#This Row],[死亡年]],1539-キャラマスタ[[#This Row],[初登場時の年齢]]),"")</f>
        <v/>
      </c>
      <c r="L124" t="s">
        <v>527</v>
      </c>
      <c r="O124" t="s">
        <v>1944</v>
      </c>
      <c r="R124" t="s">
        <v>2156</v>
      </c>
      <c r="S124" t="s">
        <v>1945</v>
      </c>
      <c r="T124" t="s">
        <v>1946</v>
      </c>
      <c r="V124" t="s">
        <v>274</v>
      </c>
      <c r="W124" t="s">
        <v>2016</v>
      </c>
      <c r="X124" t="s">
        <v>1994</v>
      </c>
      <c r="Z124" t="str">
        <f>IF(キャラマスタ[[#This Row],[生存ステータス]]=1,1539+キャラマスタ[[#This Row],[死亡年]],"")</f>
        <v/>
      </c>
      <c r="AA124">
        <v>0</v>
      </c>
      <c r="AB124" t="s">
        <v>259</v>
      </c>
      <c r="AC124">
        <v>0</v>
      </c>
      <c r="AP124" t="s">
        <v>1947</v>
      </c>
    </row>
    <row r="125" spans="1:42">
      <c r="A125" t="s">
        <v>1913</v>
      </c>
      <c r="B125" t="s">
        <v>1948</v>
      </c>
      <c r="C125" t="s">
        <v>534</v>
      </c>
      <c r="D125" t="str">
        <f>IFERROR(キャラマスタ[[#This Row],[初登場時の年齢]]+2,"")</f>
        <v/>
      </c>
      <c r="E125">
        <v>12</v>
      </c>
      <c r="F125">
        <v>105</v>
      </c>
      <c r="G125" s="11">
        <v>44582</v>
      </c>
      <c r="H125" t="str">
        <f>IFERROR(IF(キャラマスタ[[#This Row],[生存ステータス]]=1,1539-キャラマスタ[[#This Row],[初登場時の年齢]]+キャラマスタ[[#This Row],[死亡年]],1539-キャラマスタ[[#This Row],[初登場時の年齢]]),"")</f>
        <v/>
      </c>
      <c r="L125" t="s">
        <v>527</v>
      </c>
      <c r="O125" t="s">
        <v>1944</v>
      </c>
      <c r="R125" t="s">
        <v>2156</v>
      </c>
      <c r="S125" t="s">
        <v>1945</v>
      </c>
      <c r="T125" t="s">
        <v>1946</v>
      </c>
      <c r="V125" t="s">
        <v>276</v>
      </c>
      <c r="W125" t="s">
        <v>2017</v>
      </c>
      <c r="X125" t="s">
        <v>1994</v>
      </c>
      <c r="Z125" t="str">
        <f>IF(キャラマスタ[[#This Row],[生存ステータス]]=1,1539+キャラマスタ[[#This Row],[死亡年]],"")</f>
        <v/>
      </c>
      <c r="AA125">
        <v>0</v>
      </c>
      <c r="AB125" t="s">
        <v>259</v>
      </c>
      <c r="AC125">
        <v>0</v>
      </c>
      <c r="AP125" t="s">
        <v>1949</v>
      </c>
    </row>
    <row r="126" spans="1:42">
      <c r="A126" t="s">
        <v>1914</v>
      </c>
      <c r="B126" t="s">
        <v>1950</v>
      </c>
      <c r="C126" t="s">
        <v>534</v>
      </c>
      <c r="D126" t="str">
        <f>IFERROR(キャラマスタ[[#This Row],[初登場時の年齢]]+2,"")</f>
        <v/>
      </c>
      <c r="E126">
        <v>12</v>
      </c>
      <c r="F126">
        <v>106</v>
      </c>
      <c r="G126" s="11">
        <v>44610</v>
      </c>
      <c r="H126" t="str">
        <f>IFERROR(IF(キャラマスタ[[#This Row],[生存ステータス]]=1,1539-キャラマスタ[[#This Row],[初登場時の年齢]]+キャラマスタ[[#This Row],[死亡年]],1539-キャラマスタ[[#This Row],[初登場時の年齢]]),"")</f>
        <v/>
      </c>
      <c r="L126" t="s">
        <v>527</v>
      </c>
      <c r="N126" t="s">
        <v>1951</v>
      </c>
      <c r="V126" t="s">
        <v>962</v>
      </c>
      <c r="W126" t="s">
        <v>1952</v>
      </c>
      <c r="X126" t="s">
        <v>2014</v>
      </c>
      <c r="Z126" t="str">
        <f>IF(キャラマスタ[[#This Row],[生存ステータス]]=1,1539+キャラマスタ[[#This Row],[死亡年]],"")</f>
        <v/>
      </c>
      <c r="AA126" t="s">
        <v>2014</v>
      </c>
      <c r="AB126" t="s">
        <v>962</v>
      </c>
      <c r="AC126">
        <v>0</v>
      </c>
      <c r="AP126" t="s">
        <v>1952</v>
      </c>
    </row>
    <row r="127" spans="1:42">
      <c r="A127" t="s">
        <v>1915</v>
      </c>
      <c r="B127" t="s">
        <v>1953</v>
      </c>
      <c r="C127" t="s">
        <v>534</v>
      </c>
      <c r="D127" t="str">
        <f>IFERROR(キャラマスタ[[#This Row],[初登場時の年齢]]+2,"")</f>
        <v/>
      </c>
      <c r="E127">
        <v>12</v>
      </c>
      <c r="F127">
        <v>106</v>
      </c>
      <c r="G127" s="11">
        <v>44610</v>
      </c>
      <c r="H127" t="str">
        <f>IFERROR(IF(キャラマスタ[[#This Row],[生存ステータス]]=1,1539-キャラマスタ[[#This Row],[初登場時の年齢]]+キャラマスタ[[#This Row],[死亡年]],1539-キャラマスタ[[#This Row],[初登場時の年齢]]),"")</f>
        <v/>
      </c>
      <c r="L127" t="s">
        <v>527</v>
      </c>
      <c r="N127" t="s">
        <v>1954</v>
      </c>
      <c r="V127" t="s">
        <v>962</v>
      </c>
      <c r="W127" t="s">
        <v>1955</v>
      </c>
      <c r="X127" t="s">
        <v>2014</v>
      </c>
      <c r="Z127" t="str">
        <f>IF(キャラマスタ[[#This Row],[生存ステータス]]=1,1539+キャラマスタ[[#This Row],[死亡年]],"")</f>
        <v/>
      </c>
      <c r="AA127" t="s">
        <v>2014</v>
      </c>
      <c r="AB127" t="s">
        <v>962</v>
      </c>
      <c r="AC127">
        <v>0</v>
      </c>
      <c r="AP127" t="s">
        <v>1955</v>
      </c>
    </row>
    <row r="128" spans="1:42">
      <c r="A128" t="s">
        <v>1916</v>
      </c>
      <c r="B128" t="s">
        <v>1956</v>
      </c>
      <c r="C128" t="s">
        <v>534</v>
      </c>
      <c r="D128" t="str">
        <f>IFERROR(キャラマスタ[[#This Row],[初登場時の年齢]]+2,"")</f>
        <v/>
      </c>
      <c r="E128">
        <v>12</v>
      </c>
      <c r="F128">
        <v>106</v>
      </c>
      <c r="G128" s="11">
        <v>44643</v>
      </c>
      <c r="H128" t="str">
        <f>IFERROR(IF(キャラマスタ[[#This Row],[生存ステータス]]=1,1539-キャラマスタ[[#This Row],[初登場時の年齢]]+キャラマスタ[[#This Row],[死亡年]],1539-キャラマスタ[[#This Row],[初登場時の年齢]]),"")</f>
        <v/>
      </c>
      <c r="L128" t="s">
        <v>18</v>
      </c>
      <c r="R128" t="s">
        <v>447</v>
      </c>
      <c r="S128" t="s">
        <v>508</v>
      </c>
      <c r="V128" t="s">
        <v>276</v>
      </c>
      <c r="W128" t="s">
        <v>277</v>
      </c>
      <c r="X128" t="s">
        <v>1994</v>
      </c>
      <c r="Z128" t="str">
        <f>IF(キャラマスタ[[#This Row],[生存ステータス]]=1,1539+キャラマスタ[[#This Row],[死亡年]],"")</f>
        <v/>
      </c>
      <c r="AA128">
        <v>0</v>
      </c>
      <c r="AB128" t="s">
        <v>599</v>
      </c>
      <c r="AC128">
        <v>0</v>
      </c>
    </row>
    <row r="129" spans="1:42">
      <c r="A129" t="s">
        <v>1917</v>
      </c>
      <c r="B129" t="s">
        <v>1957</v>
      </c>
      <c r="C129" t="s">
        <v>534</v>
      </c>
      <c r="D129" t="str">
        <f>IFERROR(キャラマスタ[[#This Row],[初登場時の年齢]]+2,"")</f>
        <v/>
      </c>
      <c r="E129">
        <v>12</v>
      </c>
      <c r="F129">
        <v>106</v>
      </c>
      <c r="G129" s="11">
        <v>44616</v>
      </c>
      <c r="H129" t="str">
        <f>IFERROR(IF(キャラマスタ[[#This Row],[生存ステータス]]=1,1539-キャラマスタ[[#This Row],[初登場時の年齢]]+キャラマスタ[[#This Row],[死亡年]],1539-キャラマスタ[[#This Row],[初登場時の年齢]]),"")</f>
        <v/>
      </c>
      <c r="L129" t="s">
        <v>1958</v>
      </c>
      <c r="R129" t="s">
        <v>447</v>
      </c>
      <c r="S129" t="s">
        <v>1959</v>
      </c>
      <c r="V129" t="s">
        <v>274</v>
      </c>
      <c r="W129" t="s">
        <v>277</v>
      </c>
      <c r="X129" t="s">
        <v>1994</v>
      </c>
      <c r="Z129" t="str">
        <f>IF(キャラマスタ[[#This Row],[生存ステータス]]=1,1539+キャラマスタ[[#This Row],[死亡年]],"")</f>
        <v/>
      </c>
      <c r="AA129">
        <v>0</v>
      </c>
      <c r="AB129" t="s">
        <v>599</v>
      </c>
      <c r="AC129">
        <v>0</v>
      </c>
      <c r="AP129" t="s">
        <v>1960</v>
      </c>
    </row>
    <row r="130" spans="1:42">
      <c r="A130" t="s">
        <v>1918</v>
      </c>
      <c r="B130" t="s">
        <v>1964</v>
      </c>
      <c r="C130">
        <v>48</v>
      </c>
      <c r="D130">
        <f>IFERROR(キャラマスタ[[#This Row],[初登場時の年齢]]+2,"")</f>
        <v>50</v>
      </c>
      <c r="E130">
        <v>12</v>
      </c>
      <c r="F130">
        <v>106</v>
      </c>
      <c r="G130" s="11">
        <v>44171</v>
      </c>
      <c r="H130">
        <f>IFERROR(IF(キャラマスタ[[#This Row],[生存ステータス]]=1,1539-キャラマスタ[[#This Row],[初登場時の年齢]]+キャラマスタ[[#This Row],[死亡年]],1539-キャラマスタ[[#This Row],[初登場時の年齢]]),"")</f>
        <v>1491</v>
      </c>
      <c r="I130">
        <v>218</v>
      </c>
      <c r="L130" t="s">
        <v>527</v>
      </c>
      <c r="N130" t="s">
        <v>1936</v>
      </c>
      <c r="R130" t="s">
        <v>2156</v>
      </c>
      <c r="S130" t="s">
        <v>1945</v>
      </c>
      <c r="T130" t="s">
        <v>1946</v>
      </c>
      <c r="V130" t="s">
        <v>274</v>
      </c>
      <c r="W130" t="s">
        <v>277</v>
      </c>
      <c r="X130" t="s">
        <v>1994</v>
      </c>
      <c r="Z130" t="str">
        <f>IF(キャラマスタ[[#This Row],[生存ステータス]]=1,1539+キャラマスタ[[#This Row],[死亡年]],"")</f>
        <v/>
      </c>
      <c r="AA130">
        <v>0</v>
      </c>
      <c r="AB130" t="s">
        <v>598</v>
      </c>
      <c r="AC130">
        <v>0</v>
      </c>
      <c r="AF130" t="s">
        <v>1961</v>
      </c>
      <c r="AG130" t="s">
        <v>475</v>
      </c>
      <c r="AH130" t="s">
        <v>1962</v>
      </c>
      <c r="AJ130" t="s">
        <v>1963</v>
      </c>
      <c r="AP130" t="s">
        <v>1964</v>
      </c>
    </row>
    <row r="131" spans="1:42">
      <c r="A131" t="s">
        <v>1919</v>
      </c>
      <c r="B131" t="s">
        <v>1965</v>
      </c>
      <c r="C131" t="s">
        <v>534</v>
      </c>
      <c r="D131" t="str">
        <f>IFERROR(キャラマスタ[[#This Row],[初登場時の年齢]]+2,"")</f>
        <v/>
      </c>
      <c r="E131">
        <v>12</v>
      </c>
      <c r="F131">
        <v>107</v>
      </c>
      <c r="G131" s="11">
        <v>44906</v>
      </c>
      <c r="H131" t="str">
        <f>IFERROR(IF(キャラマスタ[[#This Row],[生存ステータス]]=1,1539-キャラマスタ[[#This Row],[初登場時の年齢]]+キャラマスタ[[#This Row],[死亡年]],1539-キャラマスタ[[#This Row],[初登場時の年齢]]),"")</f>
        <v/>
      </c>
      <c r="L131" t="s">
        <v>527</v>
      </c>
      <c r="R131" t="s">
        <v>447</v>
      </c>
      <c r="V131" t="s">
        <v>274</v>
      </c>
      <c r="W131" t="s">
        <v>277</v>
      </c>
      <c r="X131" t="s">
        <v>1994</v>
      </c>
      <c r="Z131" t="str">
        <f>IF(キャラマスタ[[#This Row],[生存ステータス]]=1,1539+キャラマスタ[[#This Row],[死亡年]],"")</f>
        <v/>
      </c>
      <c r="AA131">
        <v>0</v>
      </c>
      <c r="AB131" t="s">
        <v>599</v>
      </c>
      <c r="AC131">
        <v>0</v>
      </c>
      <c r="AP131" t="s">
        <v>1966</v>
      </c>
    </row>
    <row r="132" spans="1:42">
      <c r="A132" t="s">
        <v>1920</v>
      </c>
      <c r="B132" t="s">
        <v>1967</v>
      </c>
      <c r="C132" t="s">
        <v>534</v>
      </c>
      <c r="D132" t="str">
        <f>IFERROR(キャラマスタ[[#This Row],[初登場時の年齢]]+2,"")</f>
        <v/>
      </c>
      <c r="E132">
        <v>12</v>
      </c>
      <c r="F132">
        <v>107</v>
      </c>
      <c r="G132" s="11">
        <v>44585</v>
      </c>
      <c r="H132" t="str">
        <f>IFERROR(IF(キャラマスタ[[#This Row],[生存ステータス]]=1,1539-キャラマスタ[[#This Row],[初登場時の年齢]]+キャラマスタ[[#This Row],[死亡年]],1539-キャラマスタ[[#This Row],[初登場時の年齢]]),"")</f>
        <v/>
      </c>
      <c r="L132" t="s">
        <v>527</v>
      </c>
      <c r="R132" t="s">
        <v>2156</v>
      </c>
      <c r="S132" t="s">
        <v>1945</v>
      </c>
      <c r="T132" t="s">
        <v>1946</v>
      </c>
      <c r="V132" t="s">
        <v>276</v>
      </c>
      <c r="W132" t="s">
        <v>277</v>
      </c>
      <c r="X132" t="s">
        <v>1994</v>
      </c>
      <c r="Z132" t="str">
        <f>IF(キャラマスタ[[#This Row],[生存ステータス]]=1,1539+キャラマスタ[[#This Row],[死亡年]],"")</f>
        <v/>
      </c>
      <c r="AA132">
        <v>0</v>
      </c>
      <c r="AB132" t="s">
        <v>598</v>
      </c>
      <c r="AC132">
        <v>0</v>
      </c>
      <c r="AP132" t="s">
        <v>1968</v>
      </c>
    </row>
    <row r="133" spans="1:42">
      <c r="A133" t="s">
        <v>2071</v>
      </c>
      <c r="B133" t="s">
        <v>2082</v>
      </c>
      <c r="C133">
        <v>14</v>
      </c>
      <c r="D133">
        <f>IFERROR(キャラマスタ[[#This Row],[初登場時の年齢]]+2,"")</f>
        <v>16</v>
      </c>
      <c r="E133">
        <v>13</v>
      </c>
      <c r="F133">
        <v>109</v>
      </c>
      <c r="G133" s="11">
        <v>44143</v>
      </c>
      <c r="H133">
        <f>IFERROR(IF(キャラマスタ[[#This Row],[生存ステータス]]=1,1539-キャラマスタ[[#This Row],[初登場時の年齢]]+キャラマスタ[[#This Row],[死亡年]],1539-キャラマスタ[[#This Row],[初登場時の年齢]]),"")</f>
        <v>1525</v>
      </c>
      <c r="I133">
        <v>150</v>
      </c>
      <c r="L133" t="s">
        <v>527</v>
      </c>
      <c r="N133" t="s">
        <v>1936</v>
      </c>
      <c r="S133" t="s">
        <v>1936</v>
      </c>
      <c r="T133" t="s">
        <v>2083</v>
      </c>
      <c r="V133" t="s">
        <v>962</v>
      </c>
      <c r="W133" t="s">
        <v>2158</v>
      </c>
      <c r="X133" t="s">
        <v>962</v>
      </c>
      <c r="Z133" t="str">
        <f>IF(キャラマスタ[[#This Row],[生存ステータス]]=1,1539+キャラマスタ[[#This Row],[死亡年]],"")</f>
        <v/>
      </c>
      <c r="AA133">
        <v>0</v>
      </c>
      <c r="AB133" t="s">
        <v>2160</v>
      </c>
      <c r="AC133">
        <v>0</v>
      </c>
      <c r="AG133" t="s">
        <v>699</v>
      </c>
      <c r="AH133" t="s">
        <v>2084</v>
      </c>
      <c r="AP133" t="s">
        <v>2085</v>
      </c>
    </row>
    <row r="134" spans="1:42">
      <c r="A134" t="s">
        <v>2072</v>
      </c>
      <c r="B134" t="s">
        <v>2149</v>
      </c>
      <c r="C134">
        <v>24</v>
      </c>
      <c r="D134">
        <f>IFERROR(キャラマスタ[[#This Row],[初登場時の年齢]]+2,"")</f>
        <v>26</v>
      </c>
      <c r="E134">
        <v>13</v>
      </c>
      <c r="F134">
        <v>110</v>
      </c>
      <c r="G134" s="11">
        <v>44038</v>
      </c>
      <c r="H134">
        <f>IFERROR(IF(キャラマスタ[[#This Row],[生存ステータス]]=1,1539-キャラマスタ[[#This Row],[初登場時の年齢]]+キャラマスタ[[#This Row],[死亡年]],1539-キャラマスタ[[#This Row],[初登場時の年齢]]),"")</f>
        <v>1515</v>
      </c>
      <c r="I134">
        <v>197</v>
      </c>
      <c r="J134" t="s">
        <v>2134</v>
      </c>
      <c r="K134" t="s">
        <v>2086</v>
      </c>
      <c r="L134" t="s">
        <v>2087</v>
      </c>
      <c r="O134" t="s">
        <v>2088</v>
      </c>
      <c r="P134" t="s">
        <v>1817</v>
      </c>
      <c r="Q134" t="s">
        <v>2089</v>
      </c>
      <c r="R134" t="s">
        <v>2156</v>
      </c>
      <c r="S134" t="s">
        <v>1945</v>
      </c>
      <c r="T134" t="s">
        <v>1946</v>
      </c>
      <c r="V134" t="s">
        <v>274</v>
      </c>
      <c r="W134" t="s">
        <v>277</v>
      </c>
      <c r="X134" t="s">
        <v>1994</v>
      </c>
      <c r="Z134" t="str">
        <f>IF(キャラマスタ[[#This Row],[生存ステータス]]=1,1539+キャラマスタ[[#This Row],[死亡年]],"")</f>
        <v/>
      </c>
      <c r="AA134">
        <v>0</v>
      </c>
      <c r="AB134" t="s">
        <v>2160</v>
      </c>
      <c r="AC134">
        <v>0</v>
      </c>
      <c r="AF134" t="s">
        <v>2090</v>
      </c>
      <c r="AG134" t="s">
        <v>475</v>
      </c>
      <c r="AH134" t="s">
        <v>2091</v>
      </c>
      <c r="AP134" t="s">
        <v>2092</v>
      </c>
    </row>
    <row r="135" spans="1:42">
      <c r="A135" t="s">
        <v>2073</v>
      </c>
      <c r="B135" t="s">
        <v>2148</v>
      </c>
      <c r="C135">
        <v>22</v>
      </c>
      <c r="D135">
        <f>IFERROR(キャラマスタ[[#This Row],[初登場時の年齢]]+2,"")</f>
        <v>24</v>
      </c>
      <c r="E135">
        <v>13</v>
      </c>
      <c r="F135">
        <v>110</v>
      </c>
      <c r="G135" s="11">
        <v>43875</v>
      </c>
      <c r="H135">
        <f>IFERROR(IF(キャラマスタ[[#This Row],[生存ステータス]]=1,1539-キャラマスタ[[#This Row],[初登場時の年齢]]+キャラマスタ[[#This Row],[死亡年]],1539-キャラマスタ[[#This Row],[初登場時の年齢]]),"")</f>
        <v>1517</v>
      </c>
      <c r="I135">
        <v>177</v>
      </c>
      <c r="J135" t="s">
        <v>2134</v>
      </c>
      <c r="K135" t="s">
        <v>2086</v>
      </c>
      <c r="L135" t="s">
        <v>2093</v>
      </c>
      <c r="O135" t="s">
        <v>2094</v>
      </c>
      <c r="P135" t="s">
        <v>2141</v>
      </c>
      <c r="Q135" t="s">
        <v>2095</v>
      </c>
      <c r="R135" t="s">
        <v>2156</v>
      </c>
      <c r="S135" t="s">
        <v>1945</v>
      </c>
      <c r="T135" t="s">
        <v>1946</v>
      </c>
      <c r="V135" t="s">
        <v>276</v>
      </c>
      <c r="W135" t="s">
        <v>277</v>
      </c>
      <c r="X135" t="s">
        <v>1994</v>
      </c>
      <c r="Z135" t="str">
        <f>IF(キャラマスタ[[#This Row],[生存ステータス]]=1,1539+キャラマスタ[[#This Row],[死亡年]],"")</f>
        <v/>
      </c>
      <c r="AA135">
        <v>0</v>
      </c>
      <c r="AB135" t="s">
        <v>2160</v>
      </c>
      <c r="AC135">
        <v>0</v>
      </c>
      <c r="AG135" t="s">
        <v>682</v>
      </c>
      <c r="AH135" t="s">
        <v>2096</v>
      </c>
      <c r="AP135" t="s">
        <v>2092</v>
      </c>
    </row>
    <row r="136" spans="1:42">
      <c r="A136" t="s">
        <v>2074</v>
      </c>
      <c r="B136" t="s">
        <v>2097</v>
      </c>
      <c r="C136" t="s">
        <v>534</v>
      </c>
      <c r="D136" t="str">
        <f>IFERROR(キャラマスタ[[#This Row],[初登場時の年齢]]+2,"")</f>
        <v/>
      </c>
      <c r="E136">
        <v>13</v>
      </c>
      <c r="F136">
        <v>113</v>
      </c>
      <c r="G136" s="11">
        <v>44611</v>
      </c>
      <c r="H136" t="str">
        <f>IFERROR(IF(キャラマスタ[[#This Row],[生存ステータス]]=1,1539-キャラマスタ[[#This Row],[初登場時の年齢]]+キャラマスタ[[#This Row],[死亡年]],1539-キャラマスタ[[#This Row],[初登場時の年齢]]),"")</f>
        <v/>
      </c>
      <c r="L136" t="s">
        <v>527</v>
      </c>
      <c r="M136" t="s">
        <v>2030</v>
      </c>
      <c r="N136" t="s">
        <v>2046</v>
      </c>
      <c r="V136" t="s">
        <v>2157</v>
      </c>
      <c r="W136" t="s">
        <v>2157</v>
      </c>
      <c r="X136" t="s">
        <v>2157</v>
      </c>
      <c r="Z136" t="str">
        <f>IF(キャラマスタ[[#This Row],[生存ステータス]]=1,1539+キャラマスタ[[#This Row],[死亡年]],"")</f>
        <v/>
      </c>
      <c r="AA136" t="s">
        <v>962</v>
      </c>
      <c r="AB136" t="s">
        <v>2161</v>
      </c>
      <c r="AC136">
        <v>0</v>
      </c>
      <c r="AP136" t="s">
        <v>2098</v>
      </c>
    </row>
    <row r="137" spans="1:42">
      <c r="A137" t="s">
        <v>2075</v>
      </c>
      <c r="B137" t="s">
        <v>2138</v>
      </c>
      <c r="C137">
        <v>28</v>
      </c>
      <c r="D137">
        <f>IFERROR(キャラマスタ[[#This Row],[初登場時の年齢]]+2,"")</f>
        <v>30</v>
      </c>
      <c r="E137">
        <v>13</v>
      </c>
      <c r="F137">
        <v>114</v>
      </c>
      <c r="G137" s="11">
        <v>43867</v>
      </c>
      <c r="H137">
        <f>IFERROR(IF(キャラマスタ[[#This Row],[生存ステータス]]=1,1539-キャラマスタ[[#This Row],[初登場時の年齢]]+キャラマスタ[[#This Row],[死亡年]],1539-キャラマスタ[[#This Row],[初登場時の年齢]]),"")</f>
        <v>1511</v>
      </c>
      <c r="I137">
        <v>188</v>
      </c>
      <c r="L137" t="s">
        <v>2093</v>
      </c>
      <c r="N137" t="s">
        <v>2126</v>
      </c>
      <c r="O137" t="s">
        <v>2127</v>
      </c>
      <c r="P137" t="s">
        <v>2142</v>
      </c>
      <c r="Q137" t="s">
        <v>2128</v>
      </c>
      <c r="R137" t="s">
        <v>2156</v>
      </c>
      <c r="S137" t="s">
        <v>1945</v>
      </c>
      <c r="T137" t="s">
        <v>1946</v>
      </c>
      <c r="V137" t="s">
        <v>276</v>
      </c>
      <c r="W137" t="s">
        <v>277</v>
      </c>
      <c r="X137" t="s">
        <v>1994</v>
      </c>
      <c r="Z137" t="str">
        <f>IF(キャラマスタ[[#This Row],[生存ステータス]]=1,1539+キャラマスタ[[#This Row],[死亡年]],"")</f>
        <v/>
      </c>
      <c r="AA137">
        <v>0</v>
      </c>
      <c r="AB137" t="s">
        <v>2160</v>
      </c>
      <c r="AC137">
        <v>0</v>
      </c>
      <c r="AG137" t="s">
        <v>686</v>
      </c>
      <c r="AH137" t="s">
        <v>2129</v>
      </c>
      <c r="AI137" t="s">
        <v>2130</v>
      </c>
      <c r="AK137" t="s">
        <v>2131</v>
      </c>
      <c r="AP137" t="s">
        <v>2132</v>
      </c>
    </row>
    <row r="138" spans="1:42">
      <c r="A138" t="s">
        <v>2076</v>
      </c>
      <c r="B138" t="s">
        <v>2099</v>
      </c>
      <c r="C138" t="s">
        <v>534</v>
      </c>
      <c r="D138" t="str">
        <f>IFERROR(キャラマスタ[[#This Row],[初登場時の年齢]]+2,"")</f>
        <v/>
      </c>
      <c r="E138">
        <v>13</v>
      </c>
      <c r="F138">
        <v>115</v>
      </c>
      <c r="G138" s="11">
        <v>44884</v>
      </c>
      <c r="H138" t="str">
        <f>IFERROR(IF(キャラマスタ[[#This Row],[生存ステータス]]=1,1539-キャラマスタ[[#This Row],[初登場時の年齢]]+キャラマスタ[[#This Row],[死亡年]],1539-キャラマスタ[[#This Row],[初登場時の年齢]]),"")</f>
        <v/>
      </c>
      <c r="L138" t="s">
        <v>527</v>
      </c>
      <c r="M138" t="s">
        <v>2031</v>
      </c>
      <c r="N138" t="s">
        <v>2100</v>
      </c>
      <c r="V138" t="s">
        <v>2157</v>
      </c>
      <c r="W138" t="s">
        <v>2159</v>
      </c>
      <c r="X138" t="s">
        <v>2157</v>
      </c>
      <c r="Z138" t="str">
        <f>IF(キャラマスタ[[#This Row],[生存ステータス]]=1,1539+キャラマスタ[[#This Row],[死亡年]],"")</f>
        <v/>
      </c>
      <c r="AA138" t="s">
        <v>2157</v>
      </c>
      <c r="AB138" t="s">
        <v>2161</v>
      </c>
      <c r="AC138">
        <v>0</v>
      </c>
      <c r="AP138" t="s">
        <v>2101</v>
      </c>
    </row>
    <row r="139" spans="1:42">
      <c r="A139" t="s">
        <v>2077</v>
      </c>
      <c r="B139" t="s">
        <v>2102</v>
      </c>
      <c r="C139" t="s">
        <v>534</v>
      </c>
      <c r="D139" t="str">
        <f>IFERROR(キャラマスタ[[#This Row],[初登場時の年齢]]+2,"")</f>
        <v/>
      </c>
      <c r="E139">
        <v>13</v>
      </c>
      <c r="F139">
        <v>115</v>
      </c>
      <c r="G139" s="11">
        <v>44915</v>
      </c>
      <c r="H139" t="str">
        <f>IFERROR(IF(キャラマスタ[[#This Row],[生存ステータス]]=1,1539-キャラマスタ[[#This Row],[初登場時の年齢]]+キャラマスタ[[#This Row],[死亡年]],1539-キャラマスタ[[#This Row],[初登場時の年齢]]),"")</f>
        <v/>
      </c>
      <c r="L139" t="s">
        <v>527</v>
      </c>
      <c r="T139" t="s">
        <v>2103</v>
      </c>
      <c r="V139" t="s">
        <v>2157</v>
      </c>
      <c r="W139" t="s">
        <v>277</v>
      </c>
      <c r="X139" t="s">
        <v>2157</v>
      </c>
      <c r="Z139" t="str">
        <f>IF(キャラマスタ[[#This Row],[生存ステータス]]=1,1539+キャラマスタ[[#This Row],[死亡年]],"")</f>
        <v/>
      </c>
      <c r="AA139" t="s">
        <v>2157</v>
      </c>
      <c r="AB139" t="s">
        <v>2161</v>
      </c>
      <c r="AC139">
        <v>0</v>
      </c>
      <c r="AP139" t="s">
        <v>2104</v>
      </c>
    </row>
    <row r="140" spans="1:42">
      <c r="A140" t="s">
        <v>2078</v>
      </c>
      <c r="B140" t="s">
        <v>2105</v>
      </c>
      <c r="C140">
        <v>158</v>
      </c>
      <c r="D140">
        <f>IFERROR(キャラマスタ[[#This Row],[初登場時の年齢]]+2,"")</f>
        <v>160</v>
      </c>
      <c r="E140">
        <v>13</v>
      </c>
      <c r="F140">
        <v>116</v>
      </c>
      <c r="G140" s="11">
        <v>43862</v>
      </c>
      <c r="H140">
        <f>IFERROR(IF(キャラマスタ[[#This Row],[生存ステータス]]=1,1539-キャラマスタ[[#This Row],[初登場時の年齢]]+キャラマスタ[[#This Row],[死亡年]],1539-キャラマスタ[[#This Row],[初登場時の年齢]]),"")</f>
        <v>1381</v>
      </c>
      <c r="I140">
        <v>2130</v>
      </c>
      <c r="J140" t="s">
        <v>2135</v>
      </c>
      <c r="K140" t="s">
        <v>2106</v>
      </c>
      <c r="L140" t="s">
        <v>527</v>
      </c>
      <c r="N140" t="s">
        <v>1757</v>
      </c>
      <c r="O140" t="s">
        <v>2107</v>
      </c>
      <c r="S140" t="s">
        <v>2108</v>
      </c>
      <c r="T140" t="s">
        <v>39</v>
      </c>
      <c r="V140" t="s">
        <v>274</v>
      </c>
      <c r="W140" t="s">
        <v>1825</v>
      </c>
      <c r="X140" t="s">
        <v>740</v>
      </c>
      <c r="Z140" t="str">
        <f>IF(キャラマスタ[[#This Row],[生存ステータス]]=1,1539+キャラマスタ[[#This Row],[死亡年]],"")</f>
        <v/>
      </c>
      <c r="AA140">
        <v>0</v>
      </c>
      <c r="AB140" t="s">
        <v>2160</v>
      </c>
      <c r="AC140">
        <v>0</v>
      </c>
      <c r="AF140" t="s">
        <v>2109</v>
      </c>
      <c r="AG140" t="s">
        <v>699</v>
      </c>
      <c r="AH140" t="s">
        <v>2110</v>
      </c>
      <c r="AP140" t="s">
        <v>2111</v>
      </c>
    </row>
    <row r="141" spans="1:42">
      <c r="A141" t="s">
        <v>2079</v>
      </c>
      <c r="B141" t="s">
        <v>2112</v>
      </c>
      <c r="C141">
        <v>158</v>
      </c>
      <c r="D141">
        <f>IFERROR(キャラマスタ[[#This Row],[初登場時の年齢]]+2,"")</f>
        <v>160</v>
      </c>
      <c r="E141">
        <v>13</v>
      </c>
      <c r="F141">
        <v>116</v>
      </c>
      <c r="G141" s="11">
        <v>44106</v>
      </c>
      <c r="H141">
        <f>IFERROR(IF(キャラマスタ[[#This Row],[生存ステータス]]=1,1539-キャラマスタ[[#This Row],[初登場時の年齢]]+キャラマスタ[[#This Row],[死亡年]],1539-キャラマスタ[[#This Row],[初登場時の年齢]]),"")</f>
        <v>1381</v>
      </c>
      <c r="I141">
        <v>2260</v>
      </c>
      <c r="J141" t="s">
        <v>2135</v>
      </c>
      <c r="K141" t="s">
        <v>2106</v>
      </c>
      <c r="L141" t="s">
        <v>527</v>
      </c>
      <c r="N141" t="s">
        <v>1757</v>
      </c>
      <c r="O141" t="s">
        <v>2113</v>
      </c>
      <c r="S141" t="s">
        <v>2108</v>
      </c>
      <c r="T141" t="s">
        <v>39</v>
      </c>
      <c r="V141" t="s">
        <v>274</v>
      </c>
      <c r="W141" t="s">
        <v>1825</v>
      </c>
      <c r="X141" t="s">
        <v>740</v>
      </c>
      <c r="Z141" t="str">
        <f>IF(キャラマスタ[[#This Row],[生存ステータス]]=1,1539+キャラマスタ[[#This Row],[死亡年]],"")</f>
        <v/>
      </c>
      <c r="AA141">
        <v>0</v>
      </c>
      <c r="AB141" t="s">
        <v>2160</v>
      </c>
      <c r="AC141">
        <v>0</v>
      </c>
      <c r="AF141" t="s">
        <v>2114</v>
      </c>
      <c r="AG141" t="s">
        <v>699</v>
      </c>
      <c r="AH141" t="s">
        <v>2115</v>
      </c>
      <c r="AP141" t="s">
        <v>2111</v>
      </c>
    </row>
    <row r="142" spans="1:42">
      <c r="A142" t="s">
        <v>2080</v>
      </c>
      <c r="B142" t="s">
        <v>2116</v>
      </c>
      <c r="C142" t="s">
        <v>534</v>
      </c>
      <c r="D142" t="str">
        <f>IFERROR(キャラマスタ[[#This Row],[初登場時の年齢]]+2,"")</f>
        <v/>
      </c>
      <c r="E142">
        <v>13</v>
      </c>
      <c r="F142">
        <v>117</v>
      </c>
      <c r="G142" s="11">
        <v>44628</v>
      </c>
      <c r="H142" t="str">
        <f>IFERROR(IF(キャラマスタ[[#This Row],[生存ステータス]]=1,1539-キャラマスタ[[#This Row],[初登場時の年齢]]+キャラマスタ[[#This Row],[死亡年]],1539-キャラマスタ[[#This Row],[初登場時の年齢]]),"")</f>
        <v/>
      </c>
      <c r="L142" t="s">
        <v>527</v>
      </c>
      <c r="V142" t="s">
        <v>274</v>
      </c>
      <c r="W142" t="s">
        <v>277</v>
      </c>
      <c r="X142" t="s">
        <v>373</v>
      </c>
      <c r="Z142" t="str">
        <f>IF(キャラマスタ[[#This Row],[生存ステータス]]=1,1539+キャラマスタ[[#This Row],[死亡年]],"")</f>
        <v/>
      </c>
      <c r="AA142" t="s">
        <v>2157</v>
      </c>
      <c r="AB142" t="s">
        <v>2161</v>
      </c>
      <c r="AC142">
        <v>0</v>
      </c>
      <c r="AP142" t="s">
        <v>2117</v>
      </c>
    </row>
    <row r="143" spans="1:42">
      <c r="A143" t="s">
        <v>2081</v>
      </c>
      <c r="B143" t="s">
        <v>2146</v>
      </c>
      <c r="C143">
        <v>35</v>
      </c>
      <c r="D143">
        <f>IFERROR(キャラマスタ[[#This Row],[初登場時の年齢]]+2,"")</f>
        <v>37</v>
      </c>
      <c r="E143">
        <v>13</v>
      </c>
      <c r="F143">
        <v>117</v>
      </c>
      <c r="G143" s="11">
        <v>43893</v>
      </c>
      <c r="H143">
        <f>IFERROR(IF(キャラマスタ[[#This Row],[生存ステータス]]=1,1539-キャラマスタ[[#This Row],[初登場時の年齢]]+キャラマスタ[[#This Row],[死亡年]],1539-キャラマスタ[[#This Row],[初登場時の年齢]]),"")</f>
        <v>1504</v>
      </c>
      <c r="I143">
        <v>179</v>
      </c>
      <c r="J143" t="s">
        <v>2136</v>
      </c>
      <c r="K143" t="s">
        <v>2122</v>
      </c>
      <c r="L143" t="s">
        <v>2087</v>
      </c>
      <c r="O143" t="s">
        <v>2118</v>
      </c>
      <c r="P143" t="s">
        <v>2143</v>
      </c>
      <c r="Q143" t="s">
        <v>2119</v>
      </c>
      <c r="R143" t="s">
        <v>2156</v>
      </c>
      <c r="S143" t="s">
        <v>1945</v>
      </c>
      <c r="T143" t="s">
        <v>1946</v>
      </c>
      <c r="V143" t="s">
        <v>274</v>
      </c>
      <c r="W143" t="s">
        <v>277</v>
      </c>
      <c r="X143" t="s">
        <v>1994</v>
      </c>
      <c r="Z143" t="str">
        <f>IF(キャラマスタ[[#This Row],[生存ステータス]]=1,1539+キャラマスタ[[#This Row],[死亡年]],"")</f>
        <v/>
      </c>
      <c r="AA143">
        <v>0</v>
      </c>
      <c r="AB143" t="s">
        <v>2160</v>
      </c>
      <c r="AC143">
        <v>0</v>
      </c>
      <c r="AG143" t="s">
        <v>699</v>
      </c>
      <c r="AH143" t="s">
        <v>2120</v>
      </c>
      <c r="AP143" t="s">
        <v>2121</v>
      </c>
    </row>
    <row r="144" spans="1:42">
      <c r="A144" t="s">
        <v>2133</v>
      </c>
      <c r="B144" t="s">
        <v>2147</v>
      </c>
      <c r="C144">
        <v>16</v>
      </c>
      <c r="D144">
        <f>IFERROR(キャラマスタ[[#This Row],[初登場時の年齢]]+2,"")</f>
        <v>18</v>
      </c>
      <c r="E144">
        <v>13</v>
      </c>
      <c r="F144">
        <v>117</v>
      </c>
      <c r="G144" s="11">
        <v>43950</v>
      </c>
      <c r="H144">
        <f>IFERROR(IF(キャラマスタ[[#This Row],[生存ステータス]]=1,1539-キャラマスタ[[#This Row],[初登場時の年齢]]+キャラマスタ[[#This Row],[死亡年]],1539-キャラマスタ[[#This Row],[初登場時の年齢]]),"")</f>
        <v>1523</v>
      </c>
      <c r="I144">
        <v>145</v>
      </c>
      <c r="J144" t="s">
        <v>2136</v>
      </c>
      <c r="K144" t="s">
        <v>2122</v>
      </c>
      <c r="L144" t="s">
        <v>53</v>
      </c>
      <c r="O144" t="s">
        <v>2123</v>
      </c>
      <c r="R144" t="s">
        <v>2156</v>
      </c>
      <c r="S144" t="s">
        <v>1945</v>
      </c>
      <c r="T144" t="s">
        <v>1946</v>
      </c>
      <c r="V144" t="s">
        <v>276</v>
      </c>
      <c r="W144" t="s">
        <v>277</v>
      </c>
      <c r="X144" t="s">
        <v>1994</v>
      </c>
      <c r="Z144" t="str">
        <f>IF(キャラマスタ[[#This Row],[生存ステータス]]=1,1539+キャラマスタ[[#This Row],[死亡年]],"")</f>
        <v/>
      </c>
      <c r="AA144">
        <v>0</v>
      </c>
      <c r="AB144" t="s">
        <v>2160</v>
      </c>
      <c r="AC144">
        <v>0</v>
      </c>
      <c r="AF144" t="s">
        <v>2124</v>
      </c>
      <c r="AG144" t="s">
        <v>682</v>
      </c>
      <c r="AH144" t="s">
        <v>2125</v>
      </c>
      <c r="AP144" t="s">
        <v>2092</v>
      </c>
    </row>
    <row r="145" spans="1:42">
      <c r="A145" t="s">
        <v>1891</v>
      </c>
      <c r="B145" t="s">
        <v>1892</v>
      </c>
      <c r="C145">
        <v>76</v>
      </c>
      <c r="D145">
        <f>IFERROR(キャラマスタ[[#This Row],[初登場時の年齢]]+2,"")</f>
        <v>78</v>
      </c>
      <c r="E145">
        <v>11</v>
      </c>
      <c r="F145">
        <v>92</v>
      </c>
      <c r="G145" s="11">
        <v>43953</v>
      </c>
      <c r="H145">
        <f>IFERROR(IF(キャラマスタ[[#This Row],[生存ステータス]]=1,1539-キャラマスタ[[#This Row],[初登場時の年齢]]+キャラマスタ[[#This Row],[死亡年]],1539-キャラマスタ[[#This Row],[初登場時の年齢]]),"")</f>
        <v>1463</v>
      </c>
      <c r="I145">
        <v>287</v>
      </c>
      <c r="J145" t="s">
        <v>954</v>
      </c>
      <c r="K145" t="s">
        <v>1893</v>
      </c>
      <c r="L145" t="s">
        <v>18</v>
      </c>
      <c r="N145" t="s">
        <v>1894</v>
      </c>
      <c r="O145" t="s">
        <v>1895</v>
      </c>
      <c r="R145" t="s">
        <v>446</v>
      </c>
      <c r="S145" t="s">
        <v>1754</v>
      </c>
      <c r="T145" t="s">
        <v>1896</v>
      </c>
      <c r="V145" t="s">
        <v>274</v>
      </c>
      <c r="W145" t="s">
        <v>277</v>
      </c>
      <c r="X145" t="s">
        <v>375</v>
      </c>
      <c r="Z145" t="str">
        <f>IF(キャラマスタ[[#This Row],[生存ステータス]]=1,1539+キャラマスタ[[#This Row],[死亡年]],"")</f>
        <v/>
      </c>
      <c r="AA145">
        <v>0</v>
      </c>
      <c r="AB145" t="s">
        <v>259</v>
      </c>
      <c r="AC145">
        <v>1</v>
      </c>
      <c r="AD145">
        <v>3</v>
      </c>
      <c r="AE145">
        <v>9999</v>
      </c>
      <c r="AG145" t="s">
        <v>699</v>
      </c>
      <c r="AH145" t="s">
        <v>1897</v>
      </c>
      <c r="AI145" t="s">
        <v>1898</v>
      </c>
      <c r="AJ145" t="s">
        <v>1899</v>
      </c>
      <c r="AK145" t="s">
        <v>1900</v>
      </c>
      <c r="AP145" t="s">
        <v>1901</v>
      </c>
    </row>
  </sheetData>
  <phoneticPr fontId="1"/>
  <pageMargins left="0.7" right="0.7" top="0.75" bottom="0.75" header="0.3" footer="0.3"/>
  <pageSetup paperSize="9" orientation="portrait" horizontalDpi="0" verticalDpi="0"/>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51A3548-E67B-4D0D-9987-88A99E04EA44}">
          <x14:formula1>
            <xm:f>勢力マスタ!$A:$A</xm:f>
          </x14:formula1>
          <xm:sqref>R1:R34 R36:R46</xm:sqref>
        </x14:dataValidation>
        <x14:dataValidation type="list" allowBlank="1" showInputMessage="1" showErrorMessage="1" xr:uid="{4D324123-79F8-41BF-872E-8372685CB2A1}">
          <x14:formula1>
            <xm:f>船マスタ!#REF!</xm:f>
          </x14:formula1>
          <xm:sqref>J2:J46 J49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7E2F1-05E3-5F46-8635-DC1F33BB6BBE}">
  <sheetPr>
    <tabColor rgb="FFFFFF00"/>
  </sheetPr>
  <dimension ref="A1:I11"/>
  <sheetViews>
    <sheetView workbookViewId="0">
      <selection activeCell="D6" sqref="D6:D9"/>
    </sheetView>
  </sheetViews>
  <sheetFormatPr baseColWidth="10" defaultColWidth="8.83203125" defaultRowHeight="18"/>
  <cols>
    <col min="2" max="2" width="13" bestFit="1" customWidth="1"/>
    <col min="3" max="3" width="7.1640625" bestFit="1" customWidth="1"/>
    <col min="4" max="4" width="11" customWidth="1"/>
    <col min="5" max="5" width="20.6640625" bestFit="1" customWidth="1"/>
    <col min="6" max="6" width="12.6640625" customWidth="1"/>
    <col min="7" max="7" width="10.83203125" customWidth="1"/>
    <col min="8" max="8" width="9" customWidth="1"/>
    <col min="9" max="9" width="14.5" customWidth="1"/>
  </cols>
  <sheetData>
    <row r="1" spans="1:9">
      <c r="A1" t="s">
        <v>395</v>
      </c>
      <c r="B1" t="s">
        <v>171</v>
      </c>
      <c r="C1" t="s">
        <v>169</v>
      </c>
      <c r="D1" t="s">
        <v>394</v>
      </c>
      <c r="E1" t="s">
        <v>170</v>
      </c>
      <c r="F1" t="s">
        <v>172</v>
      </c>
      <c r="G1" t="s">
        <v>225</v>
      </c>
      <c r="H1" t="s">
        <v>224</v>
      </c>
      <c r="I1" t="s">
        <v>190</v>
      </c>
    </row>
    <row r="2" spans="1:9">
      <c r="A2" t="s">
        <v>399</v>
      </c>
      <c r="B2" t="s">
        <v>36</v>
      </c>
      <c r="C2" t="s">
        <v>262</v>
      </c>
      <c r="D2" t="s">
        <v>288</v>
      </c>
      <c r="E2" s="6" t="str">
        <f>VLOOKUP(D2,キャラマスタ[],2,FALSE)</f>
        <v>モンキー・D・ルフィ</v>
      </c>
      <c r="F2">
        <v>0</v>
      </c>
      <c r="G2">
        <v>1</v>
      </c>
      <c r="H2">
        <v>-10</v>
      </c>
    </row>
    <row r="3" spans="1:9">
      <c r="A3" t="s">
        <v>592</v>
      </c>
      <c r="B3" t="s">
        <v>528</v>
      </c>
      <c r="C3" t="s">
        <v>262</v>
      </c>
      <c r="D3" t="s">
        <v>570</v>
      </c>
      <c r="E3" s="6" t="str">
        <f>VLOOKUP(D3,キャラマスタ[],2,FALSE)</f>
        <v>バギー</v>
      </c>
      <c r="F3">
        <v>0</v>
      </c>
      <c r="G3">
        <v>2</v>
      </c>
      <c r="H3">
        <v>-25</v>
      </c>
    </row>
    <row r="4" spans="1:9">
      <c r="A4" t="s">
        <v>1815</v>
      </c>
      <c r="B4" t="s">
        <v>68</v>
      </c>
      <c r="C4" t="s">
        <v>262</v>
      </c>
      <c r="D4" t="s">
        <v>433</v>
      </c>
      <c r="E4" s="6" t="str">
        <f>VLOOKUP(D4,キャラマスタ[],2,FALSE)</f>
        <v>アルビダ</v>
      </c>
      <c r="F4">
        <v>0</v>
      </c>
      <c r="G4">
        <v>11</v>
      </c>
      <c r="H4">
        <v>0</v>
      </c>
    </row>
    <row r="5" spans="1:9">
      <c r="A5" t="s">
        <v>1816</v>
      </c>
      <c r="B5" t="s">
        <v>1783</v>
      </c>
      <c r="C5" t="s">
        <v>1818</v>
      </c>
      <c r="D5" t="s">
        <v>1806</v>
      </c>
      <c r="E5" s="6" t="str">
        <f>VLOOKUP(D5,キャラマスタ[],2,FALSE)</f>
        <v>スモーカー</v>
      </c>
      <c r="F5">
        <v>0</v>
      </c>
      <c r="G5">
        <v>11</v>
      </c>
      <c r="H5">
        <v>0</v>
      </c>
    </row>
    <row r="6" spans="1:9">
      <c r="A6" t="s">
        <v>1817</v>
      </c>
      <c r="B6" t="s">
        <v>2089</v>
      </c>
      <c r="C6" t="s">
        <v>262</v>
      </c>
      <c r="D6" t="s">
        <v>2072</v>
      </c>
      <c r="E6" s="6" t="str">
        <f>VLOOKUP(D6,キャラマスタ[],2,FALSE)</f>
        <v>Mr.5</v>
      </c>
      <c r="F6">
        <v>0</v>
      </c>
      <c r="G6">
        <v>13</v>
      </c>
      <c r="H6">
        <v>0</v>
      </c>
    </row>
    <row r="7" spans="1:9">
      <c r="A7" t="s">
        <v>2141</v>
      </c>
      <c r="B7" t="s">
        <v>2095</v>
      </c>
      <c r="C7" t="s">
        <v>262</v>
      </c>
      <c r="D7" t="s">
        <v>2073</v>
      </c>
      <c r="E7" s="6" t="str">
        <f>VLOOKUP(D7,キャラマスタ[],2,FALSE)</f>
        <v>ミス・バレンタイン</v>
      </c>
      <c r="F7">
        <v>0</v>
      </c>
      <c r="G7">
        <v>13</v>
      </c>
      <c r="H7">
        <v>0</v>
      </c>
    </row>
    <row r="8" spans="1:9">
      <c r="A8" t="s">
        <v>2142</v>
      </c>
      <c r="B8" t="s">
        <v>2128</v>
      </c>
      <c r="C8" t="s">
        <v>262</v>
      </c>
      <c r="D8" t="s">
        <v>2075</v>
      </c>
      <c r="E8" s="6" t="str">
        <f>VLOOKUP(D8,キャラマスタ[],2,FALSE)</f>
        <v>ミス・オールサンデー</v>
      </c>
      <c r="F8">
        <v>0</v>
      </c>
      <c r="G8">
        <v>13</v>
      </c>
      <c r="H8">
        <v>0</v>
      </c>
    </row>
    <row r="9" spans="1:9">
      <c r="A9" t="s">
        <v>2143</v>
      </c>
      <c r="B9" t="s">
        <v>2119</v>
      </c>
      <c r="C9" t="s">
        <v>262</v>
      </c>
      <c r="D9" t="s">
        <v>2081</v>
      </c>
      <c r="E9" s="6" t="str">
        <f>VLOOKUP(D9,キャラマスタ[],2,FALSE)</f>
        <v>Mr.3</v>
      </c>
      <c r="F9">
        <v>0</v>
      </c>
      <c r="G9">
        <v>13</v>
      </c>
      <c r="H9">
        <v>0</v>
      </c>
    </row>
    <row r="10" spans="1:9">
      <c r="A10" t="s">
        <v>2144</v>
      </c>
      <c r="E10" s="6" t="e">
        <f>VLOOKUP(D10,キャラマスタ[],2,FALSE)</f>
        <v>#N/A</v>
      </c>
    </row>
    <row r="11" spans="1:9">
      <c r="A11" t="s">
        <v>2145</v>
      </c>
      <c r="E11" s="6" t="e">
        <f>VLOOKUP(D11,キャラマスタ[],2,FALSE)</f>
        <v>#N/A</v>
      </c>
    </row>
  </sheetData>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1CF29-61DE-4685-A3CA-8255CD668149}">
  <sheetPr>
    <tabColor rgb="FFFFFF00"/>
  </sheetPr>
  <dimension ref="A1:G21"/>
  <sheetViews>
    <sheetView workbookViewId="0"/>
  </sheetViews>
  <sheetFormatPr baseColWidth="10" defaultColWidth="8.83203125" defaultRowHeight="18"/>
  <cols>
    <col min="2" max="2" width="13" bestFit="1" customWidth="1"/>
    <col min="4" max="4" width="10.5" customWidth="1"/>
    <col min="6" max="6" width="10.5" customWidth="1"/>
  </cols>
  <sheetData>
    <row r="1" spans="1:7">
      <c r="A1" t="s">
        <v>396</v>
      </c>
      <c r="B1" t="s">
        <v>173</v>
      </c>
      <c r="C1" t="s">
        <v>174</v>
      </c>
      <c r="D1" t="s">
        <v>1147</v>
      </c>
      <c r="E1" t="s">
        <v>175</v>
      </c>
      <c r="F1" t="s">
        <v>1148</v>
      </c>
      <c r="G1" t="s">
        <v>176</v>
      </c>
    </row>
    <row r="2" spans="1:7">
      <c r="A2" t="s">
        <v>397</v>
      </c>
      <c r="B2" t="s">
        <v>1446</v>
      </c>
      <c r="C2" t="s">
        <v>1855</v>
      </c>
      <c r="D2" s="13" t="s">
        <v>1447</v>
      </c>
      <c r="E2" t="str">
        <f>+IFERROR(VLOOKUP(D2,キャラマスタ[],2,FALSE),"")</f>
        <v>ロロノア・ゾロ</v>
      </c>
      <c r="G2" t="s">
        <v>1448</v>
      </c>
    </row>
    <row r="3" spans="1:7">
      <c r="A3" t="s">
        <v>1149</v>
      </c>
      <c r="B3" s="14" t="s">
        <v>805</v>
      </c>
      <c r="D3" s="13" t="s">
        <v>718</v>
      </c>
      <c r="E3" t="str">
        <f>+IFERROR(VLOOKUP(D3,キャラマスタ[],2,FALSE),"")</f>
        <v>ウソップ</v>
      </c>
    </row>
    <row r="4" spans="1:7">
      <c r="A4" t="s">
        <v>1150</v>
      </c>
      <c r="B4" t="s">
        <v>694</v>
      </c>
      <c r="D4" t="s">
        <v>723</v>
      </c>
      <c r="E4" t="str">
        <f>+IFERROR(VLOOKUP(D4,キャラマスタ[],2,FALSE),"")</f>
        <v>クロ</v>
      </c>
    </row>
    <row r="5" spans="1:7">
      <c r="A5" t="s">
        <v>1151</v>
      </c>
      <c r="B5" t="s">
        <v>709</v>
      </c>
      <c r="D5" t="s">
        <v>727</v>
      </c>
      <c r="E5" t="str">
        <f>+IFERROR(VLOOKUP(D5,キャラマスタ[],2,FALSE),"")</f>
        <v>ジャンゴ</v>
      </c>
    </row>
    <row r="6" spans="1:7">
      <c r="A6" t="s">
        <v>1152</v>
      </c>
      <c r="B6" t="s">
        <v>892</v>
      </c>
      <c r="D6" t="s">
        <v>844</v>
      </c>
      <c r="E6" t="str">
        <f>+IFERROR(VLOOKUP(D6,キャラマスタ[],2,FALSE),"")</f>
        <v>ヨサク</v>
      </c>
    </row>
    <row r="7" spans="1:7">
      <c r="A7" t="s">
        <v>1153</v>
      </c>
      <c r="B7" s="9" t="s">
        <v>1449</v>
      </c>
      <c r="C7" t="s">
        <v>1450</v>
      </c>
      <c r="D7" t="s">
        <v>1100</v>
      </c>
      <c r="E7" t="str">
        <f>+IFERROR(VLOOKUP(D7,キャラマスタ[],2,FALSE),"")</f>
        <v>ジュラキュール・ミホーク</v>
      </c>
    </row>
    <row r="8" spans="1:7">
      <c r="A8" t="s">
        <v>1154</v>
      </c>
      <c r="B8" t="s">
        <v>1325</v>
      </c>
      <c r="D8" t="s">
        <v>1310</v>
      </c>
      <c r="E8" t="str">
        <f>+IFERROR(VLOOKUP(D8,キャラマスタ[],2,FALSE),"")</f>
        <v>アーロン</v>
      </c>
    </row>
    <row r="9" spans="1:7">
      <c r="A9" t="s">
        <v>1155</v>
      </c>
      <c r="B9" s="9" t="s">
        <v>1851</v>
      </c>
      <c r="C9" t="s">
        <v>1852</v>
      </c>
      <c r="D9" s="13" t="s">
        <v>414</v>
      </c>
      <c r="E9" t="str">
        <f>+IFERROR(VLOOKUP(D9,キャラマスタ[],2,FALSE),"")</f>
        <v>ロロノア・ゾロ</v>
      </c>
      <c r="G9" t="s">
        <v>1853</v>
      </c>
    </row>
    <row r="10" spans="1:7">
      <c r="A10" t="s">
        <v>1156</v>
      </c>
      <c r="B10" s="9" t="s">
        <v>1854</v>
      </c>
      <c r="C10" t="s">
        <v>1856</v>
      </c>
      <c r="D10" s="13" t="s">
        <v>414</v>
      </c>
      <c r="E10" t="str">
        <f>+IFERROR(VLOOKUP(D10,キャラマスタ[],2,FALSE),"")</f>
        <v>ロロノア・ゾロ</v>
      </c>
    </row>
    <row r="11" spans="1:7">
      <c r="A11" t="s">
        <v>1157</v>
      </c>
      <c r="B11" s="9" t="s">
        <v>1857</v>
      </c>
      <c r="C11" t="s">
        <v>1852</v>
      </c>
      <c r="D11" t="s">
        <v>1808</v>
      </c>
      <c r="E11" t="str">
        <f>+IFERROR(VLOOKUP(D11,キャラマスタ[],2,FALSE),"")</f>
        <v>たしぎ</v>
      </c>
    </row>
    <row r="12" spans="1:7">
      <c r="A12" t="s">
        <v>1858</v>
      </c>
      <c r="B12" t="s">
        <v>2090</v>
      </c>
      <c r="D12" t="s">
        <v>2072</v>
      </c>
      <c r="E12" t="str">
        <f>+IFERROR(VLOOKUP(D12,キャラマスタ[],2,FALSE),"")</f>
        <v>Mr.5</v>
      </c>
    </row>
    <row r="13" spans="1:7">
      <c r="A13" t="s">
        <v>1859</v>
      </c>
      <c r="B13" t="s">
        <v>2109</v>
      </c>
      <c r="D13" t="s">
        <v>2078</v>
      </c>
      <c r="E13" t="str">
        <f>+IFERROR(VLOOKUP(D13,キャラマスタ[],2,FALSE),"")</f>
        <v>ブロギー</v>
      </c>
    </row>
    <row r="14" spans="1:7">
      <c r="A14" t="s">
        <v>1860</v>
      </c>
      <c r="B14" t="s">
        <v>2114</v>
      </c>
      <c r="D14" t="s">
        <v>2079</v>
      </c>
      <c r="E14" t="str">
        <f>+IFERROR(VLOOKUP(D14,キャラマスタ[],2,FALSE),"")</f>
        <v>ドリー</v>
      </c>
    </row>
    <row r="15" spans="1:7">
      <c r="A15" t="s">
        <v>1861</v>
      </c>
      <c r="B15" s="9"/>
      <c r="D15" s="13"/>
      <c r="E15" t="str">
        <f>+IFERROR(VLOOKUP(D15,キャラマスタ[],2,FALSE),"")</f>
        <v/>
      </c>
    </row>
    <row r="16" spans="1:7">
      <c r="A16" t="s">
        <v>1862</v>
      </c>
      <c r="B16" s="9"/>
      <c r="D16" s="13"/>
      <c r="E16" t="str">
        <f>+IFERROR(VLOOKUP(D16,キャラマスタ[],2,FALSE),"")</f>
        <v/>
      </c>
    </row>
    <row r="17" spans="1:5">
      <c r="A17" t="s">
        <v>1863</v>
      </c>
      <c r="B17" s="9"/>
      <c r="D17" s="13"/>
      <c r="E17" t="str">
        <f>+IFERROR(VLOOKUP(D17,キャラマスタ[],2,FALSE),"")</f>
        <v/>
      </c>
    </row>
    <row r="18" spans="1:5">
      <c r="A18" t="s">
        <v>1864</v>
      </c>
      <c r="B18" s="9"/>
      <c r="D18" s="13"/>
      <c r="E18" t="str">
        <f>+IFERROR(VLOOKUP(D18,キャラマスタ[],2,FALSE),"")</f>
        <v/>
      </c>
    </row>
    <row r="19" spans="1:5">
      <c r="A19" t="s">
        <v>1865</v>
      </c>
      <c r="B19" s="9"/>
      <c r="D19" s="13"/>
      <c r="E19" t="str">
        <f>+IFERROR(VLOOKUP(D19,キャラマスタ[],2,FALSE),"")</f>
        <v/>
      </c>
    </row>
    <row r="20" spans="1:5">
      <c r="A20" t="s">
        <v>1866</v>
      </c>
      <c r="B20" s="9"/>
      <c r="D20" s="13"/>
      <c r="E20" t="str">
        <f>+IFERROR(VLOOKUP(D20,キャラマスタ[],2,FALSE),"")</f>
        <v/>
      </c>
    </row>
    <row r="21" spans="1:5">
      <c r="A21" t="s">
        <v>1867</v>
      </c>
      <c r="B21" s="9"/>
      <c r="D21" s="13"/>
      <c r="E21" t="str">
        <f>+IFERROR(VLOOKUP(D21,キャラマスタ[],2,FALSE),"")</f>
        <v/>
      </c>
    </row>
  </sheetData>
  <phoneticPr fontId="1"/>
  <pageMargins left="0.7" right="0.7" top="0.75" bottom="0.75" header="0.3" footer="0.3"/>
  <pageSetup paperSize="9"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49F4D-FEF3-994E-BD8F-A5E248FCF4BF}">
  <sheetPr>
    <tabColor rgb="FFFFFF00"/>
  </sheetPr>
  <dimension ref="A1:F21"/>
  <sheetViews>
    <sheetView topLeftCell="A4" workbookViewId="0"/>
  </sheetViews>
  <sheetFormatPr baseColWidth="10" defaultColWidth="8.83203125" defaultRowHeight="18"/>
  <cols>
    <col min="2" max="2" width="21.1640625" bestFit="1" customWidth="1"/>
  </cols>
  <sheetData>
    <row r="1" spans="1:6">
      <c r="A1" t="s">
        <v>398</v>
      </c>
      <c r="B1" t="s">
        <v>177</v>
      </c>
      <c r="C1" t="s">
        <v>818</v>
      </c>
      <c r="D1" t="s">
        <v>178</v>
      </c>
      <c r="E1" t="s">
        <v>179</v>
      </c>
      <c r="F1" t="s">
        <v>180</v>
      </c>
    </row>
    <row r="2" spans="1:6">
      <c r="A2" t="s">
        <v>400</v>
      </c>
      <c r="B2" s="9" t="s">
        <v>581</v>
      </c>
      <c r="C2" t="s">
        <v>228</v>
      </c>
    </row>
    <row r="3" spans="1:6">
      <c r="A3" t="s">
        <v>582</v>
      </c>
      <c r="B3" s="9" t="s">
        <v>27</v>
      </c>
      <c r="C3" t="s">
        <v>815</v>
      </c>
    </row>
    <row r="4" spans="1:6">
      <c r="A4" t="s">
        <v>583</v>
      </c>
      <c r="B4" s="9" t="s">
        <v>43</v>
      </c>
      <c r="C4" t="s">
        <v>231</v>
      </c>
    </row>
    <row r="5" spans="1:6">
      <c r="A5" t="s">
        <v>584</v>
      </c>
      <c r="B5" s="9" t="s">
        <v>65</v>
      </c>
      <c r="C5" t="s">
        <v>816</v>
      </c>
    </row>
    <row r="6" spans="1:6">
      <c r="A6" t="s">
        <v>585</v>
      </c>
      <c r="B6" s="9" t="s">
        <v>540</v>
      </c>
      <c r="C6" t="s">
        <v>568</v>
      </c>
    </row>
    <row r="7" spans="1:6">
      <c r="A7" t="s">
        <v>586</v>
      </c>
      <c r="B7" t="s">
        <v>670</v>
      </c>
    </row>
    <row r="8" spans="1:6">
      <c r="A8" t="s">
        <v>587</v>
      </c>
      <c r="B8" t="s">
        <v>690</v>
      </c>
      <c r="C8" t="s">
        <v>817</v>
      </c>
    </row>
    <row r="9" spans="1:6">
      <c r="A9" t="s">
        <v>588</v>
      </c>
      <c r="B9" s="9" t="s">
        <v>891</v>
      </c>
    </row>
    <row r="10" spans="1:6">
      <c r="A10" t="s">
        <v>589</v>
      </c>
      <c r="B10" s="9" t="s">
        <v>917</v>
      </c>
      <c r="C10" t="s">
        <v>967</v>
      </c>
    </row>
    <row r="11" spans="1:6">
      <c r="A11" t="s">
        <v>590</v>
      </c>
      <c r="B11" t="s">
        <v>949</v>
      </c>
      <c r="C11" t="s">
        <v>967</v>
      </c>
    </row>
    <row r="12" spans="1:6">
      <c r="A12" t="s">
        <v>950</v>
      </c>
      <c r="B12" t="s">
        <v>929</v>
      </c>
      <c r="C12" t="s">
        <v>1107</v>
      </c>
    </row>
    <row r="13" spans="1:6">
      <c r="A13" t="s">
        <v>951</v>
      </c>
      <c r="B13" s="9" t="s">
        <v>1139</v>
      </c>
      <c r="C13" s="9" t="s">
        <v>1112</v>
      </c>
    </row>
    <row r="14" spans="1:6">
      <c r="A14" t="s">
        <v>952</v>
      </c>
      <c r="B14" t="s">
        <v>1297</v>
      </c>
    </row>
    <row r="15" spans="1:6">
      <c r="A15" t="s">
        <v>953</v>
      </c>
      <c r="B15" t="s">
        <v>1321</v>
      </c>
    </row>
    <row r="16" spans="1:6">
      <c r="A16" t="s">
        <v>954</v>
      </c>
      <c r="B16" s="9" t="s">
        <v>1893</v>
      </c>
      <c r="C16" s="9" t="s">
        <v>1892</v>
      </c>
    </row>
    <row r="17" spans="1:3">
      <c r="A17" t="s">
        <v>955</v>
      </c>
      <c r="B17" s="9" t="s">
        <v>1922</v>
      </c>
      <c r="C17" s="9" t="s">
        <v>1921</v>
      </c>
    </row>
    <row r="18" spans="1:3">
      <c r="A18" t="s">
        <v>2134</v>
      </c>
      <c r="B18" t="s">
        <v>2086</v>
      </c>
      <c r="C18" t="s">
        <v>2140</v>
      </c>
    </row>
    <row r="19" spans="1:3">
      <c r="A19" t="s">
        <v>2135</v>
      </c>
      <c r="B19" t="s">
        <v>2106</v>
      </c>
      <c r="C19" s="9"/>
    </row>
    <row r="20" spans="1:3">
      <c r="A20" t="s">
        <v>2136</v>
      </c>
      <c r="B20" t="s">
        <v>2122</v>
      </c>
      <c r="C20" t="s">
        <v>2139</v>
      </c>
    </row>
    <row r="21" spans="1:3">
      <c r="A21" t="s">
        <v>2137</v>
      </c>
      <c r="B21" s="9"/>
      <c r="C21" s="9"/>
    </row>
  </sheetData>
  <phoneticPr fontId="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F5DB7-D97E-42CD-9E70-002B51697A8A}">
  <sheetPr>
    <tabColor rgb="FFFFFF00"/>
  </sheetPr>
  <dimension ref="A1:I31"/>
  <sheetViews>
    <sheetView tabSelected="1" workbookViewId="0">
      <selection activeCell="H2" sqref="H2"/>
    </sheetView>
  </sheetViews>
  <sheetFormatPr baseColWidth="10" defaultColWidth="8.83203125" defaultRowHeight="18"/>
  <cols>
    <col min="1" max="1" width="9.1640625" customWidth="1"/>
    <col min="3" max="3" width="12.6640625" customWidth="1"/>
    <col min="5" max="5" width="15" bestFit="1" customWidth="1"/>
    <col min="7" max="7" width="11" customWidth="1"/>
  </cols>
  <sheetData>
    <row r="1" spans="1:9">
      <c r="A1" t="s">
        <v>401</v>
      </c>
      <c r="B1" t="s">
        <v>75</v>
      </c>
      <c r="C1" t="s">
        <v>155</v>
      </c>
      <c r="D1" t="s">
        <v>146</v>
      </c>
      <c r="E1" t="s">
        <v>76</v>
      </c>
      <c r="F1" t="s">
        <v>479</v>
      </c>
      <c r="G1" t="s">
        <v>445</v>
      </c>
      <c r="H1" t="s">
        <v>475</v>
      </c>
      <c r="I1" t="s">
        <v>476</v>
      </c>
    </row>
    <row r="2" spans="1:9">
      <c r="A2" t="s">
        <v>384</v>
      </c>
      <c r="B2" t="s">
        <v>18</v>
      </c>
      <c r="C2" t="s">
        <v>148</v>
      </c>
      <c r="D2" t="s">
        <v>151</v>
      </c>
      <c r="E2" t="s">
        <v>20</v>
      </c>
      <c r="F2" t="s">
        <v>20</v>
      </c>
      <c r="H2">
        <f>+テーブル13[[#This Row],[X座標]]</f>
        <v>682</v>
      </c>
      <c r="I2">
        <f>+テーブル13[[#This Row],[Y座標]]</f>
        <v>390.5</v>
      </c>
    </row>
    <row r="3" spans="1:9">
      <c r="A3" t="s">
        <v>386</v>
      </c>
      <c r="B3" t="s">
        <v>18</v>
      </c>
      <c r="C3" t="s">
        <v>148</v>
      </c>
      <c r="D3" t="s">
        <v>151</v>
      </c>
      <c r="E3" t="s">
        <v>404</v>
      </c>
      <c r="F3" t="s">
        <v>404</v>
      </c>
      <c r="H3">
        <f>+テーブル13[[#This Row],[X座標]]</f>
        <v>679.5</v>
      </c>
      <c r="I3">
        <f>+テーブル13[[#This Row],[Y座標]]</f>
        <v>380</v>
      </c>
    </row>
    <row r="4" spans="1:9">
      <c r="A4" t="s">
        <v>387</v>
      </c>
      <c r="B4" t="s">
        <v>18</v>
      </c>
      <c r="C4" t="s">
        <v>227</v>
      </c>
      <c r="D4" t="s">
        <v>385</v>
      </c>
      <c r="E4" t="s">
        <v>385</v>
      </c>
      <c r="F4" t="s">
        <v>227</v>
      </c>
      <c r="H4">
        <f>+テーブル13[[#This Row],[X座標]]</f>
        <v>632.49999999999989</v>
      </c>
      <c r="I4">
        <f>+テーブル13[[#This Row],[Y座標]]</f>
        <v>379.5</v>
      </c>
    </row>
    <row r="5" spans="1:9">
      <c r="A5" t="s">
        <v>388</v>
      </c>
      <c r="B5" t="s">
        <v>18</v>
      </c>
      <c r="C5" t="s">
        <v>156</v>
      </c>
      <c r="D5" t="s">
        <v>385</v>
      </c>
      <c r="E5" t="s">
        <v>78</v>
      </c>
      <c r="F5" t="s">
        <v>78</v>
      </c>
      <c r="H5">
        <f>+テーブル13[[#This Row],[X座標]]</f>
        <v>647.5</v>
      </c>
      <c r="I5">
        <f>+テーブル13[[#This Row],[Y座標]]</f>
        <v>425.5</v>
      </c>
    </row>
    <row r="6" spans="1:9">
      <c r="A6" t="s">
        <v>402</v>
      </c>
      <c r="B6" t="s">
        <v>18</v>
      </c>
      <c r="C6" t="s">
        <v>385</v>
      </c>
      <c r="D6" t="s">
        <v>385</v>
      </c>
      <c r="E6" t="s">
        <v>363</v>
      </c>
      <c r="F6" t="s">
        <v>71</v>
      </c>
      <c r="H6">
        <f>+テーブル13[[#This Row],[X座標]]</f>
        <v>694.5</v>
      </c>
      <c r="I6">
        <f>+テーブル13[[#This Row],[Y座標]]</f>
        <v>410.49999999999994</v>
      </c>
    </row>
    <row r="7" spans="1:9">
      <c r="A7" t="s">
        <v>403</v>
      </c>
      <c r="B7" t="s">
        <v>18</v>
      </c>
      <c r="C7" t="s">
        <v>406</v>
      </c>
      <c r="D7" t="s">
        <v>385</v>
      </c>
      <c r="E7" t="s">
        <v>407</v>
      </c>
      <c r="F7" t="s">
        <v>407</v>
      </c>
      <c r="H7">
        <f>+テーブル13[[#This Row],[X座標]]</f>
        <v>544.99999999999989</v>
      </c>
      <c r="I7">
        <f>+テーブル13[[#This Row],[Y座標]]</f>
        <v>342.5</v>
      </c>
    </row>
    <row r="8" spans="1:9">
      <c r="A8" t="s">
        <v>497</v>
      </c>
      <c r="B8" t="s">
        <v>498</v>
      </c>
      <c r="C8" t="s">
        <v>498</v>
      </c>
      <c r="D8" t="s">
        <v>498</v>
      </c>
      <c r="E8" t="s">
        <v>498</v>
      </c>
      <c r="F8" t="s">
        <v>498</v>
      </c>
      <c r="H8">
        <f>+テーブル13[[#This Row],[X座標]]</f>
        <v>71.000000000000085</v>
      </c>
      <c r="I8">
        <f>+テーブル13[[#This Row],[Y座標]]</f>
        <v>427.99999999999994</v>
      </c>
    </row>
    <row r="9" spans="1:9">
      <c r="A9" t="s">
        <v>512</v>
      </c>
      <c r="B9" t="s">
        <v>18</v>
      </c>
      <c r="C9" t="s">
        <v>156</v>
      </c>
      <c r="D9" t="s">
        <v>385</v>
      </c>
      <c r="E9" t="s">
        <v>513</v>
      </c>
      <c r="F9" t="s">
        <v>513</v>
      </c>
      <c r="H9">
        <f>+テーブル13[[#This Row],[X座標]]</f>
        <v>647.5</v>
      </c>
      <c r="I9">
        <f>+テーブル13[[#This Row],[Y座標]]</f>
        <v>406.99999999999994</v>
      </c>
    </row>
    <row r="10" spans="1:9">
      <c r="A10" t="s">
        <v>729</v>
      </c>
      <c r="B10" t="s">
        <v>18</v>
      </c>
      <c r="C10" t="s">
        <v>731</v>
      </c>
      <c r="D10" t="s">
        <v>385</v>
      </c>
      <c r="E10" t="s">
        <v>385</v>
      </c>
      <c r="F10" t="s">
        <v>731</v>
      </c>
      <c r="H10">
        <f>+テーブル13[[#This Row],[X座標]]</f>
        <v>487.00000000000011</v>
      </c>
      <c r="I10">
        <f>+テーブル13[[#This Row],[Y座標]]</f>
        <v>319.49999999999994</v>
      </c>
    </row>
    <row r="11" spans="1:9">
      <c r="A11" t="s">
        <v>730</v>
      </c>
      <c r="B11" t="s">
        <v>18</v>
      </c>
      <c r="C11" t="s">
        <v>732</v>
      </c>
      <c r="D11" t="s">
        <v>385</v>
      </c>
      <c r="E11" t="s">
        <v>49</v>
      </c>
      <c r="F11" t="s">
        <v>49</v>
      </c>
      <c r="H11">
        <f>+テーブル13[[#This Row],[X座標]]</f>
        <v>425</v>
      </c>
      <c r="I11">
        <f>+テーブル13[[#This Row],[Y座標]]</f>
        <v>280.99999999999994</v>
      </c>
    </row>
    <row r="12" spans="1:9">
      <c r="A12" t="s">
        <v>781</v>
      </c>
      <c r="B12" t="s">
        <v>18</v>
      </c>
      <c r="C12" t="s">
        <v>406</v>
      </c>
      <c r="D12" t="s">
        <v>385</v>
      </c>
      <c r="E12" t="s">
        <v>783</v>
      </c>
      <c r="F12" t="s">
        <v>783</v>
      </c>
      <c r="H12">
        <f>+テーブル13[[#This Row],[X座標]]</f>
        <v>566.50000000000011</v>
      </c>
      <c r="I12">
        <f>+テーブル13[[#This Row],[Y座標]]</f>
        <v>328.99999999999994</v>
      </c>
    </row>
    <row r="13" spans="1:9">
      <c r="A13" t="s">
        <v>782</v>
      </c>
      <c r="B13" t="s">
        <v>18</v>
      </c>
      <c r="C13" t="s">
        <v>732</v>
      </c>
      <c r="D13" t="s">
        <v>385</v>
      </c>
      <c r="E13" t="s">
        <v>811</v>
      </c>
      <c r="F13" t="s">
        <v>811</v>
      </c>
      <c r="H13">
        <f>+テーブル13[[#This Row],[X座標]]</f>
        <v>406.49999999999994</v>
      </c>
      <c r="I13">
        <f>+テーブル13[[#This Row],[Y座標]]</f>
        <v>263.5</v>
      </c>
    </row>
    <row r="14" spans="1:9">
      <c r="A14" t="s">
        <v>966</v>
      </c>
      <c r="B14" t="s">
        <v>18</v>
      </c>
      <c r="C14" t="s">
        <v>968</v>
      </c>
      <c r="D14" t="s">
        <v>385</v>
      </c>
      <c r="E14" t="s">
        <v>917</v>
      </c>
      <c r="F14" t="s">
        <v>917</v>
      </c>
      <c r="H14">
        <f>+テーブル13[[#This Row],[X座標]]</f>
        <v>377.50000000000006</v>
      </c>
      <c r="I14">
        <f>+テーブル13[[#This Row],[Y座標]]</f>
        <v>186.99999999999997</v>
      </c>
    </row>
    <row r="15" spans="1:9">
      <c r="A15" t="s">
        <v>1064</v>
      </c>
      <c r="B15" t="s">
        <v>18</v>
      </c>
      <c r="C15" t="s">
        <v>731</v>
      </c>
      <c r="D15" t="s">
        <v>385</v>
      </c>
      <c r="E15" t="s">
        <v>1174</v>
      </c>
      <c r="F15" t="s">
        <v>1174</v>
      </c>
      <c r="H15">
        <f>+テーブル13[[#This Row],[X座標]]</f>
        <v>499</v>
      </c>
      <c r="I15">
        <f>+テーブル13[[#This Row],[Y座標]]</f>
        <v>301.49999999999994</v>
      </c>
    </row>
    <row r="16" spans="1:9">
      <c r="A16" t="s">
        <v>1065</v>
      </c>
      <c r="B16" t="s">
        <v>18</v>
      </c>
      <c r="C16" t="s">
        <v>968</v>
      </c>
      <c r="D16" t="s">
        <v>385</v>
      </c>
      <c r="E16" t="s">
        <v>1188</v>
      </c>
      <c r="F16" t="s">
        <v>1188</v>
      </c>
      <c r="H16">
        <f>+テーブル13[[#This Row],[X座標]]</f>
        <v>451.50000000000006</v>
      </c>
      <c r="I16">
        <f>+テーブル13[[#This Row],[Y座標]]</f>
        <v>176.49999999999997</v>
      </c>
    </row>
    <row r="17" spans="1:9">
      <c r="A17" t="s">
        <v>1272</v>
      </c>
      <c r="B17" t="s">
        <v>18</v>
      </c>
      <c r="C17" t="s">
        <v>385</v>
      </c>
      <c r="D17" t="s">
        <v>385</v>
      </c>
      <c r="E17" t="s">
        <v>1277</v>
      </c>
      <c r="F17" t="s">
        <v>1277</v>
      </c>
      <c r="H17">
        <f>+テーブル13[[#This Row],[X座標]]</f>
        <v>563.00000000000011</v>
      </c>
      <c r="I17">
        <f>+テーブル13[[#This Row],[Y座標]]</f>
        <v>383.49999999999994</v>
      </c>
    </row>
    <row r="18" spans="1:9">
      <c r="A18" t="s">
        <v>1273</v>
      </c>
      <c r="B18" t="s">
        <v>18</v>
      </c>
      <c r="C18" t="s">
        <v>1345</v>
      </c>
      <c r="D18" t="s">
        <v>385</v>
      </c>
      <c r="E18" t="s">
        <v>94</v>
      </c>
      <c r="F18" t="s">
        <v>94</v>
      </c>
      <c r="H18">
        <f>+テーブル13[[#This Row],[X座標]]</f>
        <v>334.99999999999994</v>
      </c>
      <c r="I18">
        <f>+テーブル13[[#This Row],[Y座標]]</f>
        <v>351.99999999999994</v>
      </c>
    </row>
    <row r="19" spans="1:9">
      <c r="A19" t="s">
        <v>1274</v>
      </c>
      <c r="B19" t="s">
        <v>18</v>
      </c>
      <c r="C19" t="s">
        <v>1345</v>
      </c>
      <c r="D19" t="s">
        <v>385</v>
      </c>
      <c r="E19" t="s">
        <v>1346</v>
      </c>
      <c r="F19" t="s">
        <v>1346</v>
      </c>
      <c r="H19">
        <f>+テーブル13[[#This Row],[X座標]]</f>
        <v>325.50000000000006</v>
      </c>
      <c r="I19">
        <f>+テーブル13[[#This Row],[Y座標]]</f>
        <v>355.5</v>
      </c>
    </row>
    <row r="20" spans="1:9">
      <c r="A20" t="s">
        <v>1275</v>
      </c>
      <c r="B20" t="s">
        <v>18</v>
      </c>
      <c r="C20" t="s">
        <v>1345</v>
      </c>
      <c r="D20" t="s">
        <v>385</v>
      </c>
      <c r="E20" t="s">
        <v>1333</v>
      </c>
      <c r="F20" t="s">
        <v>1333</v>
      </c>
      <c r="H20">
        <f>+テーブル13[[#This Row],[X座標]]</f>
        <v>344.5</v>
      </c>
      <c r="I20">
        <f>+テーブル13[[#This Row],[Y座標]]</f>
        <v>349.49999999999994</v>
      </c>
    </row>
    <row r="21" spans="1:9">
      <c r="A21" t="s">
        <v>1276</v>
      </c>
      <c r="B21" t="s">
        <v>18</v>
      </c>
      <c r="C21" t="s">
        <v>1345</v>
      </c>
      <c r="D21" t="s">
        <v>385</v>
      </c>
      <c r="E21" t="s">
        <v>1516</v>
      </c>
      <c r="F21" t="s">
        <v>1516</v>
      </c>
      <c r="H21">
        <f>+テーブル13[[#This Row],[X座標]]</f>
        <v>355.00000000000006</v>
      </c>
      <c r="I21">
        <f>+テーブル13[[#This Row],[Y座標]]</f>
        <v>288.99999999999994</v>
      </c>
    </row>
    <row r="22" spans="1:9">
      <c r="A22" t="s">
        <v>1809</v>
      </c>
      <c r="B22" t="s">
        <v>18</v>
      </c>
      <c r="C22" t="s">
        <v>1814</v>
      </c>
      <c r="D22" t="s">
        <v>385</v>
      </c>
      <c r="E22" t="s">
        <v>1768</v>
      </c>
      <c r="F22" t="s">
        <v>1768</v>
      </c>
      <c r="H22">
        <f>+テーブル13[[#This Row],[X座標]]</f>
        <v>159.99999999999997</v>
      </c>
      <c r="I22">
        <f>+テーブル13[[#This Row],[Y座標]]</f>
        <v>102.99999999999999</v>
      </c>
    </row>
    <row r="23" spans="1:9">
      <c r="A23" t="s">
        <v>1810</v>
      </c>
      <c r="B23" t="s">
        <v>18</v>
      </c>
      <c r="C23" t="s">
        <v>385</v>
      </c>
      <c r="D23" t="s">
        <v>385</v>
      </c>
      <c r="E23" t="s">
        <v>1846</v>
      </c>
      <c r="F23" t="s">
        <v>1846</v>
      </c>
      <c r="H23">
        <f>+テーブル13[[#This Row],[X座標]]</f>
        <v>501</v>
      </c>
      <c r="I23">
        <f>+テーブル13[[#This Row],[Y座標]]</f>
        <v>33.999999999999986</v>
      </c>
    </row>
    <row r="24" spans="1:9">
      <c r="A24" t="s">
        <v>1811</v>
      </c>
      <c r="B24" t="s">
        <v>2008</v>
      </c>
      <c r="C24" t="s">
        <v>385</v>
      </c>
      <c r="D24" t="s">
        <v>385</v>
      </c>
      <c r="E24" t="s">
        <v>2009</v>
      </c>
      <c r="F24" t="s">
        <v>2009</v>
      </c>
      <c r="H24">
        <f>+テーブル13[[#This Row],[X座標]]</f>
        <v>118.99999999999994</v>
      </c>
      <c r="I24">
        <f>+テーブル13[[#This Row],[Y座標]]</f>
        <v>63.999999999999972</v>
      </c>
    </row>
    <row r="25" spans="1:9">
      <c r="A25" t="s">
        <v>1812</v>
      </c>
      <c r="B25" t="s">
        <v>2011</v>
      </c>
      <c r="C25" t="s">
        <v>2012</v>
      </c>
      <c r="D25" t="s">
        <v>385</v>
      </c>
      <c r="E25" t="s">
        <v>2012</v>
      </c>
      <c r="F25" t="s">
        <v>2012</v>
      </c>
      <c r="H25">
        <f>+テーブル13[[#This Row],[X座標]]</f>
        <v>0</v>
      </c>
      <c r="I25">
        <f>+テーブル13[[#This Row],[Y座標]]</f>
        <v>0</v>
      </c>
    </row>
    <row r="26" spans="1:9">
      <c r="A26" t="s">
        <v>1813</v>
      </c>
      <c r="B26" t="s">
        <v>1753</v>
      </c>
      <c r="C26" t="s">
        <v>385</v>
      </c>
      <c r="D26" t="s">
        <v>385</v>
      </c>
      <c r="E26" t="s">
        <v>2029</v>
      </c>
      <c r="F26" t="s">
        <v>2029</v>
      </c>
      <c r="H26">
        <f>+テーブル13[[#This Row],[X座標]]</f>
        <v>84.500000000000057</v>
      </c>
      <c r="I26">
        <f>+テーブル13[[#This Row],[Y座標]]</f>
        <v>-22.000000000000064</v>
      </c>
    </row>
    <row r="27" spans="1:9">
      <c r="A27" t="s">
        <v>2030</v>
      </c>
      <c r="B27" t="s">
        <v>1753</v>
      </c>
      <c r="C27" t="s">
        <v>385</v>
      </c>
      <c r="D27" t="s">
        <v>385</v>
      </c>
      <c r="E27" t="s">
        <v>2046</v>
      </c>
      <c r="F27" t="s">
        <v>2046</v>
      </c>
      <c r="H27">
        <f>+テーブル13[[#This Row],[X座標]]</f>
        <v>130.00000000000006</v>
      </c>
      <c r="I27">
        <f>+テーブル13[[#This Row],[Y座標]]</f>
        <v>-8.4999999999999964</v>
      </c>
    </row>
    <row r="28" spans="1:9">
      <c r="A28" t="s">
        <v>2031</v>
      </c>
      <c r="B28" t="s">
        <v>1753</v>
      </c>
      <c r="C28" t="s">
        <v>2155</v>
      </c>
      <c r="D28" t="s">
        <v>385</v>
      </c>
      <c r="E28" t="s">
        <v>2100</v>
      </c>
      <c r="F28" t="s">
        <v>2100</v>
      </c>
      <c r="H28">
        <f>+テーブル13[[#This Row],[X座標]]</f>
        <v>181.49999999999994</v>
      </c>
      <c r="I28">
        <f>+テーブル13[[#This Row],[Y座標]]</f>
        <v>1.9999999999999574</v>
      </c>
    </row>
    <row r="29" spans="1:9">
      <c r="A29" t="s">
        <v>2032</v>
      </c>
    </row>
    <row r="30" spans="1:9">
      <c r="A30" t="s">
        <v>2033</v>
      </c>
    </row>
    <row r="31" spans="1:9">
      <c r="A31" t="s">
        <v>2034</v>
      </c>
    </row>
  </sheetData>
  <phoneticPr fontId="1"/>
  <pageMargins left="0.7" right="0.7" top="0.75" bottom="0.75" header="0.3" footer="0.3"/>
  <pageSetup paperSize="9" orientation="portrait"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5DCAC-8E3C-5A40-9679-7F56F71748E1}">
  <sheetPr>
    <tabColor rgb="FFFFFF00"/>
  </sheetPr>
  <dimension ref="A1:K121"/>
  <sheetViews>
    <sheetView workbookViewId="0">
      <selection activeCell="D4" sqref="D4"/>
    </sheetView>
  </sheetViews>
  <sheetFormatPr baseColWidth="10" defaultColWidth="8.83203125" defaultRowHeight="18"/>
  <cols>
    <col min="2" max="2" width="25.5" bestFit="1" customWidth="1"/>
    <col min="3" max="3" width="11" customWidth="1"/>
    <col min="4" max="4" width="20.6640625" style="6" bestFit="1" customWidth="1"/>
    <col min="6" max="6" width="11" customWidth="1"/>
    <col min="7" max="9" width="10.83203125" customWidth="1"/>
    <col min="10" max="10" width="16.33203125" customWidth="1"/>
  </cols>
  <sheetData>
    <row r="1" spans="1:11">
      <c r="A1" t="s">
        <v>417</v>
      </c>
      <c r="B1" t="s">
        <v>166</v>
      </c>
      <c r="C1" t="s">
        <v>420</v>
      </c>
      <c r="D1" s="6" t="s">
        <v>165</v>
      </c>
      <c r="E1" t="s">
        <v>169</v>
      </c>
      <c r="F1" t="s">
        <v>421</v>
      </c>
      <c r="G1" t="s">
        <v>422</v>
      </c>
      <c r="H1" t="s">
        <v>423</v>
      </c>
      <c r="I1" t="s">
        <v>2180</v>
      </c>
      <c r="J1" t="s">
        <v>424</v>
      </c>
      <c r="K1" t="s">
        <v>2179</v>
      </c>
    </row>
    <row r="2" spans="1:11">
      <c r="A2" t="s">
        <v>419</v>
      </c>
      <c r="B2" t="s">
        <v>79</v>
      </c>
      <c r="C2" t="s">
        <v>288</v>
      </c>
      <c r="D2" s="6" t="str">
        <f>VLOOKUP(C2,キャラマスタ[],2,FALSE)</f>
        <v>モンキー・D・ルフィ</v>
      </c>
      <c r="E2" t="s">
        <v>430</v>
      </c>
      <c r="F2" t="s">
        <v>399</v>
      </c>
      <c r="G2">
        <v>1</v>
      </c>
      <c r="H2">
        <v>1</v>
      </c>
      <c r="I2">
        <v>1</v>
      </c>
      <c r="J2">
        <f>+SUMIF(技ログ!C:C,A2,技ログ!I:I)</f>
        <v>3</v>
      </c>
      <c r="K2">
        <f>+COUNTIF(技ログ!C:C,技マスタ[[#This Row],[技ID]])</f>
        <v>8</v>
      </c>
    </row>
    <row r="3" spans="1:11">
      <c r="A3" t="s">
        <v>428</v>
      </c>
      <c r="B3" t="s">
        <v>85</v>
      </c>
      <c r="C3" t="s">
        <v>288</v>
      </c>
      <c r="D3" s="6" t="str">
        <f>VLOOKUP(C3,キャラマスタ[],2,FALSE)</f>
        <v>モンキー・D・ルフィ</v>
      </c>
      <c r="E3" t="s">
        <v>431</v>
      </c>
      <c r="F3" t="s">
        <v>399</v>
      </c>
      <c r="G3">
        <v>1</v>
      </c>
      <c r="H3">
        <v>4</v>
      </c>
      <c r="I3">
        <v>1</v>
      </c>
      <c r="J3">
        <f>+SUMIF(技ログ!C:C,A3,技ログ!I:I)</f>
        <v>0</v>
      </c>
      <c r="K3">
        <f>+COUNTIF(技ログ!C:C,技マスタ[[#This Row],[技ID]])</f>
        <v>3</v>
      </c>
    </row>
    <row r="4" spans="1:11">
      <c r="A4" t="s">
        <v>429</v>
      </c>
      <c r="B4" t="s">
        <v>93</v>
      </c>
      <c r="C4" t="s">
        <v>288</v>
      </c>
      <c r="D4" s="6" t="str">
        <f>VLOOKUP(C4,キャラマスタ[],2,FALSE)</f>
        <v>モンキー・D・ルフィ</v>
      </c>
      <c r="E4" t="s">
        <v>430</v>
      </c>
      <c r="F4" t="s">
        <v>399</v>
      </c>
      <c r="G4">
        <v>1</v>
      </c>
      <c r="H4">
        <v>6</v>
      </c>
      <c r="I4">
        <v>1</v>
      </c>
      <c r="J4">
        <f>+SUMIF(技ログ!C:C,A4,技ログ!I:I)</f>
        <v>0</v>
      </c>
      <c r="K4">
        <f>+COUNTIF(技ログ!C:C,技マスタ[[#This Row],[技ID]])</f>
        <v>3</v>
      </c>
    </row>
    <row r="5" spans="1:11">
      <c r="A5" t="s">
        <v>610</v>
      </c>
      <c r="B5" t="s">
        <v>609</v>
      </c>
      <c r="C5" t="s">
        <v>570</v>
      </c>
      <c r="D5" s="6" t="str">
        <f>VLOOKUP(C5,キャラマスタ[],2,FALSE)</f>
        <v>バギー</v>
      </c>
      <c r="E5" t="s">
        <v>611</v>
      </c>
      <c r="F5" t="s">
        <v>612</v>
      </c>
      <c r="G5">
        <v>2</v>
      </c>
      <c r="H5">
        <v>10</v>
      </c>
      <c r="I5">
        <v>1</v>
      </c>
      <c r="J5">
        <f>+SUMIF(技ログ!C:C,A5,技ログ!I:I)</f>
        <v>0</v>
      </c>
      <c r="K5">
        <f>+COUNTIF(技ログ!C:C,技マスタ[[#This Row],[技ID]])</f>
        <v>3</v>
      </c>
    </row>
    <row r="6" spans="1:11">
      <c r="A6" t="s">
        <v>626</v>
      </c>
      <c r="B6" t="s">
        <v>613</v>
      </c>
      <c r="C6" t="s">
        <v>570</v>
      </c>
      <c r="D6" s="6" t="str">
        <f>VLOOKUP(C6,キャラマスタ[],2,FALSE)</f>
        <v>バギー</v>
      </c>
      <c r="E6" t="s">
        <v>616</v>
      </c>
      <c r="F6" t="s">
        <v>612</v>
      </c>
      <c r="G6">
        <v>2</v>
      </c>
      <c r="H6">
        <v>11</v>
      </c>
      <c r="I6">
        <v>1</v>
      </c>
      <c r="J6">
        <f>+SUMIF(技ログ!C:C,A6,技ログ!I:I)</f>
        <v>0</v>
      </c>
      <c r="K6">
        <f>+COUNTIF(技ログ!C:C,技マスタ[[#This Row],[技ID]])</f>
        <v>1</v>
      </c>
    </row>
    <row r="7" spans="1:11">
      <c r="A7" t="s">
        <v>627</v>
      </c>
      <c r="B7" t="s">
        <v>614</v>
      </c>
      <c r="C7" t="s">
        <v>288</v>
      </c>
      <c r="D7" s="6" t="str">
        <f>VLOOKUP(C7,キャラマスタ[],2,FALSE)</f>
        <v>モンキー・D・ルフィ</v>
      </c>
      <c r="E7" t="s">
        <v>430</v>
      </c>
      <c r="F7" t="s">
        <v>399</v>
      </c>
      <c r="G7">
        <v>2</v>
      </c>
      <c r="H7">
        <v>13</v>
      </c>
      <c r="I7">
        <v>1</v>
      </c>
      <c r="J7">
        <f>+SUMIF(技ログ!C:C,A7,技ログ!I:I)</f>
        <v>1</v>
      </c>
      <c r="K7">
        <f>+COUNTIF(技ログ!C:C,技マスタ[[#This Row],[技ID]])</f>
        <v>1</v>
      </c>
    </row>
    <row r="8" spans="1:11">
      <c r="A8" t="s">
        <v>628</v>
      </c>
      <c r="B8" t="s">
        <v>615</v>
      </c>
      <c r="C8" t="s">
        <v>288</v>
      </c>
      <c r="D8" s="6" t="str">
        <f>VLOOKUP(C8,キャラマスタ[],2,FALSE)</f>
        <v>モンキー・D・ルフィ</v>
      </c>
      <c r="E8" t="s">
        <v>616</v>
      </c>
      <c r="F8" t="s">
        <v>399</v>
      </c>
      <c r="G8">
        <v>2</v>
      </c>
      <c r="H8">
        <v>15</v>
      </c>
      <c r="I8">
        <v>1</v>
      </c>
      <c r="J8">
        <f>+SUMIF(技ログ!C:C,A8,技ログ!I:I)</f>
        <v>0</v>
      </c>
      <c r="K8">
        <f>+COUNTIF(技ログ!C:C,技マスタ[[#This Row],[技ID]])</f>
        <v>3</v>
      </c>
    </row>
    <row r="9" spans="1:11">
      <c r="A9" t="s">
        <v>629</v>
      </c>
      <c r="B9" t="s">
        <v>617</v>
      </c>
      <c r="C9" t="s">
        <v>580</v>
      </c>
      <c r="D9" s="6" t="str">
        <f>VLOOKUP(C9,キャラマスタ[],2,FALSE)</f>
        <v>カバジ</v>
      </c>
      <c r="E9" t="s">
        <v>616</v>
      </c>
      <c r="G9">
        <v>2</v>
      </c>
      <c r="H9">
        <v>16</v>
      </c>
      <c r="I9">
        <v>1</v>
      </c>
      <c r="J9">
        <f>+SUMIF(技ログ!C:C,A9,技ログ!I:I)</f>
        <v>0</v>
      </c>
      <c r="K9">
        <f>+COUNTIF(技ログ!C:C,技マスタ[[#This Row],[技ID]])</f>
        <v>1</v>
      </c>
    </row>
    <row r="10" spans="1:11">
      <c r="A10" t="s">
        <v>630</v>
      </c>
      <c r="B10" t="s">
        <v>618</v>
      </c>
      <c r="C10" t="s">
        <v>580</v>
      </c>
      <c r="D10" s="6" t="str">
        <f>VLOOKUP(C10,キャラマスタ[],2,FALSE)</f>
        <v>カバジ</v>
      </c>
      <c r="E10" t="s">
        <v>616</v>
      </c>
      <c r="G10">
        <v>2</v>
      </c>
      <c r="H10">
        <v>16</v>
      </c>
      <c r="I10">
        <v>1</v>
      </c>
      <c r="J10">
        <f>+SUMIF(技ログ!C:C,A10,技ログ!I:I)</f>
        <v>0</v>
      </c>
      <c r="K10">
        <f>+COUNTIF(技ログ!C:C,技マスタ[[#This Row],[技ID]])</f>
        <v>1</v>
      </c>
    </row>
    <row r="11" spans="1:11">
      <c r="A11" t="s">
        <v>631</v>
      </c>
      <c r="B11" t="s">
        <v>619</v>
      </c>
      <c r="C11" t="s">
        <v>580</v>
      </c>
      <c r="D11" s="6" t="str">
        <f>VLOOKUP(C11,キャラマスタ[],2,FALSE)</f>
        <v>カバジ</v>
      </c>
      <c r="E11" t="s">
        <v>616</v>
      </c>
      <c r="G11">
        <v>2</v>
      </c>
      <c r="H11">
        <v>17</v>
      </c>
      <c r="I11">
        <v>1</v>
      </c>
      <c r="J11">
        <f>+SUMIF(技ログ!C:C,A11,技ログ!I:I)</f>
        <v>0</v>
      </c>
      <c r="K11">
        <f>+COUNTIF(技ログ!C:C,技マスタ[[#This Row],[技ID]])</f>
        <v>1</v>
      </c>
    </row>
    <row r="12" spans="1:11">
      <c r="A12" t="s">
        <v>632</v>
      </c>
      <c r="B12" t="s">
        <v>620</v>
      </c>
      <c r="C12" t="s">
        <v>580</v>
      </c>
      <c r="D12" s="6" t="str">
        <f>VLOOKUP(C12,キャラマスタ[],2,FALSE)</f>
        <v>カバジ</v>
      </c>
      <c r="E12" t="s">
        <v>616</v>
      </c>
      <c r="G12">
        <v>2</v>
      </c>
      <c r="H12">
        <v>17</v>
      </c>
      <c r="I12">
        <v>1</v>
      </c>
      <c r="J12">
        <f>+SUMIF(技ログ!C:C,A12,技ログ!I:I)</f>
        <v>0</v>
      </c>
      <c r="K12">
        <f>+COUNTIF(技ログ!C:C,技マスタ[[#This Row],[技ID]])</f>
        <v>1</v>
      </c>
    </row>
    <row r="13" spans="1:11">
      <c r="A13" t="s">
        <v>633</v>
      </c>
      <c r="B13" t="s">
        <v>621</v>
      </c>
      <c r="C13" t="s">
        <v>580</v>
      </c>
      <c r="D13" s="6" t="str">
        <f>VLOOKUP(C13,キャラマスタ[],2,FALSE)</f>
        <v>カバジ</v>
      </c>
      <c r="E13" t="s">
        <v>616</v>
      </c>
      <c r="G13">
        <v>2</v>
      </c>
      <c r="H13">
        <v>17</v>
      </c>
      <c r="I13">
        <v>1</v>
      </c>
      <c r="J13">
        <f>+SUMIF(技ログ!C:C,A13,技ログ!I:I)</f>
        <v>0</v>
      </c>
      <c r="K13">
        <f>+COUNTIF(技ログ!C:C,技マスタ[[#This Row],[技ID]])</f>
        <v>1</v>
      </c>
    </row>
    <row r="14" spans="1:11">
      <c r="A14" t="s">
        <v>634</v>
      </c>
      <c r="B14" t="s">
        <v>622</v>
      </c>
      <c r="C14" t="s">
        <v>580</v>
      </c>
      <c r="D14" s="6" t="str">
        <f>VLOOKUP(C14,キャラマスタ[],2,FALSE)</f>
        <v>カバジ</v>
      </c>
      <c r="E14" t="s">
        <v>623</v>
      </c>
      <c r="G14">
        <v>2</v>
      </c>
      <c r="H14">
        <v>17</v>
      </c>
      <c r="I14">
        <v>1</v>
      </c>
      <c r="J14">
        <f>+SUMIF(技ログ!C:C,A14,技ログ!I:I)</f>
        <v>0</v>
      </c>
      <c r="K14">
        <f>+COUNTIF(技ログ!C:C,技マスタ[[#This Row],[技ID]])</f>
        <v>1</v>
      </c>
    </row>
    <row r="15" spans="1:11">
      <c r="A15" t="s">
        <v>635</v>
      </c>
      <c r="B15" t="s">
        <v>624</v>
      </c>
      <c r="C15" t="s">
        <v>570</v>
      </c>
      <c r="D15" s="6" t="str">
        <f>VLOOKUP(C15,キャラマスタ[],2,FALSE)</f>
        <v>バギー</v>
      </c>
      <c r="E15" t="s">
        <v>611</v>
      </c>
      <c r="F15" t="s">
        <v>612</v>
      </c>
      <c r="G15">
        <v>2</v>
      </c>
      <c r="H15">
        <v>17</v>
      </c>
      <c r="I15">
        <v>1</v>
      </c>
      <c r="J15">
        <f>+SUMIF(技ログ!C:C,A15,技ログ!I:I)</f>
        <v>0</v>
      </c>
      <c r="K15">
        <f>+COUNTIF(技ログ!C:C,技マスタ[[#This Row],[技ID]])</f>
        <v>1</v>
      </c>
    </row>
    <row r="16" spans="1:11">
      <c r="A16" t="s">
        <v>636</v>
      </c>
      <c r="B16" s="3" t="s">
        <v>625</v>
      </c>
      <c r="C16" t="s">
        <v>308</v>
      </c>
      <c r="D16" s="6" t="str">
        <f>VLOOKUP(C16,キャラマスタ[],2,FALSE)</f>
        <v>ロロノア・ゾロ</v>
      </c>
      <c r="E16" t="s">
        <v>623</v>
      </c>
      <c r="G16">
        <v>2</v>
      </c>
      <c r="H16">
        <v>17</v>
      </c>
      <c r="I16">
        <v>1</v>
      </c>
      <c r="J16">
        <f>+SUMIF(技ログ!C:C,A16,技ログ!I:I)</f>
        <v>1</v>
      </c>
      <c r="K16">
        <f>+COUNTIF(技ログ!C:C,技マスタ[[#This Row],[技ID]])</f>
        <v>4</v>
      </c>
    </row>
    <row r="17" spans="1:11">
      <c r="A17" t="s">
        <v>756</v>
      </c>
      <c r="B17" t="s">
        <v>761</v>
      </c>
      <c r="C17" t="s">
        <v>570</v>
      </c>
      <c r="D17" s="6" t="str">
        <f>VLOOKUP(C17,キャラマスタ[],2,FALSE)</f>
        <v>バギー</v>
      </c>
      <c r="E17" t="s">
        <v>623</v>
      </c>
      <c r="F17" t="s">
        <v>612</v>
      </c>
      <c r="G17">
        <v>3</v>
      </c>
      <c r="H17">
        <v>18</v>
      </c>
      <c r="I17">
        <v>1</v>
      </c>
      <c r="J17">
        <f>+SUMIF(技ログ!C:C,A17,技ログ!I:I)</f>
        <v>0</v>
      </c>
      <c r="K17">
        <f>+COUNTIF(技ログ!C:C,技マスタ[[#This Row],[技ID]])</f>
        <v>1</v>
      </c>
    </row>
    <row r="18" spans="1:11">
      <c r="A18" t="s">
        <v>757</v>
      </c>
      <c r="B18" t="s">
        <v>762</v>
      </c>
      <c r="C18" t="s">
        <v>570</v>
      </c>
      <c r="D18" s="6" t="str">
        <f>VLOOKUP(C18,キャラマスタ[],2,FALSE)</f>
        <v>バギー</v>
      </c>
      <c r="E18" t="s">
        <v>616</v>
      </c>
      <c r="F18" t="s">
        <v>612</v>
      </c>
      <c r="G18">
        <v>3</v>
      </c>
      <c r="H18">
        <v>18</v>
      </c>
      <c r="I18">
        <v>1</v>
      </c>
      <c r="J18">
        <f>+SUMIF(技ログ!C:C,A18,技ログ!I:I)</f>
        <v>0</v>
      </c>
      <c r="K18">
        <f>+COUNTIF(技ログ!C:C,技マスタ[[#This Row],[技ID]])</f>
        <v>2</v>
      </c>
    </row>
    <row r="19" spans="1:11">
      <c r="A19" t="s">
        <v>758</v>
      </c>
      <c r="B19" t="s">
        <v>764</v>
      </c>
      <c r="C19" t="s">
        <v>288</v>
      </c>
      <c r="D19" s="6" t="str">
        <f>VLOOKUP(C19,キャラマスタ[],2,FALSE)</f>
        <v>モンキー・D・ルフィ</v>
      </c>
      <c r="E19" t="s">
        <v>430</v>
      </c>
      <c r="F19" t="s">
        <v>399</v>
      </c>
      <c r="G19">
        <v>3</v>
      </c>
      <c r="H19">
        <v>18</v>
      </c>
      <c r="I19">
        <v>1</v>
      </c>
      <c r="J19">
        <f>+SUMIF(技ログ!C:C,A19,技ログ!I:I)</f>
        <v>0</v>
      </c>
      <c r="K19">
        <f>+COUNTIF(技ログ!C:C,技マスタ[[#This Row],[技ID]])</f>
        <v>1</v>
      </c>
    </row>
    <row r="20" spans="1:11">
      <c r="A20" t="s">
        <v>759</v>
      </c>
      <c r="B20" t="s">
        <v>763</v>
      </c>
      <c r="C20" t="s">
        <v>570</v>
      </c>
      <c r="D20" s="6" t="str">
        <f>VLOOKUP(C20,キャラマスタ[],2,FALSE)</f>
        <v>バギー</v>
      </c>
      <c r="E20" t="s">
        <v>623</v>
      </c>
      <c r="F20" t="s">
        <v>612</v>
      </c>
      <c r="G20">
        <v>3</v>
      </c>
      <c r="H20">
        <v>18</v>
      </c>
      <c r="I20">
        <v>1</v>
      </c>
      <c r="J20">
        <f>+SUMIF(技ログ!C:C,A20,技ログ!I:I)</f>
        <v>0</v>
      </c>
      <c r="K20">
        <f>+COUNTIF(技ログ!C:C,技マスタ[[#This Row],[技ID]])</f>
        <v>1</v>
      </c>
    </row>
    <row r="21" spans="1:11">
      <c r="A21" t="s">
        <v>760</v>
      </c>
      <c r="B21" t="s">
        <v>765</v>
      </c>
      <c r="C21" t="s">
        <v>570</v>
      </c>
      <c r="D21" s="6" t="str">
        <f>VLOOKUP(C21,キャラマスタ[],2,FALSE)</f>
        <v>バギー</v>
      </c>
      <c r="E21" t="s">
        <v>616</v>
      </c>
      <c r="F21" t="s">
        <v>612</v>
      </c>
      <c r="G21">
        <v>3</v>
      </c>
      <c r="H21">
        <v>20</v>
      </c>
      <c r="I21">
        <v>1</v>
      </c>
      <c r="J21">
        <f>+SUMIF(技ログ!C:C,A21,技ログ!I:I)</f>
        <v>0</v>
      </c>
      <c r="K21">
        <f>+COUNTIF(技ログ!C:C,技マスタ[[#This Row],[技ID]])</f>
        <v>2</v>
      </c>
    </row>
    <row r="22" spans="1:11">
      <c r="A22" t="s">
        <v>766</v>
      </c>
      <c r="B22" t="s">
        <v>768</v>
      </c>
      <c r="C22" t="s">
        <v>288</v>
      </c>
      <c r="D22" s="6" t="str">
        <f>VLOOKUP(C22,キャラマスタ[],2,FALSE)</f>
        <v>モンキー・D・ルフィ</v>
      </c>
      <c r="E22" t="s">
        <v>430</v>
      </c>
      <c r="F22" t="s">
        <v>399</v>
      </c>
      <c r="G22">
        <v>3</v>
      </c>
      <c r="H22">
        <v>20</v>
      </c>
      <c r="I22">
        <v>1</v>
      </c>
      <c r="J22">
        <f>+SUMIF(技ログ!C:C,A22,技ログ!I:I)</f>
        <v>1</v>
      </c>
      <c r="K22">
        <f>+COUNTIF(技ログ!C:C,技マスタ[[#This Row],[技ID]])</f>
        <v>5</v>
      </c>
    </row>
    <row r="23" spans="1:11">
      <c r="A23" t="s">
        <v>767</v>
      </c>
      <c r="B23" t="s">
        <v>769</v>
      </c>
      <c r="C23" t="s">
        <v>727</v>
      </c>
      <c r="D23" s="6" t="str">
        <f>VLOOKUP(C23,キャラマスタ[],2,FALSE)</f>
        <v>ジャンゴ</v>
      </c>
      <c r="E23" t="s">
        <v>616</v>
      </c>
      <c r="G23">
        <v>3</v>
      </c>
      <c r="H23">
        <v>25</v>
      </c>
      <c r="I23">
        <v>1</v>
      </c>
      <c r="J23">
        <f>+SUMIF(技ログ!C:C,A23,技ログ!I:I)</f>
        <v>0</v>
      </c>
      <c r="K23">
        <f>+COUNTIF(技ログ!C:C,技マスタ[[#This Row],[技ID]])</f>
        <v>6</v>
      </c>
    </row>
    <row r="24" spans="1:11">
      <c r="A24" t="s">
        <v>849</v>
      </c>
      <c r="B24" t="s">
        <v>855</v>
      </c>
      <c r="C24" t="s">
        <v>718</v>
      </c>
      <c r="D24" s="6" t="str">
        <f>VLOOKUP(C24,キャラマスタ[],2,FALSE)</f>
        <v>ウソップ</v>
      </c>
      <c r="E24" t="s">
        <v>616</v>
      </c>
      <c r="G24">
        <v>4</v>
      </c>
      <c r="H24">
        <v>29</v>
      </c>
      <c r="I24">
        <v>1</v>
      </c>
      <c r="J24">
        <f>+SUMIF(技ログ!C:C,A24,技ログ!I:I)</f>
        <v>0</v>
      </c>
      <c r="K24">
        <f>+COUNTIF(技ログ!C:C,技マスタ[[#This Row],[技ID]])</f>
        <v>2</v>
      </c>
    </row>
    <row r="25" spans="1:11">
      <c r="A25" t="s">
        <v>850</v>
      </c>
      <c r="B25" t="s">
        <v>865</v>
      </c>
      <c r="C25" t="s">
        <v>718</v>
      </c>
      <c r="D25" s="6" t="str">
        <f>VLOOKUP(C25,キャラマスタ[],2,FALSE)</f>
        <v>ウソップ</v>
      </c>
      <c r="E25" t="s">
        <v>856</v>
      </c>
      <c r="G25">
        <v>4</v>
      </c>
      <c r="H25">
        <v>29</v>
      </c>
      <c r="I25">
        <v>1</v>
      </c>
      <c r="J25">
        <f>+SUMIF(技ログ!C:C,A25,技ログ!I:I)</f>
        <v>0</v>
      </c>
      <c r="K25">
        <f>+COUNTIF(技ログ!C:C,技マスタ[[#This Row],[技ID]])</f>
        <v>4</v>
      </c>
    </row>
    <row r="26" spans="1:11">
      <c r="A26" t="s">
        <v>851</v>
      </c>
      <c r="B26" s="3" t="s">
        <v>857</v>
      </c>
      <c r="C26" t="s">
        <v>288</v>
      </c>
      <c r="D26" s="6" t="str">
        <f>VLOOKUP(C26,キャラマスタ[],2,FALSE)</f>
        <v>モンキー・D・ルフィ</v>
      </c>
      <c r="E26" t="s">
        <v>430</v>
      </c>
      <c r="F26" t="s">
        <v>399</v>
      </c>
      <c r="G26">
        <v>4</v>
      </c>
      <c r="H26">
        <v>30</v>
      </c>
      <c r="I26">
        <v>1</v>
      </c>
      <c r="J26">
        <f>+SUMIF(技ログ!C:C,A26,技ログ!I:I)</f>
        <v>0</v>
      </c>
      <c r="K26">
        <f>+COUNTIF(技ログ!C:C,技マスタ[[#This Row],[技ID]])</f>
        <v>3</v>
      </c>
    </row>
    <row r="27" spans="1:11">
      <c r="A27" t="s">
        <v>852</v>
      </c>
      <c r="B27" t="s">
        <v>858</v>
      </c>
      <c r="C27" t="s">
        <v>819</v>
      </c>
      <c r="D27" s="6" t="str">
        <f>VLOOKUP(C27,キャラマスタ[],2,FALSE)</f>
        <v>シャム</v>
      </c>
      <c r="E27" t="s">
        <v>616</v>
      </c>
      <c r="G27">
        <v>4</v>
      </c>
      <c r="H27">
        <v>32</v>
      </c>
      <c r="I27">
        <v>1</v>
      </c>
      <c r="J27">
        <f>+SUMIF(技ログ!C:C,A27,技ログ!I:I)</f>
        <v>0</v>
      </c>
      <c r="K27">
        <f>+COUNTIF(技ログ!C:C,技マスタ[[#This Row],[技ID]])</f>
        <v>1</v>
      </c>
    </row>
    <row r="28" spans="1:11">
      <c r="A28" t="s">
        <v>853</v>
      </c>
      <c r="B28" t="s">
        <v>859</v>
      </c>
      <c r="C28" t="s">
        <v>821</v>
      </c>
      <c r="D28" s="6" t="str">
        <f>VLOOKUP(C28,キャラマスタ[],2,FALSE)</f>
        <v>ブチ</v>
      </c>
      <c r="E28" t="s">
        <v>430</v>
      </c>
      <c r="G28">
        <v>4</v>
      </c>
      <c r="H28">
        <v>32</v>
      </c>
      <c r="I28">
        <v>1</v>
      </c>
      <c r="J28">
        <f>+SUMIF(技ログ!C:C,A28,技ログ!I:I)</f>
        <v>0</v>
      </c>
      <c r="K28">
        <f>+COUNTIF(技ログ!C:C,技マスタ[[#This Row],[技ID]])</f>
        <v>2</v>
      </c>
    </row>
    <row r="29" spans="1:11">
      <c r="A29" t="s">
        <v>854</v>
      </c>
      <c r="B29" t="s">
        <v>860</v>
      </c>
      <c r="C29" t="s">
        <v>819</v>
      </c>
      <c r="D29" s="6" t="str">
        <f>VLOOKUP(C29,キャラマスタ[],2,FALSE)</f>
        <v>シャム</v>
      </c>
      <c r="E29" t="s">
        <v>623</v>
      </c>
      <c r="G29">
        <v>4</v>
      </c>
      <c r="H29">
        <v>32</v>
      </c>
      <c r="I29">
        <v>1</v>
      </c>
      <c r="J29">
        <f>+SUMIF(技ログ!C:C,A29,技ログ!I:I)</f>
        <v>0</v>
      </c>
      <c r="K29">
        <f>+COUNTIF(技ログ!C:C,技マスタ[[#This Row],[技ID]])</f>
        <v>2</v>
      </c>
    </row>
    <row r="30" spans="1:11">
      <c r="A30" t="s">
        <v>861</v>
      </c>
      <c r="B30" t="s">
        <v>866</v>
      </c>
      <c r="C30" t="s">
        <v>723</v>
      </c>
      <c r="D30" s="6" t="str">
        <f>VLOOKUP(C30,キャラマスタ[],2,FALSE)</f>
        <v>クロ</v>
      </c>
      <c r="E30" t="s">
        <v>616</v>
      </c>
      <c r="G30">
        <v>4</v>
      </c>
      <c r="H30">
        <v>33</v>
      </c>
      <c r="I30">
        <v>1</v>
      </c>
      <c r="J30">
        <f>+SUMIF(技ログ!C:C,A30,技ログ!I:I)</f>
        <v>0</v>
      </c>
      <c r="K30">
        <f>+COUNTIF(技ログ!C:C,技マスタ[[#This Row],[技ID]])</f>
        <v>2</v>
      </c>
    </row>
    <row r="31" spans="1:11">
      <c r="A31" t="s">
        <v>862</v>
      </c>
      <c r="B31" t="s">
        <v>867</v>
      </c>
      <c r="C31" t="s">
        <v>308</v>
      </c>
      <c r="D31" s="6" t="str">
        <f>VLOOKUP(C31,キャラマスタ[],2,FALSE)</f>
        <v>ロロノア・ゾロ</v>
      </c>
      <c r="E31" t="s">
        <v>623</v>
      </c>
      <c r="G31">
        <v>4</v>
      </c>
      <c r="H31">
        <v>33</v>
      </c>
      <c r="I31">
        <v>1</v>
      </c>
      <c r="J31">
        <f>+SUMIF(技ログ!C:C,A31,技ログ!I:I)</f>
        <v>1</v>
      </c>
      <c r="K31">
        <f>+COUNTIF(技ログ!C:C,技マスタ[[#This Row],[技ID]])</f>
        <v>3</v>
      </c>
    </row>
    <row r="32" spans="1:11">
      <c r="A32" t="s">
        <v>863</v>
      </c>
      <c r="B32" t="s">
        <v>969</v>
      </c>
      <c r="C32" t="s">
        <v>288</v>
      </c>
      <c r="D32" s="6" t="str">
        <f>VLOOKUP(C32,キャラマスタ[],2,FALSE)</f>
        <v>モンキー・D・ルフィ</v>
      </c>
      <c r="E32" t="s">
        <v>430</v>
      </c>
      <c r="F32" t="s">
        <v>399</v>
      </c>
      <c r="G32">
        <v>5</v>
      </c>
      <c r="H32">
        <v>36</v>
      </c>
      <c r="I32">
        <v>1</v>
      </c>
      <c r="J32">
        <f>+SUMIF(技ログ!C:C,A32,技ログ!I:I)</f>
        <v>0</v>
      </c>
      <c r="K32">
        <f>+COUNTIF(技ログ!C:C,技マスタ[[#This Row],[技ID]])</f>
        <v>1</v>
      </c>
    </row>
    <row r="33" spans="1:11">
      <c r="A33" t="s">
        <v>864</v>
      </c>
      <c r="B33" t="s">
        <v>970</v>
      </c>
      <c r="C33" t="s">
        <v>722</v>
      </c>
      <c r="D33" s="6" t="str">
        <f>VLOOKUP(C33,キャラマスタ[],2,FALSE)</f>
        <v>たまねぎ</v>
      </c>
      <c r="E33" t="s">
        <v>616</v>
      </c>
      <c r="G33">
        <v>5</v>
      </c>
      <c r="H33">
        <v>38</v>
      </c>
      <c r="I33">
        <v>1</v>
      </c>
      <c r="J33">
        <f>+SUMIF(技ログ!C:C,A33,技ログ!I:I)</f>
        <v>0</v>
      </c>
      <c r="K33">
        <f>+COUNTIF(技ログ!C:C,技マスタ[[#This Row],[技ID]])</f>
        <v>1</v>
      </c>
    </row>
    <row r="34" spans="1:11">
      <c r="A34" t="s">
        <v>971</v>
      </c>
      <c r="B34" t="s">
        <v>978</v>
      </c>
      <c r="C34" t="s">
        <v>723</v>
      </c>
      <c r="D34" s="6" t="str">
        <f>VLOOKUP(C34,キャラマスタ[],2,FALSE)</f>
        <v>クロ</v>
      </c>
      <c r="E34" t="s">
        <v>623</v>
      </c>
      <c r="G34">
        <v>5</v>
      </c>
      <c r="H34">
        <v>38</v>
      </c>
      <c r="I34">
        <v>1</v>
      </c>
      <c r="J34">
        <f>+SUMIF(技ログ!C:C,A34,技ログ!I:I)</f>
        <v>0</v>
      </c>
      <c r="K34">
        <f>+COUNTIF(技ログ!C:C,技マスタ[[#This Row],[技ID]])</f>
        <v>1</v>
      </c>
    </row>
    <row r="35" spans="1:11">
      <c r="A35" t="s">
        <v>972</v>
      </c>
      <c r="B35" s="3" t="s">
        <v>979</v>
      </c>
      <c r="C35" t="s">
        <v>718</v>
      </c>
      <c r="D35" s="6" t="str">
        <f>VLOOKUP(C35,キャラマスタ[],2,FALSE)</f>
        <v>ウソップ</v>
      </c>
      <c r="E35" t="s">
        <v>611</v>
      </c>
      <c r="G35">
        <v>5</v>
      </c>
      <c r="H35">
        <v>39</v>
      </c>
      <c r="I35">
        <v>1</v>
      </c>
      <c r="J35">
        <f>+SUMIF(技ログ!C:C,A35,技ログ!I:I)</f>
        <v>1</v>
      </c>
      <c r="K35">
        <f>+COUNTIF(技ログ!C:C,技マスタ[[#This Row],[技ID]])</f>
        <v>2</v>
      </c>
    </row>
    <row r="36" spans="1:11">
      <c r="A36" t="s">
        <v>973</v>
      </c>
      <c r="B36" s="3" t="s">
        <v>980</v>
      </c>
      <c r="C36" t="s">
        <v>288</v>
      </c>
      <c r="D36" s="6" t="str">
        <f>VLOOKUP(C36,キャラマスタ[],2,FALSE)</f>
        <v>モンキー・D・ルフィ</v>
      </c>
      <c r="E36" t="s">
        <v>430</v>
      </c>
      <c r="F36" t="s">
        <v>399</v>
      </c>
      <c r="G36">
        <v>5</v>
      </c>
      <c r="H36">
        <v>39</v>
      </c>
      <c r="I36">
        <v>1</v>
      </c>
      <c r="J36">
        <f>+SUMIF(技ログ!C:C,A36,技ログ!I:I)</f>
        <v>1</v>
      </c>
      <c r="K36">
        <f>+COUNTIF(技ログ!C:C,技マスタ[[#This Row],[技ID]])</f>
        <v>2</v>
      </c>
    </row>
    <row r="37" spans="1:11">
      <c r="A37" t="s">
        <v>974</v>
      </c>
      <c r="B37" s="3" t="s">
        <v>981</v>
      </c>
      <c r="C37" t="s">
        <v>1086</v>
      </c>
      <c r="D37" s="6" t="str">
        <f>VLOOKUP(C37,キャラマスタ[],2,FALSE)</f>
        <v>ゼフ</v>
      </c>
      <c r="E37" t="s">
        <v>430</v>
      </c>
      <c r="G37">
        <v>5</v>
      </c>
      <c r="H37">
        <v>44</v>
      </c>
      <c r="I37">
        <v>1</v>
      </c>
      <c r="J37">
        <f>+SUMIF(技ログ!C:C,A37,技ログ!I:I)</f>
        <v>0</v>
      </c>
      <c r="K37">
        <f>+COUNTIF(技ログ!C:C,技マスタ[[#This Row],[技ID]])</f>
        <v>1</v>
      </c>
    </row>
    <row r="38" spans="1:11">
      <c r="A38" t="s">
        <v>975</v>
      </c>
      <c r="B38" s="3" t="s">
        <v>982</v>
      </c>
      <c r="C38" t="s">
        <v>1086</v>
      </c>
      <c r="D38" s="6" t="str">
        <f>VLOOKUP(C38,キャラマスタ[],2,FALSE)</f>
        <v>ゼフ</v>
      </c>
      <c r="E38" t="s">
        <v>430</v>
      </c>
      <c r="G38">
        <v>5</v>
      </c>
      <c r="H38">
        <v>44</v>
      </c>
      <c r="I38">
        <v>1</v>
      </c>
      <c r="J38">
        <f>+SUMIF(技ログ!C:C,A38,技ログ!I:I)</f>
        <v>0</v>
      </c>
      <c r="K38">
        <f>+COUNTIF(技ログ!C:C,技マスタ[[#This Row],[技ID]])</f>
        <v>1</v>
      </c>
    </row>
    <row r="39" spans="1:11">
      <c r="A39" t="s">
        <v>976</v>
      </c>
      <c r="B39" s="3" t="s">
        <v>1158</v>
      </c>
      <c r="C39" t="s">
        <v>945</v>
      </c>
      <c r="D39" s="6" t="str">
        <f>VLOOKUP(C39,キャラマスタ[],2,FALSE)</f>
        <v>パティ</v>
      </c>
      <c r="E39" t="s">
        <v>611</v>
      </c>
      <c r="G39">
        <v>6</v>
      </c>
      <c r="H39">
        <v>47</v>
      </c>
      <c r="I39">
        <v>1</v>
      </c>
      <c r="J39">
        <f>+SUMIF(技ログ!C:C,A39,技ログ!I:I)</f>
        <v>0</v>
      </c>
      <c r="K39">
        <f>+COUNTIF(技ログ!C:C,技マスタ[[#This Row],[技ID]])</f>
        <v>1</v>
      </c>
    </row>
    <row r="40" spans="1:11">
      <c r="A40" t="s">
        <v>977</v>
      </c>
      <c r="B40" s="3" t="s">
        <v>1159</v>
      </c>
      <c r="C40" t="s">
        <v>308</v>
      </c>
      <c r="D40" s="6" t="str">
        <f>VLOOKUP(C40,キャラマスタ[],2,FALSE)</f>
        <v>ロロノア・ゾロ</v>
      </c>
      <c r="E40" t="s">
        <v>623</v>
      </c>
      <c r="G40">
        <v>6</v>
      </c>
      <c r="H40">
        <v>51</v>
      </c>
      <c r="I40">
        <v>1</v>
      </c>
      <c r="J40">
        <f>+SUMIF(技ログ!C:C,A40,技ログ!I:I)</f>
        <v>0</v>
      </c>
      <c r="K40">
        <f>+COUNTIF(技ログ!C:C,技マスタ[[#This Row],[技ID]])</f>
        <v>1</v>
      </c>
    </row>
    <row r="41" spans="1:11">
      <c r="A41" t="s">
        <v>1160</v>
      </c>
      <c r="B41" s="3" t="s">
        <v>1166</v>
      </c>
      <c r="C41" t="s">
        <v>288</v>
      </c>
      <c r="D41" s="6" t="str">
        <f>VLOOKUP(C41,キャラマスタ[],2,FALSE)</f>
        <v>モンキー・D・ルフィ</v>
      </c>
      <c r="E41" t="s">
        <v>430</v>
      </c>
      <c r="F41" t="s">
        <v>399</v>
      </c>
      <c r="G41">
        <v>6</v>
      </c>
      <c r="H41">
        <v>53</v>
      </c>
      <c r="I41">
        <v>1</v>
      </c>
      <c r="J41">
        <f>+SUMIF(技ログ!C:C,A41,技ログ!I:I)</f>
        <v>0</v>
      </c>
      <c r="K41">
        <f>+COUNTIF(技ログ!C:C,技マスタ[[#This Row],[技ID]])</f>
        <v>1</v>
      </c>
    </row>
    <row r="42" spans="1:11">
      <c r="A42" t="s">
        <v>1161</v>
      </c>
      <c r="B42" s="3" t="s">
        <v>1256</v>
      </c>
      <c r="C42" t="s">
        <v>1236</v>
      </c>
      <c r="D42" s="6" t="str">
        <f>VLOOKUP(C42,キャラマスタ[],2,FALSE)</f>
        <v>パール</v>
      </c>
      <c r="E42" t="s">
        <v>430</v>
      </c>
      <c r="G42">
        <v>7</v>
      </c>
      <c r="H42">
        <v>55</v>
      </c>
      <c r="I42">
        <v>1</v>
      </c>
      <c r="J42">
        <f>+SUMIF(技ログ!C:C,A42,技ログ!I:I)</f>
        <v>0</v>
      </c>
      <c r="K42">
        <f>+COUNTIF(技ログ!C:C,技マスタ[[#This Row],[技ID]])</f>
        <v>1</v>
      </c>
    </row>
    <row r="43" spans="1:11">
      <c r="A43" t="s">
        <v>1162</v>
      </c>
      <c r="B43" s="3" t="s">
        <v>1257</v>
      </c>
      <c r="C43" t="s">
        <v>1236</v>
      </c>
      <c r="D43" s="6" t="str">
        <f>VLOOKUP(C43,キャラマスタ[],2,FALSE)</f>
        <v>パール</v>
      </c>
      <c r="E43" t="s">
        <v>430</v>
      </c>
      <c r="G43">
        <v>7</v>
      </c>
      <c r="H43">
        <v>55</v>
      </c>
      <c r="I43">
        <v>1</v>
      </c>
      <c r="J43">
        <f>+SUMIF(技ログ!C:C,A43,技ログ!I:I)</f>
        <v>0</v>
      </c>
      <c r="K43">
        <f>+COUNTIF(技ログ!C:C,技マスタ[[#This Row],[技ID]])</f>
        <v>1</v>
      </c>
    </row>
    <row r="44" spans="1:11">
      <c r="A44" t="s">
        <v>1163</v>
      </c>
      <c r="B44" s="3" t="s">
        <v>1258</v>
      </c>
      <c r="C44" t="s">
        <v>1236</v>
      </c>
      <c r="D44" s="6" t="str">
        <f>VLOOKUP(C44,キャラマスタ[],2,FALSE)</f>
        <v>パール</v>
      </c>
      <c r="E44" t="s">
        <v>430</v>
      </c>
      <c r="G44">
        <v>7</v>
      </c>
      <c r="H44">
        <v>56</v>
      </c>
      <c r="I44">
        <v>1</v>
      </c>
      <c r="J44">
        <f>+SUMIF(技ログ!C:C,A44,技ログ!I:I)</f>
        <v>0</v>
      </c>
      <c r="K44">
        <f>+COUNTIF(技ログ!C:C,技マスタ[[#This Row],[技ID]])</f>
        <v>1</v>
      </c>
    </row>
    <row r="45" spans="1:11">
      <c r="A45" t="s">
        <v>1164</v>
      </c>
      <c r="B45" s="3" t="s">
        <v>1259</v>
      </c>
      <c r="C45" t="s">
        <v>1236</v>
      </c>
      <c r="D45" s="6" t="str">
        <f>VLOOKUP(C45,キャラマスタ[],2,FALSE)</f>
        <v>パール</v>
      </c>
      <c r="E45" t="s">
        <v>430</v>
      </c>
      <c r="G45">
        <v>7</v>
      </c>
      <c r="H45">
        <v>56</v>
      </c>
      <c r="I45">
        <v>1</v>
      </c>
      <c r="J45">
        <f>+SUMIF(技ログ!C:C,A45,技ログ!I:I)</f>
        <v>0</v>
      </c>
      <c r="K45">
        <f>+COUNTIF(技ログ!C:C,技マスタ[[#This Row],[技ID]])</f>
        <v>1</v>
      </c>
    </row>
    <row r="46" spans="1:11">
      <c r="A46" t="s">
        <v>1165</v>
      </c>
      <c r="B46" s="3" t="s">
        <v>1260</v>
      </c>
      <c r="C46" t="s">
        <v>1236</v>
      </c>
      <c r="D46" s="6" t="str">
        <f>VLOOKUP(C46,キャラマスタ[],2,FALSE)</f>
        <v>パール</v>
      </c>
      <c r="E46" t="s">
        <v>430</v>
      </c>
      <c r="G46">
        <v>7</v>
      </c>
      <c r="H46">
        <v>56</v>
      </c>
      <c r="I46">
        <v>1</v>
      </c>
      <c r="J46">
        <f>+SUMIF(技ログ!C:C,A46,技ログ!I:I)</f>
        <v>0</v>
      </c>
      <c r="K46">
        <f>+COUNTIF(技ログ!C:C,技マスタ[[#This Row],[技ID]])</f>
        <v>1</v>
      </c>
    </row>
    <row r="47" spans="1:11">
      <c r="A47" t="s">
        <v>1261</v>
      </c>
      <c r="B47" s="3" t="s">
        <v>1266</v>
      </c>
      <c r="C47" t="s">
        <v>1236</v>
      </c>
      <c r="D47" s="6" t="str">
        <f>VLOOKUP(C47,キャラマスタ[],2,FALSE)</f>
        <v>パール</v>
      </c>
      <c r="E47" t="s">
        <v>430</v>
      </c>
      <c r="G47">
        <v>7</v>
      </c>
      <c r="H47">
        <v>59</v>
      </c>
      <c r="I47">
        <v>1</v>
      </c>
      <c r="J47">
        <f>+SUMIF(技ログ!C:C,A47,技ログ!I:I)</f>
        <v>0</v>
      </c>
      <c r="K47">
        <f>+COUNTIF(技ログ!C:C,技マスタ[[#This Row],[技ID]])</f>
        <v>1</v>
      </c>
    </row>
    <row r="48" spans="1:11">
      <c r="A48" t="s">
        <v>1262</v>
      </c>
      <c r="B48" s="3" t="s">
        <v>1267</v>
      </c>
      <c r="C48" t="s">
        <v>288</v>
      </c>
      <c r="D48" s="6" t="str">
        <f>VLOOKUP(C48,キャラマスタ[],2,FALSE)</f>
        <v>モンキー・D・ルフィ</v>
      </c>
      <c r="E48" t="s">
        <v>430</v>
      </c>
      <c r="F48" t="s">
        <v>399</v>
      </c>
      <c r="G48">
        <v>7</v>
      </c>
      <c r="H48">
        <v>59</v>
      </c>
      <c r="I48">
        <v>1</v>
      </c>
      <c r="J48">
        <f>+SUMIF(技ログ!C:C,A48,技ログ!I:I)</f>
        <v>1</v>
      </c>
      <c r="K48">
        <f>+COUNTIF(技ログ!C:C,技マスタ[[#This Row],[技ID]])</f>
        <v>2</v>
      </c>
    </row>
    <row r="49" spans="1:11">
      <c r="A49" t="s">
        <v>1263</v>
      </c>
      <c r="B49" s="3" t="s">
        <v>1268</v>
      </c>
      <c r="C49" t="s">
        <v>1099</v>
      </c>
      <c r="D49" s="6" t="str">
        <f>VLOOKUP(C49,キャラマスタ[],2,FALSE)</f>
        <v>クリーク</v>
      </c>
      <c r="E49" t="s">
        <v>623</v>
      </c>
      <c r="G49">
        <v>7</v>
      </c>
      <c r="H49">
        <v>60</v>
      </c>
      <c r="I49">
        <v>1</v>
      </c>
      <c r="J49">
        <f>+SUMIF(技ログ!C:C,A49,技ログ!I:I)</f>
        <v>0</v>
      </c>
      <c r="K49">
        <f>+COUNTIF(技ログ!C:C,技マスタ[[#This Row],[技ID]])</f>
        <v>1</v>
      </c>
    </row>
    <row r="50" spans="1:11">
      <c r="A50" t="s">
        <v>1264</v>
      </c>
      <c r="B50" s="3" t="s">
        <v>1269</v>
      </c>
      <c r="C50" t="s">
        <v>1099</v>
      </c>
      <c r="D50" s="6" t="str">
        <f>VLOOKUP(C50,キャラマスタ[],2,FALSE)</f>
        <v>クリーク</v>
      </c>
      <c r="E50" t="s">
        <v>611</v>
      </c>
      <c r="G50">
        <v>7</v>
      </c>
      <c r="H50">
        <v>62</v>
      </c>
      <c r="I50">
        <v>1</v>
      </c>
      <c r="J50">
        <f>+SUMIF(技ログ!C:C,A50,技ログ!I:I)</f>
        <v>0</v>
      </c>
      <c r="K50">
        <f>+COUNTIF(技ログ!C:C,技マスタ[[#This Row],[技ID]])</f>
        <v>1</v>
      </c>
    </row>
    <row r="51" spans="1:11">
      <c r="A51" t="s">
        <v>1265</v>
      </c>
      <c r="B51" s="3" t="s">
        <v>1357</v>
      </c>
      <c r="C51" t="s">
        <v>1099</v>
      </c>
      <c r="D51" s="6" t="str">
        <f>VLOOKUP(C51,キャラマスタ[],2,FALSE)</f>
        <v>クリーク</v>
      </c>
      <c r="E51" t="s">
        <v>623</v>
      </c>
      <c r="G51">
        <v>8</v>
      </c>
      <c r="H51">
        <v>63</v>
      </c>
      <c r="I51">
        <v>1</v>
      </c>
      <c r="J51">
        <f>+SUMIF(技ログ!C:C,A51,技ログ!I:I)</f>
        <v>0</v>
      </c>
      <c r="K51">
        <f>+COUNTIF(技ログ!C:C,技マスタ[[#This Row],[技ID]])</f>
        <v>1</v>
      </c>
    </row>
    <row r="52" spans="1:11">
      <c r="A52" t="s">
        <v>1347</v>
      </c>
      <c r="B52" t="s">
        <v>1358</v>
      </c>
      <c r="C52" t="s">
        <v>288</v>
      </c>
      <c r="D52" s="6" t="str">
        <f>VLOOKUP(C52,キャラマスタ[],2,FALSE)</f>
        <v>モンキー・D・ルフィ</v>
      </c>
      <c r="E52" t="s">
        <v>430</v>
      </c>
      <c r="F52" t="s">
        <v>399</v>
      </c>
      <c r="G52">
        <v>8</v>
      </c>
      <c r="H52">
        <v>63</v>
      </c>
      <c r="I52">
        <v>1</v>
      </c>
      <c r="J52">
        <f>+SUMIF(技ログ!C:C,A52,技ログ!I:I)</f>
        <v>0</v>
      </c>
      <c r="K52">
        <f>+COUNTIF(技ログ!C:C,技マスタ[[#This Row],[技ID]])</f>
        <v>3</v>
      </c>
    </row>
    <row r="53" spans="1:11">
      <c r="A53" t="s">
        <v>1348</v>
      </c>
      <c r="B53" t="s">
        <v>1359</v>
      </c>
      <c r="C53" t="s">
        <v>1099</v>
      </c>
      <c r="D53" s="6" t="str">
        <f>VLOOKUP(C53,キャラマスタ[],2,FALSE)</f>
        <v>クリーク</v>
      </c>
      <c r="E53" t="s">
        <v>623</v>
      </c>
      <c r="G53">
        <v>8</v>
      </c>
      <c r="H53">
        <v>64</v>
      </c>
      <c r="I53">
        <v>1</v>
      </c>
      <c r="J53">
        <f>+SUMIF(技ログ!C:C,A53,技ログ!I:I)</f>
        <v>0</v>
      </c>
      <c r="K53">
        <f>+COUNTIF(技ログ!C:C,技マスタ[[#This Row],[技ID]])</f>
        <v>1</v>
      </c>
    </row>
    <row r="54" spans="1:11">
      <c r="A54" t="s">
        <v>1349</v>
      </c>
      <c r="B54" t="s">
        <v>1360</v>
      </c>
      <c r="C54" t="s">
        <v>288</v>
      </c>
      <c r="D54" s="6" t="str">
        <f>VLOOKUP(C54,キャラマスタ[],2,FALSE)</f>
        <v>モンキー・D・ルフィ</v>
      </c>
      <c r="E54" t="s">
        <v>430</v>
      </c>
      <c r="F54" t="s">
        <v>399</v>
      </c>
      <c r="G54">
        <v>8</v>
      </c>
      <c r="H54">
        <v>66</v>
      </c>
      <c r="I54">
        <v>1</v>
      </c>
      <c r="J54">
        <f>+SUMIF(技ログ!C:C,A54,技ログ!I:I)</f>
        <v>1</v>
      </c>
      <c r="K54">
        <f>+COUNTIF(技ログ!C:C,技マスタ[[#This Row],[技ID]])</f>
        <v>1</v>
      </c>
    </row>
    <row r="55" spans="1:11">
      <c r="A55" t="s">
        <v>1350</v>
      </c>
      <c r="B55" s="3" t="s">
        <v>1501</v>
      </c>
      <c r="C55" t="s">
        <v>718</v>
      </c>
      <c r="D55" s="6" t="str">
        <f>VLOOKUP(C55,キャラマスタ[],2,FALSE)</f>
        <v>ウソップ</v>
      </c>
      <c r="E55" t="s">
        <v>611</v>
      </c>
      <c r="G55">
        <v>9</v>
      </c>
      <c r="H55">
        <v>72</v>
      </c>
      <c r="I55">
        <v>1</v>
      </c>
      <c r="J55">
        <f>+SUMIF(技ログ!C:C,A55,技ログ!I:I)</f>
        <v>0</v>
      </c>
      <c r="K55">
        <f>+COUNTIF(技ログ!C:C,技マスタ[[#This Row],[技ID]])</f>
        <v>2</v>
      </c>
    </row>
    <row r="56" spans="1:11">
      <c r="A56" t="s">
        <v>1351</v>
      </c>
      <c r="B56" s="3" t="s">
        <v>1502</v>
      </c>
      <c r="C56" t="s">
        <v>942</v>
      </c>
      <c r="D56" s="6" t="str">
        <f>VLOOKUP(C56,キャラマスタ[],2,FALSE)</f>
        <v>サンジ</v>
      </c>
      <c r="E56" t="s">
        <v>430</v>
      </c>
      <c r="G56">
        <v>9</v>
      </c>
      <c r="H56">
        <v>73</v>
      </c>
      <c r="I56">
        <v>1</v>
      </c>
      <c r="J56">
        <f>+SUMIF(技ログ!C:C,A56,技ログ!I:I)</f>
        <v>1</v>
      </c>
      <c r="K56">
        <f>+COUNTIF(技ログ!C:C,技マスタ[[#This Row],[技ID]])</f>
        <v>1</v>
      </c>
    </row>
    <row r="57" spans="1:11">
      <c r="A57" t="s">
        <v>1352</v>
      </c>
      <c r="B57" s="3" t="s">
        <v>1503</v>
      </c>
      <c r="C57" t="s">
        <v>718</v>
      </c>
      <c r="D57" s="6" t="str">
        <f>VLOOKUP(C57,キャラマスタ[],2,FALSE)</f>
        <v>ウソップ</v>
      </c>
      <c r="E57" t="s">
        <v>611</v>
      </c>
      <c r="G57">
        <v>9</v>
      </c>
      <c r="H57">
        <v>74</v>
      </c>
      <c r="I57">
        <v>1</v>
      </c>
      <c r="J57">
        <f>+SUMIF(技ログ!C:C,A57,技ログ!I:I)</f>
        <v>0</v>
      </c>
      <c r="K57">
        <f>+COUNTIF(技ログ!C:C,技マスタ[[#This Row],[技ID]])</f>
        <v>1</v>
      </c>
    </row>
    <row r="58" spans="1:11">
      <c r="A58" t="s">
        <v>1353</v>
      </c>
      <c r="B58" s="3" t="s">
        <v>1504</v>
      </c>
      <c r="C58" t="s">
        <v>1454</v>
      </c>
      <c r="D58" s="6" t="str">
        <f>VLOOKUP(C58,キャラマスタ[],2,FALSE)</f>
        <v>チュウ</v>
      </c>
      <c r="E58" t="s">
        <v>611</v>
      </c>
      <c r="G58">
        <v>9</v>
      </c>
      <c r="H58">
        <v>75</v>
      </c>
      <c r="I58">
        <v>1</v>
      </c>
      <c r="J58">
        <f>+SUMIF(技ログ!C:C,A58,技ログ!I:I)</f>
        <v>0</v>
      </c>
      <c r="K58">
        <f>+COUNTIF(技ログ!C:C,技マスタ[[#This Row],[技ID]])</f>
        <v>2</v>
      </c>
    </row>
    <row r="59" spans="1:11">
      <c r="A59" t="s">
        <v>1354</v>
      </c>
      <c r="B59" s="3" t="s">
        <v>1669</v>
      </c>
      <c r="C59" t="s">
        <v>288</v>
      </c>
      <c r="D59" s="6" t="str">
        <f>VLOOKUP(C59,キャラマスタ[],2,FALSE)</f>
        <v>モンキー・D・ルフィ</v>
      </c>
      <c r="E59" t="s">
        <v>430</v>
      </c>
      <c r="F59" t="s">
        <v>399</v>
      </c>
      <c r="G59">
        <v>10</v>
      </c>
      <c r="H59">
        <v>82</v>
      </c>
      <c r="I59">
        <v>1</v>
      </c>
      <c r="J59">
        <f>+SUMIF(技ログ!C:C,A59,技ログ!I:I)</f>
        <v>1</v>
      </c>
      <c r="K59">
        <f>+COUNTIF(技ログ!C:C,技マスタ[[#This Row],[技ID]])</f>
        <v>1</v>
      </c>
    </row>
    <row r="60" spans="1:11">
      <c r="A60" t="s">
        <v>1355</v>
      </c>
      <c r="B60" s="3" t="s">
        <v>1670</v>
      </c>
      <c r="C60" t="s">
        <v>1311</v>
      </c>
      <c r="D60" s="6" t="str">
        <f>VLOOKUP(C60,キャラマスタ[],2,FALSE)</f>
        <v>はっちゃん</v>
      </c>
      <c r="E60" t="s">
        <v>611</v>
      </c>
      <c r="G60">
        <v>10</v>
      </c>
      <c r="H60">
        <v>83</v>
      </c>
      <c r="I60">
        <v>1</v>
      </c>
      <c r="J60">
        <f>+SUMIF(技ログ!C:C,A60,技ログ!I:I)</f>
        <v>0</v>
      </c>
      <c r="K60">
        <f>+COUNTIF(技ログ!C:C,技マスタ[[#This Row],[技ID]])</f>
        <v>2</v>
      </c>
    </row>
    <row r="61" spans="1:11">
      <c r="A61" t="s">
        <v>1356</v>
      </c>
      <c r="B61" s="3" t="s">
        <v>1718</v>
      </c>
      <c r="C61" t="s">
        <v>1311</v>
      </c>
      <c r="D61" s="6" t="str">
        <f>VLOOKUP(C61,キャラマスタ[],2,FALSE)</f>
        <v>はっちゃん</v>
      </c>
      <c r="E61" t="s">
        <v>611</v>
      </c>
      <c r="G61">
        <v>10</v>
      </c>
      <c r="H61">
        <v>83</v>
      </c>
      <c r="I61">
        <v>1</v>
      </c>
      <c r="J61">
        <f>+SUMIF(技ログ!C:C,A61,技ログ!I:I)</f>
        <v>0</v>
      </c>
      <c r="K61">
        <f>+COUNTIF(技ログ!C:C,技マスタ[[#This Row],[技ID]])</f>
        <v>1</v>
      </c>
    </row>
    <row r="62" spans="1:11">
      <c r="A62" t="s">
        <v>1659</v>
      </c>
      <c r="B62" s="3" t="s">
        <v>1719</v>
      </c>
      <c r="C62" t="s">
        <v>718</v>
      </c>
      <c r="D62" s="6" t="str">
        <f>VLOOKUP(C62,キャラマスタ[],2,FALSE)</f>
        <v>ウソップ</v>
      </c>
      <c r="E62" t="s">
        <v>611</v>
      </c>
      <c r="G62">
        <v>10</v>
      </c>
      <c r="H62">
        <v>83</v>
      </c>
      <c r="I62">
        <v>1</v>
      </c>
      <c r="J62">
        <f>+SUMIF(技ログ!C:C,A62,技ログ!I:I)</f>
        <v>0</v>
      </c>
      <c r="K62">
        <f>+COUNTIF(技ログ!C:C,技マスタ[[#This Row],[技ID]])</f>
        <v>2</v>
      </c>
    </row>
    <row r="63" spans="1:11">
      <c r="A63" t="s">
        <v>1660</v>
      </c>
      <c r="B63" s="3" t="s">
        <v>1671</v>
      </c>
      <c r="C63" t="s">
        <v>1311</v>
      </c>
      <c r="D63" s="6" t="str">
        <f>VLOOKUP(C63,キャラマスタ[],2,FALSE)</f>
        <v>はっちゃん</v>
      </c>
      <c r="E63" t="s">
        <v>616</v>
      </c>
      <c r="G63">
        <v>10</v>
      </c>
      <c r="H63">
        <v>84</v>
      </c>
      <c r="I63">
        <v>1</v>
      </c>
      <c r="J63">
        <f>+SUMIF(技ログ!C:C,A63,技ログ!I:I)</f>
        <v>0</v>
      </c>
      <c r="K63">
        <f>+COUNTIF(技ログ!C:C,技マスタ[[#This Row],[技ID]])</f>
        <v>1</v>
      </c>
    </row>
    <row r="64" spans="1:11">
      <c r="A64" t="s">
        <v>1661</v>
      </c>
      <c r="B64" s="3" t="s">
        <v>1720</v>
      </c>
      <c r="C64" t="s">
        <v>1311</v>
      </c>
      <c r="D64" s="6" t="str">
        <f>VLOOKUP(C64,キャラマスタ[],2,FALSE)</f>
        <v>はっちゃん</v>
      </c>
      <c r="E64" t="s">
        <v>616</v>
      </c>
      <c r="G64">
        <v>10</v>
      </c>
      <c r="H64">
        <v>84</v>
      </c>
      <c r="I64">
        <v>1</v>
      </c>
      <c r="J64">
        <f>+SUMIF(技ログ!C:C,A64,技ログ!I:I)</f>
        <v>0</v>
      </c>
      <c r="K64">
        <f>+COUNTIF(技ログ!C:C,技マスタ[[#This Row],[技ID]])</f>
        <v>1</v>
      </c>
    </row>
    <row r="65" spans="1:11">
      <c r="A65" t="s">
        <v>1662</v>
      </c>
      <c r="B65" s="3" t="s">
        <v>1672</v>
      </c>
      <c r="C65" t="s">
        <v>1311</v>
      </c>
      <c r="D65" s="6" t="str">
        <f>VLOOKUP(C65,キャラマスタ[],2,FALSE)</f>
        <v>はっちゃん</v>
      </c>
      <c r="E65" t="s">
        <v>430</v>
      </c>
      <c r="G65">
        <v>10</v>
      </c>
      <c r="H65">
        <v>84</v>
      </c>
      <c r="I65">
        <v>1</v>
      </c>
      <c r="J65">
        <f>+SUMIF(技ログ!C:C,A65,技ログ!I:I)</f>
        <v>0</v>
      </c>
      <c r="K65">
        <f>+COUNTIF(技ログ!C:C,技マスタ[[#This Row],[技ID]])</f>
        <v>2</v>
      </c>
    </row>
    <row r="66" spans="1:11">
      <c r="A66" t="s">
        <v>1663</v>
      </c>
      <c r="B66" s="3" t="s">
        <v>1721</v>
      </c>
      <c r="C66" t="s">
        <v>1311</v>
      </c>
      <c r="D66" s="6" t="str">
        <f>VLOOKUP(C66,キャラマスタ[],2,FALSE)</f>
        <v>はっちゃん</v>
      </c>
      <c r="E66" t="s">
        <v>623</v>
      </c>
      <c r="G66">
        <v>10</v>
      </c>
      <c r="H66">
        <v>85</v>
      </c>
      <c r="I66">
        <v>1</v>
      </c>
      <c r="J66">
        <f>+SUMIF(技ログ!C:C,A66,技ログ!I:I)</f>
        <v>0</v>
      </c>
      <c r="K66">
        <f>+COUNTIF(技ログ!C:C,技マスタ[[#This Row],[技ID]])</f>
        <v>1</v>
      </c>
    </row>
    <row r="67" spans="1:11">
      <c r="A67" t="s">
        <v>1664</v>
      </c>
      <c r="B67" s="3" t="s">
        <v>1722</v>
      </c>
      <c r="C67" t="s">
        <v>308</v>
      </c>
      <c r="D67" s="6" t="str">
        <f>VLOOKUP(C67,キャラマスタ[],2,FALSE)</f>
        <v>ロロノア・ゾロ</v>
      </c>
      <c r="E67" t="s">
        <v>623</v>
      </c>
      <c r="G67">
        <v>10</v>
      </c>
      <c r="H67">
        <v>85</v>
      </c>
      <c r="I67">
        <v>1</v>
      </c>
      <c r="J67">
        <f>+SUMIF(技ログ!C:C,A67,技ログ!I:I)</f>
        <v>0</v>
      </c>
      <c r="K67">
        <f>+COUNTIF(技ログ!C:C,技マスタ[[#This Row],[技ID]])</f>
        <v>1</v>
      </c>
    </row>
    <row r="68" spans="1:11">
      <c r="A68" t="s">
        <v>1665</v>
      </c>
      <c r="B68" s="3" t="s">
        <v>1723</v>
      </c>
      <c r="C68" t="s">
        <v>1311</v>
      </c>
      <c r="D68" s="6" t="str">
        <f>VLOOKUP(C68,キャラマスタ[],2,FALSE)</f>
        <v>はっちゃん</v>
      </c>
      <c r="E68" t="s">
        <v>623</v>
      </c>
      <c r="G68">
        <v>10</v>
      </c>
      <c r="H68">
        <v>85</v>
      </c>
      <c r="I68">
        <v>1</v>
      </c>
      <c r="J68">
        <f>+SUMIF(技ログ!C:C,A68,技ログ!I:I)</f>
        <v>0</v>
      </c>
      <c r="K68">
        <f>+COUNTIF(技ログ!C:C,技マスタ[[#This Row],[技ID]])</f>
        <v>1</v>
      </c>
    </row>
    <row r="69" spans="1:11">
      <c r="A69" t="s">
        <v>1666</v>
      </c>
      <c r="B69" s="3" t="s">
        <v>1724</v>
      </c>
      <c r="C69" t="s">
        <v>1311</v>
      </c>
      <c r="D69" s="6" t="str">
        <f>VLOOKUP(C69,キャラマスタ[],2,FALSE)</f>
        <v>はっちゃん</v>
      </c>
      <c r="E69" t="s">
        <v>623</v>
      </c>
      <c r="G69">
        <v>10</v>
      </c>
      <c r="H69">
        <v>85</v>
      </c>
      <c r="I69">
        <v>1</v>
      </c>
      <c r="J69">
        <f>+SUMIF(技ログ!C:C,A69,技ログ!I:I)</f>
        <v>0</v>
      </c>
      <c r="K69">
        <f>+COUNTIF(技ログ!C:C,技マスタ[[#This Row],[技ID]])</f>
        <v>1</v>
      </c>
    </row>
    <row r="70" spans="1:11">
      <c r="A70" t="s">
        <v>1667</v>
      </c>
      <c r="B70" s="3" t="s">
        <v>1673</v>
      </c>
      <c r="C70" t="s">
        <v>308</v>
      </c>
      <c r="D70" s="6" t="str">
        <f>VLOOKUP(C70,キャラマスタ[],2,FALSE)</f>
        <v>ロロノア・ゾロ</v>
      </c>
      <c r="E70" t="s">
        <v>623</v>
      </c>
      <c r="G70">
        <v>10</v>
      </c>
      <c r="H70">
        <v>85</v>
      </c>
      <c r="I70">
        <v>1</v>
      </c>
      <c r="J70">
        <f>+SUMIF(技ログ!C:C,A70,技ログ!I:I)</f>
        <v>1</v>
      </c>
      <c r="K70">
        <f>+COUNTIF(技ログ!C:C,技マスタ[[#This Row],[技ID]])</f>
        <v>1</v>
      </c>
    </row>
    <row r="71" spans="1:11">
      <c r="A71" t="s">
        <v>1668</v>
      </c>
      <c r="B71" s="3" t="s">
        <v>1727</v>
      </c>
      <c r="C71" t="s">
        <v>1455</v>
      </c>
      <c r="D71" s="6" t="str">
        <f>VLOOKUP(C71,キャラマスタ[],2,FALSE)</f>
        <v>クロオビ</v>
      </c>
      <c r="E71" t="s">
        <v>430</v>
      </c>
      <c r="G71">
        <v>10</v>
      </c>
      <c r="H71">
        <v>86</v>
      </c>
      <c r="I71">
        <v>1</v>
      </c>
      <c r="J71">
        <f>+SUMIF(技ログ!C:C,A71,技ログ!I:I)</f>
        <v>0</v>
      </c>
      <c r="K71">
        <f>+COUNTIF(技ログ!C:C,技マスタ[[#This Row],[技ID]])</f>
        <v>1</v>
      </c>
    </row>
    <row r="72" spans="1:11">
      <c r="A72" t="s">
        <v>1674</v>
      </c>
      <c r="B72" s="3" t="s">
        <v>1728</v>
      </c>
      <c r="C72" t="s">
        <v>1455</v>
      </c>
      <c r="D72" s="6" t="str">
        <f>VLOOKUP(C72,キャラマスタ[],2,FALSE)</f>
        <v>クロオビ</v>
      </c>
      <c r="E72" t="s">
        <v>430</v>
      </c>
      <c r="G72">
        <v>10</v>
      </c>
      <c r="H72">
        <v>86</v>
      </c>
      <c r="I72">
        <v>1</v>
      </c>
      <c r="J72">
        <f>+SUMIF(技ログ!C:C,A72,技ログ!I:I)</f>
        <v>0</v>
      </c>
      <c r="K72">
        <f>+COUNTIF(技ログ!C:C,技マスタ[[#This Row],[技ID]])</f>
        <v>1</v>
      </c>
    </row>
    <row r="73" spans="1:11">
      <c r="A73" t="s">
        <v>1675</v>
      </c>
      <c r="B73" s="3" t="s">
        <v>1725</v>
      </c>
      <c r="C73" t="s">
        <v>1455</v>
      </c>
      <c r="D73" s="6" t="str">
        <f>VLOOKUP(C73,キャラマスタ[],2,FALSE)</f>
        <v>クロオビ</v>
      </c>
      <c r="E73" t="s">
        <v>430</v>
      </c>
      <c r="G73">
        <v>10</v>
      </c>
      <c r="H73">
        <v>86</v>
      </c>
      <c r="I73">
        <v>1</v>
      </c>
      <c r="J73">
        <f>+SUMIF(技ログ!C:C,A73,技ログ!I:I)</f>
        <v>0</v>
      </c>
      <c r="K73">
        <f>+COUNTIF(技ログ!C:C,技マスタ[[#This Row],[技ID]])</f>
        <v>1</v>
      </c>
    </row>
    <row r="74" spans="1:11">
      <c r="A74" t="s">
        <v>1676</v>
      </c>
      <c r="B74" s="3" t="s">
        <v>1730</v>
      </c>
      <c r="C74" t="s">
        <v>1455</v>
      </c>
      <c r="D74" s="6" t="str">
        <f>VLOOKUP(C74,キャラマスタ[],2,FALSE)</f>
        <v>クロオビ</v>
      </c>
      <c r="E74" t="s">
        <v>430</v>
      </c>
      <c r="G74">
        <v>10</v>
      </c>
      <c r="H74">
        <v>86</v>
      </c>
      <c r="I74">
        <v>1</v>
      </c>
      <c r="J74">
        <f>+SUMIF(技ログ!C:C,A74,技ログ!I:I)</f>
        <v>0</v>
      </c>
      <c r="K74">
        <f>+COUNTIF(技ログ!C:C,技マスタ[[#This Row],[技ID]])</f>
        <v>1</v>
      </c>
    </row>
    <row r="75" spans="1:11">
      <c r="A75" t="s">
        <v>1677</v>
      </c>
      <c r="B75" s="3" t="s">
        <v>1731</v>
      </c>
      <c r="C75" t="s">
        <v>1455</v>
      </c>
      <c r="D75" s="6" t="str">
        <f>VLOOKUP(C75,キャラマスタ[],2,FALSE)</f>
        <v>クロオビ</v>
      </c>
      <c r="E75" t="s">
        <v>430</v>
      </c>
      <c r="G75">
        <v>10</v>
      </c>
      <c r="H75">
        <v>86</v>
      </c>
      <c r="I75">
        <v>1</v>
      </c>
      <c r="J75">
        <f>+SUMIF(技ログ!C:C,A75,技ログ!I:I)</f>
        <v>0</v>
      </c>
      <c r="K75">
        <f>+COUNTIF(技ログ!C:C,技マスタ[[#This Row],[技ID]])</f>
        <v>1</v>
      </c>
    </row>
    <row r="76" spans="1:11">
      <c r="A76" t="s">
        <v>1678</v>
      </c>
      <c r="B76" s="3" t="s">
        <v>1732</v>
      </c>
      <c r="C76" t="s">
        <v>1455</v>
      </c>
      <c r="D76" s="6" t="str">
        <f>VLOOKUP(C76,キャラマスタ[],2,FALSE)</f>
        <v>クロオビ</v>
      </c>
      <c r="E76" t="s">
        <v>430</v>
      </c>
      <c r="G76">
        <v>10</v>
      </c>
      <c r="H76">
        <v>86</v>
      </c>
      <c r="I76">
        <v>1</v>
      </c>
      <c r="J76">
        <f>+SUMIF(技ログ!C:C,A76,技ログ!I:I)</f>
        <v>0</v>
      </c>
      <c r="K76">
        <f>+COUNTIF(技ログ!C:C,技マスタ[[#This Row],[技ID]])</f>
        <v>1</v>
      </c>
    </row>
    <row r="77" spans="1:11">
      <c r="A77" t="s">
        <v>1679</v>
      </c>
      <c r="B77" s="3" t="s">
        <v>1729</v>
      </c>
      <c r="C77" t="s">
        <v>1455</v>
      </c>
      <c r="D77" s="6" t="str">
        <f>VLOOKUP(C77,キャラマスタ[],2,FALSE)</f>
        <v>クロオビ</v>
      </c>
      <c r="E77" t="s">
        <v>430</v>
      </c>
      <c r="G77">
        <v>10</v>
      </c>
      <c r="H77">
        <v>86</v>
      </c>
      <c r="I77">
        <v>1</v>
      </c>
      <c r="J77">
        <f>+SUMIF(技ログ!C:C,A77,技ログ!I:I)</f>
        <v>0</v>
      </c>
      <c r="K77">
        <f>+COUNTIF(技ログ!C:C,技マスタ[[#This Row],[技ID]])</f>
        <v>1</v>
      </c>
    </row>
    <row r="78" spans="1:11">
      <c r="A78" t="s">
        <v>1680</v>
      </c>
      <c r="B78" s="3" t="s">
        <v>1705</v>
      </c>
      <c r="C78" t="s">
        <v>942</v>
      </c>
      <c r="D78" s="6" t="str">
        <f>VLOOKUP(C78,キャラマスタ[],2,FALSE)</f>
        <v>サンジ</v>
      </c>
      <c r="E78" t="s">
        <v>430</v>
      </c>
      <c r="G78">
        <v>10</v>
      </c>
      <c r="H78">
        <v>86</v>
      </c>
      <c r="I78">
        <v>1</v>
      </c>
      <c r="J78">
        <f>+SUMIF(技ログ!C:C,A78,技ログ!I:I)</f>
        <v>0</v>
      </c>
      <c r="K78">
        <f>+COUNTIF(技ログ!C:C,技マスタ[[#This Row],[技ID]])</f>
        <v>1</v>
      </c>
    </row>
    <row r="79" spans="1:11">
      <c r="A79" t="s">
        <v>1681</v>
      </c>
      <c r="B79" s="3" t="s">
        <v>1706</v>
      </c>
      <c r="C79" t="s">
        <v>942</v>
      </c>
      <c r="D79" s="6" t="str">
        <f>VLOOKUP(C79,キャラマスタ[],2,FALSE)</f>
        <v>サンジ</v>
      </c>
      <c r="E79" t="s">
        <v>430</v>
      </c>
      <c r="G79">
        <v>10</v>
      </c>
      <c r="H79">
        <v>86</v>
      </c>
      <c r="I79">
        <v>1</v>
      </c>
      <c r="J79">
        <f>+SUMIF(技ログ!C:C,A79,技ログ!I:I)</f>
        <v>0</v>
      </c>
      <c r="K79">
        <f>+COUNTIF(技ログ!C:C,技マスタ[[#This Row],[技ID]])</f>
        <v>1</v>
      </c>
    </row>
    <row r="80" spans="1:11">
      <c r="A80" t="s">
        <v>1682</v>
      </c>
      <c r="B80" s="3" t="s">
        <v>1707</v>
      </c>
      <c r="C80" t="s">
        <v>942</v>
      </c>
      <c r="D80" s="6" t="str">
        <f>VLOOKUP(C80,キャラマスタ[],2,FALSE)</f>
        <v>サンジ</v>
      </c>
      <c r="E80" t="s">
        <v>430</v>
      </c>
      <c r="G80">
        <v>10</v>
      </c>
      <c r="H80">
        <v>86</v>
      </c>
      <c r="I80">
        <v>1</v>
      </c>
      <c r="J80">
        <f>+SUMIF(技ログ!C:C,A80,技ログ!I:I)</f>
        <v>0</v>
      </c>
      <c r="K80">
        <f>+COUNTIF(技ログ!C:C,技マスタ[[#This Row],[技ID]])</f>
        <v>1</v>
      </c>
    </row>
    <row r="81" spans="1:11">
      <c r="A81" t="s">
        <v>1683</v>
      </c>
      <c r="B81" s="3" t="s">
        <v>1708</v>
      </c>
      <c r="C81" t="s">
        <v>942</v>
      </c>
      <c r="D81" s="6" t="str">
        <f>VLOOKUP(C81,キャラマスタ[],2,FALSE)</f>
        <v>サンジ</v>
      </c>
      <c r="E81" t="s">
        <v>430</v>
      </c>
      <c r="G81">
        <v>10</v>
      </c>
      <c r="H81">
        <v>86</v>
      </c>
      <c r="I81">
        <v>1</v>
      </c>
      <c r="J81">
        <f>+SUMIF(技ログ!C:C,A81,技ログ!I:I)</f>
        <v>0</v>
      </c>
      <c r="K81">
        <f>+COUNTIF(技ログ!C:C,技マスタ[[#This Row],[技ID]])</f>
        <v>1</v>
      </c>
    </row>
    <row r="82" spans="1:11">
      <c r="A82" t="s">
        <v>1685</v>
      </c>
      <c r="B82" s="3" t="s">
        <v>1709</v>
      </c>
      <c r="C82" t="s">
        <v>942</v>
      </c>
      <c r="D82" s="6" t="str">
        <f>VLOOKUP(C82,キャラマスタ[],2,FALSE)</f>
        <v>サンジ</v>
      </c>
      <c r="E82" t="s">
        <v>430</v>
      </c>
      <c r="G82">
        <v>10</v>
      </c>
      <c r="H82">
        <v>86</v>
      </c>
      <c r="I82">
        <v>1</v>
      </c>
      <c r="J82">
        <f>+SUMIF(技ログ!C:C,A82,技ログ!I:I)</f>
        <v>0</v>
      </c>
      <c r="K82">
        <f>+COUNTIF(技ログ!C:C,技マスタ[[#This Row],[技ID]])</f>
        <v>1</v>
      </c>
    </row>
    <row r="83" spans="1:11">
      <c r="A83" t="s">
        <v>1686</v>
      </c>
      <c r="B83" s="3" t="s">
        <v>1710</v>
      </c>
      <c r="C83" t="s">
        <v>942</v>
      </c>
      <c r="D83" s="6" t="str">
        <f>VLOOKUP(C83,キャラマスタ[],2,FALSE)</f>
        <v>サンジ</v>
      </c>
      <c r="E83" t="s">
        <v>430</v>
      </c>
      <c r="G83">
        <v>10</v>
      </c>
      <c r="H83">
        <v>86</v>
      </c>
      <c r="I83">
        <v>1</v>
      </c>
      <c r="J83">
        <f>+SUMIF(技ログ!C:C,A83,技ログ!I:I)</f>
        <v>0</v>
      </c>
      <c r="K83">
        <f>+COUNTIF(技ログ!C:C,技マスタ[[#This Row],[技ID]])</f>
        <v>1</v>
      </c>
    </row>
    <row r="84" spans="1:11">
      <c r="A84" t="s">
        <v>1687</v>
      </c>
      <c r="B84" s="3" t="s">
        <v>1684</v>
      </c>
      <c r="C84" t="s">
        <v>942</v>
      </c>
      <c r="D84" s="6" t="str">
        <f>VLOOKUP(C84,キャラマスタ[],2,FALSE)</f>
        <v>サンジ</v>
      </c>
      <c r="E84" t="s">
        <v>430</v>
      </c>
      <c r="G84">
        <v>10</v>
      </c>
      <c r="H84">
        <v>86</v>
      </c>
      <c r="I84">
        <v>1</v>
      </c>
      <c r="J84">
        <f>+SUMIF(技ログ!C:C,A84,技ログ!I:I)</f>
        <v>1</v>
      </c>
      <c r="K84">
        <f>+COUNTIF(技ログ!C:C,技マスタ[[#This Row],[技ID]])</f>
        <v>1</v>
      </c>
    </row>
    <row r="85" spans="1:11">
      <c r="A85" t="s">
        <v>1688</v>
      </c>
      <c r="B85" s="3" t="s">
        <v>1733</v>
      </c>
      <c r="C85" t="s">
        <v>1455</v>
      </c>
      <c r="D85" s="6" t="str">
        <f>VLOOKUP(C85,キャラマスタ[],2,FALSE)</f>
        <v>クロオビ</v>
      </c>
      <c r="E85" t="s">
        <v>430</v>
      </c>
      <c r="G85">
        <v>10</v>
      </c>
      <c r="H85">
        <v>86</v>
      </c>
      <c r="I85">
        <v>1</v>
      </c>
      <c r="J85">
        <f>+SUMIF(技ログ!C:C,A85,技ログ!I:I)</f>
        <v>0</v>
      </c>
      <c r="K85">
        <f>+COUNTIF(技ログ!C:C,技マスタ[[#This Row],[技ID]])</f>
        <v>1</v>
      </c>
    </row>
    <row r="86" spans="1:11">
      <c r="A86" t="s">
        <v>1689</v>
      </c>
      <c r="B86" t="s">
        <v>1726</v>
      </c>
      <c r="C86" t="s">
        <v>718</v>
      </c>
      <c r="D86" s="6" t="str">
        <f>VLOOKUP(C86,キャラマスタ[],2,FALSE)</f>
        <v>ウソップ</v>
      </c>
      <c r="E86" t="s">
        <v>611</v>
      </c>
      <c r="G86">
        <v>10</v>
      </c>
      <c r="H86">
        <v>87</v>
      </c>
      <c r="I86">
        <v>1</v>
      </c>
      <c r="J86">
        <f>+SUMIF(技ログ!C:C,A86,技ログ!I:I)</f>
        <v>0</v>
      </c>
      <c r="K86">
        <f>+COUNTIF(技ログ!C:C,技マスタ[[#This Row],[技ID]])</f>
        <v>1</v>
      </c>
    </row>
    <row r="87" spans="1:11">
      <c r="A87" t="s">
        <v>1690</v>
      </c>
      <c r="B87" s="3" t="s">
        <v>1711</v>
      </c>
      <c r="C87" t="s">
        <v>718</v>
      </c>
      <c r="D87" s="6" t="str">
        <f>VLOOKUP(C87,キャラマスタ[],2,FALSE)</f>
        <v>ウソップ</v>
      </c>
      <c r="E87" t="s">
        <v>430</v>
      </c>
      <c r="G87">
        <v>10</v>
      </c>
      <c r="H87">
        <v>87</v>
      </c>
      <c r="I87">
        <v>1</v>
      </c>
      <c r="J87">
        <f>+SUMIF(技ログ!C:C,A87,技ログ!I:I)</f>
        <v>1</v>
      </c>
      <c r="K87">
        <f>+COUNTIF(技ログ!C:C,技マスタ[[#This Row],[技ID]])</f>
        <v>6</v>
      </c>
    </row>
    <row r="88" spans="1:11">
      <c r="A88" t="s">
        <v>1691</v>
      </c>
      <c r="B88" s="3" t="s">
        <v>1712</v>
      </c>
      <c r="C88" t="s">
        <v>718</v>
      </c>
      <c r="D88" s="6" t="str">
        <f>VLOOKUP(C88,キャラマスタ[],2,FALSE)</f>
        <v>ウソップ</v>
      </c>
      <c r="E88" t="s">
        <v>611</v>
      </c>
      <c r="G88">
        <v>10</v>
      </c>
      <c r="H88">
        <v>87</v>
      </c>
      <c r="I88">
        <v>1</v>
      </c>
      <c r="J88">
        <f>+SUMIF(技ログ!C:C,A88,技ログ!I:I)</f>
        <v>0</v>
      </c>
      <c r="K88">
        <f>+COUNTIF(技ログ!C:C,技マスタ[[#This Row],[技ID]])</f>
        <v>3</v>
      </c>
    </row>
    <row r="89" spans="1:11">
      <c r="A89" t="s">
        <v>1692</v>
      </c>
      <c r="B89" s="3" t="s">
        <v>1713</v>
      </c>
      <c r="C89" t="s">
        <v>1454</v>
      </c>
      <c r="D89" s="6" t="str">
        <f>VLOOKUP(C89,キャラマスタ[],2,FALSE)</f>
        <v>チュウ</v>
      </c>
      <c r="E89" t="s">
        <v>611</v>
      </c>
      <c r="G89">
        <v>10</v>
      </c>
      <c r="H89">
        <v>87</v>
      </c>
      <c r="I89">
        <v>1</v>
      </c>
      <c r="J89">
        <f>+SUMIF(技ログ!C:C,A89,技ログ!I:I)</f>
        <v>0</v>
      </c>
      <c r="K89">
        <f>+COUNTIF(技ログ!C:C,技マスタ[[#This Row],[技ID]])</f>
        <v>1</v>
      </c>
    </row>
    <row r="90" spans="1:11">
      <c r="A90" t="s">
        <v>1693</v>
      </c>
      <c r="B90" s="3" t="s">
        <v>1714</v>
      </c>
      <c r="C90" t="s">
        <v>1454</v>
      </c>
      <c r="D90" s="6" t="str">
        <f>VLOOKUP(C90,キャラマスタ[],2,FALSE)</f>
        <v>チュウ</v>
      </c>
      <c r="E90" t="s">
        <v>611</v>
      </c>
      <c r="G90">
        <v>10</v>
      </c>
      <c r="H90">
        <v>87</v>
      </c>
      <c r="I90">
        <v>1</v>
      </c>
      <c r="J90">
        <f>+SUMIF(技ログ!C:C,A90,技ログ!I:I)</f>
        <v>0</v>
      </c>
      <c r="K90">
        <f>+COUNTIF(技ログ!C:C,技マスタ[[#This Row],[技ID]])</f>
        <v>1</v>
      </c>
    </row>
    <row r="91" spans="1:11">
      <c r="A91" t="s">
        <v>1694</v>
      </c>
      <c r="B91" s="3" t="s">
        <v>1715</v>
      </c>
      <c r="C91" t="s">
        <v>1310</v>
      </c>
      <c r="D91" s="6" t="str">
        <f>VLOOKUP(C91,キャラマスタ[],2,FALSE)</f>
        <v>アーロン</v>
      </c>
      <c r="E91" t="s">
        <v>611</v>
      </c>
      <c r="G91">
        <v>10</v>
      </c>
      <c r="H91">
        <v>88</v>
      </c>
      <c r="I91">
        <v>1</v>
      </c>
      <c r="J91">
        <f>+SUMIF(技ログ!C:C,A91,技ログ!I:I)</f>
        <v>0</v>
      </c>
      <c r="K91">
        <f>+COUNTIF(技ログ!C:C,技マスタ[[#This Row],[技ID]])</f>
        <v>1</v>
      </c>
    </row>
    <row r="92" spans="1:11">
      <c r="A92" t="s">
        <v>1695</v>
      </c>
      <c r="B92" s="3" t="s">
        <v>1716</v>
      </c>
      <c r="C92" t="s">
        <v>942</v>
      </c>
      <c r="D92" s="6" t="str">
        <f>VLOOKUP(C92,キャラマスタ[],2,FALSE)</f>
        <v>サンジ</v>
      </c>
      <c r="E92" t="s">
        <v>430</v>
      </c>
      <c r="G92">
        <v>10</v>
      </c>
      <c r="H92">
        <v>88</v>
      </c>
      <c r="I92">
        <v>1</v>
      </c>
      <c r="J92">
        <f>+SUMIF(技ログ!C:C,A92,技ログ!I:I)</f>
        <v>0</v>
      </c>
      <c r="K92">
        <f>+COUNTIF(技ログ!C:C,技マスタ[[#This Row],[技ID]])</f>
        <v>1</v>
      </c>
    </row>
    <row r="93" spans="1:11">
      <c r="A93" t="s">
        <v>1696</v>
      </c>
      <c r="B93" s="3" t="s">
        <v>1717</v>
      </c>
      <c r="C93" t="s">
        <v>1310</v>
      </c>
      <c r="D93" s="6" t="str">
        <f>VLOOKUP(C93,キャラマスタ[],2,FALSE)</f>
        <v>アーロン</v>
      </c>
      <c r="E93" t="s">
        <v>623</v>
      </c>
      <c r="G93">
        <v>10</v>
      </c>
      <c r="H93">
        <v>90</v>
      </c>
      <c r="I93">
        <v>1</v>
      </c>
      <c r="J93">
        <f>+SUMIF(技ログ!C:C,A93,技ログ!I:I)</f>
        <v>0</v>
      </c>
      <c r="K93">
        <f>+COUNTIF(技ログ!C:C,技マスタ[[#This Row],[技ID]])</f>
        <v>3</v>
      </c>
    </row>
    <row r="94" spans="1:11">
      <c r="A94" t="s">
        <v>1697</v>
      </c>
      <c r="B94" t="s">
        <v>1828</v>
      </c>
      <c r="C94" t="s">
        <v>1310</v>
      </c>
      <c r="D94" s="6" t="str">
        <f>VLOOKUP(C94,キャラマスタ[],2,FALSE)</f>
        <v>アーロン</v>
      </c>
      <c r="E94" t="s">
        <v>623</v>
      </c>
      <c r="G94">
        <v>11</v>
      </c>
      <c r="H94">
        <v>91</v>
      </c>
      <c r="I94">
        <v>1</v>
      </c>
      <c r="J94">
        <f>+SUMIF(技ログ!C:C,A94,技ログ!I:I)</f>
        <v>0</v>
      </c>
      <c r="K94">
        <f>+COUNTIF(技ログ!C:C,技マスタ[[#This Row],[技ID]])</f>
        <v>5</v>
      </c>
    </row>
    <row r="95" spans="1:11">
      <c r="A95" t="s">
        <v>1698</v>
      </c>
      <c r="B95" t="s">
        <v>1829</v>
      </c>
      <c r="C95" t="s">
        <v>288</v>
      </c>
      <c r="D95" s="6" t="str">
        <f>VLOOKUP(C95,キャラマスタ[],2,FALSE)</f>
        <v>モンキー・D・ルフィ</v>
      </c>
      <c r="E95" t="s">
        <v>430</v>
      </c>
      <c r="F95" t="s">
        <v>399</v>
      </c>
      <c r="G95">
        <v>11</v>
      </c>
      <c r="H95">
        <v>92</v>
      </c>
      <c r="I95">
        <v>1</v>
      </c>
      <c r="J95">
        <f>+SUMIF(技ログ!C:C,A95,技ログ!I:I)</f>
        <v>0</v>
      </c>
      <c r="K95">
        <f>+COUNTIF(技ログ!C:C,技マスタ[[#This Row],[技ID]])</f>
        <v>1</v>
      </c>
    </row>
    <row r="96" spans="1:11">
      <c r="A96" t="s">
        <v>1699</v>
      </c>
      <c r="B96" t="s">
        <v>1830</v>
      </c>
      <c r="C96" t="s">
        <v>288</v>
      </c>
      <c r="D96" s="6" t="str">
        <f>VLOOKUP(C96,キャラマスタ[],2,FALSE)</f>
        <v>モンキー・D・ルフィ</v>
      </c>
      <c r="E96" t="s">
        <v>430</v>
      </c>
      <c r="F96" t="s">
        <v>399</v>
      </c>
      <c r="G96">
        <v>11</v>
      </c>
      <c r="H96">
        <v>92</v>
      </c>
      <c r="I96">
        <v>1</v>
      </c>
      <c r="J96">
        <f>+SUMIF(技ログ!C:C,A96,技ログ!I:I)</f>
        <v>0</v>
      </c>
      <c r="K96">
        <f>+COUNTIF(技ログ!C:C,技マスタ[[#This Row],[技ID]])</f>
        <v>1</v>
      </c>
    </row>
    <row r="97" spans="1:11">
      <c r="A97" t="s">
        <v>1700</v>
      </c>
      <c r="B97" t="s">
        <v>1831</v>
      </c>
      <c r="C97" t="s">
        <v>288</v>
      </c>
      <c r="D97" s="6" t="str">
        <f>VLOOKUP(C97,キャラマスタ[],2,FALSE)</f>
        <v>モンキー・D・ルフィ</v>
      </c>
      <c r="E97" t="s">
        <v>430</v>
      </c>
      <c r="F97" t="s">
        <v>399</v>
      </c>
      <c r="G97">
        <v>11</v>
      </c>
      <c r="H97">
        <v>92</v>
      </c>
      <c r="I97">
        <v>1</v>
      </c>
      <c r="J97">
        <f>+SUMIF(技ログ!C:C,A97,技ログ!I:I)</f>
        <v>0</v>
      </c>
      <c r="K97">
        <f>+COUNTIF(技ログ!C:C,技マスタ[[#This Row],[技ID]])</f>
        <v>1</v>
      </c>
    </row>
    <row r="98" spans="1:11">
      <c r="A98" t="s">
        <v>1701</v>
      </c>
      <c r="B98" t="s">
        <v>1832</v>
      </c>
      <c r="C98" t="s">
        <v>1310</v>
      </c>
      <c r="D98" s="6" t="str">
        <f>VLOOKUP(C98,キャラマスタ[],2,FALSE)</f>
        <v>アーロン</v>
      </c>
      <c r="E98" t="s">
        <v>623</v>
      </c>
      <c r="G98">
        <v>11</v>
      </c>
      <c r="H98">
        <v>93</v>
      </c>
      <c r="I98">
        <v>1</v>
      </c>
      <c r="J98">
        <f>+SUMIF(技ログ!C:C,A98,技ログ!I:I)</f>
        <v>0</v>
      </c>
      <c r="K98">
        <f>+COUNTIF(技ログ!C:C,技マスタ[[#This Row],[技ID]])</f>
        <v>1</v>
      </c>
    </row>
    <row r="99" spans="1:11">
      <c r="A99" t="s">
        <v>1702</v>
      </c>
      <c r="B99" t="s">
        <v>1980</v>
      </c>
      <c r="C99" t="s">
        <v>570</v>
      </c>
      <c r="D99" s="6" t="str">
        <f>VLOOKUP(C99,キャラマスタ[],2,FALSE)</f>
        <v>バギー</v>
      </c>
      <c r="E99" t="s">
        <v>431</v>
      </c>
      <c r="F99" t="s">
        <v>592</v>
      </c>
      <c r="G99">
        <v>12</v>
      </c>
      <c r="H99">
        <v>100</v>
      </c>
      <c r="I99">
        <v>1</v>
      </c>
      <c r="J99">
        <f>+SUMIF(技ログ!C:C,A99,技ログ!I:I)</f>
        <v>0</v>
      </c>
      <c r="K99">
        <f>+COUNTIF(技ログ!C:C,技マスタ[[#This Row],[技ID]])</f>
        <v>1</v>
      </c>
    </row>
    <row r="100" spans="1:11">
      <c r="A100" t="s">
        <v>1703</v>
      </c>
      <c r="B100" t="s">
        <v>1981</v>
      </c>
      <c r="C100" t="s">
        <v>570</v>
      </c>
      <c r="D100" s="6" t="str">
        <f>VLOOKUP(C100,キャラマスタ[],2,FALSE)</f>
        <v>バギー</v>
      </c>
      <c r="E100" t="s">
        <v>616</v>
      </c>
      <c r="G100">
        <v>12</v>
      </c>
      <c r="H100">
        <v>100</v>
      </c>
      <c r="I100">
        <v>1</v>
      </c>
      <c r="J100">
        <f>+SUMIF(技ログ!C:C,A100,技ログ!I:I)</f>
        <v>0</v>
      </c>
      <c r="K100">
        <f>+COUNTIF(技ログ!C:C,技マスタ[[#This Row],[技ID]])</f>
        <v>1</v>
      </c>
    </row>
    <row r="101" spans="1:11">
      <c r="A101" t="s">
        <v>1704</v>
      </c>
      <c r="B101" t="s">
        <v>1982</v>
      </c>
      <c r="C101" t="s">
        <v>1992</v>
      </c>
      <c r="D101" s="6" t="str">
        <f>VLOOKUP(C101,キャラマスタ[],2,FALSE)</f>
        <v>アルビダ</v>
      </c>
      <c r="E101" t="s">
        <v>431</v>
      </c>
      <c r="F101" t="s">
        <v>1815</v>
      </c>
      <c r="G101">
        <v>12</v>
      </c>
      <c r="H101">
        <v>100</v>
      </c>
      <c r="I101">
        <v>1</v>
      </c>
      <c r="J101">
        <f>+SUMIF(技ログ!C:C,A101,技ログ!I:I)</f>
        <v>0</v>
      </c>
      <c r="K101">
        <f>+COUNTIF(技ログ!C:C,技マスタ[[#This Row],[技ID]])</f>
        <v>1</v>
      </c>
    </row>
    <row r="102" spans="1:11">
      <c r="A102" t="s">
        <v>1970</v>
      </c>
      <c r="B102" t="s">
        <v>1983</v>
      </c>
      <c r="C102" t="s">
        <v>1806</v>
      </c>
      <c r="D102" s="6" t="str">
        <f>VLOOKUP(C102,キャラマスタ[],2,FALSE)</f>
        <v>スモーカー</v>
      </c>
      <c r="E102" t="s">
        <v>616</v>
      </c>
      <c r="F102" t="s">
        <v>1816</v>
      </c>
      <c r="G102">
        <v>12</v>
      </c>
      <c r="H102">
        <v>100</v>
      </c>
      <c r="I102">
        <v>1</v>
      </c>
      <c r="J102">
        <f>+SUMIF(技ログ!C:C,A102,技ログ!I:I)</f>
        <v>0</v>
      </c>
      <c r="K102">
        <f>+COUNTIF(技ログ!C:C,技マスタ[[#This Row],[技ID]])</f>
        <v>2</v>
      </c>
    </row>
    <row r="103" spans="1:11">
      <c r="A103" t="s">
        <v>1971</v>
      </c>
      <c r="B103" t="s">
        <v>1985</v>
      </c>
      <c r="C103" t="s">
        <v>718</v>
      </c>
      <c r="D103" s="6" t="str">
        <f>VLOOKUP(C103,キャラマスタ[],2,FALSE)</f>
        <v>ウソップ</v>
      </c>
      <c r="E103" t="s">
        <v>611</v>
      </c>
      <c r="G103">
        <v>12</v>
      </c>
      <c r="H103">
        <v>100</v>
      </c>
      <c r="I103">
        <v>1</v>
      </c>
      <c r="J103">
        <f>+SUMIF(技ログ!C:C,A103,技ログ!I:I)</f>
        <v>0</v>
      </c>
      <c r="K103">
        <f>+COUNTIF(技ログ!C:C,技マスタ[[#This Row],[技ID]])</f>
        <v>1</v>
      </c>
    </row>
    <row r="104" spans="1:11">
      <c r="A104" t="s">
        <v>1972</v>
      </c>
      <c r="B104" t="s">
        <v>1984</v>
      </c>
      <c r="C104" t="s">
        <v>1806</v>
      </c>
      <c r="D104" s="6" t="str">
        <f>VLOOKUP(C104,キャラマスタ[],2,FALSE)</f>
        <v>スモーカー</v>
      </c>
      <c r="E104" t="s">
        <v>430</v>
      </c>
      <c r="F104" t="s">
        <v>1816</v>
      </c>
      <c r="G104">
        <v>12</v>
      </c>
      <c r="H104">
        <v>100</v>
      </c>
      <c r="I104">
        <v>1</v>
      </c>
      <c r="J104">
        <f>+SUMIF(技ログ!C:C,A104,技ログ!I:I)</f>
        <v>0</v>
      </c>
      <c r="K104">
        <f>+COUNTIF(技ログ!C:C,技マスタ[[#This Row],[技ID]])</f>
        <v>1</v>
      </c>
    </row>
    <row r="105" spans="1:11">
      <c r="A105" t="s">
        <v>1973</v>
      </c>
      <c r="B105" t="s">
        <v>1986</v>
      </c>
      <c r="C105" t="s">
        <v>288</v>
      </c>
      <c r="D105" s="6" t="str">
        <f>VLOOKUP(C105,キャラマスタ[],2,FALSE)</f>
        <v>モンキー・D・ルフィ</v>
      </c>
      <c r="E105" t="s">
        <v>616</v>
      </c>
      <c r="F105" t="s">
        <v>399</v>
      </c>
      <c r="G105">
        <v>12</v>
      </c>
      <c r="H105">
        <v>104</v>
      </c>
      <c r="I105">
        <v>1</v>
      </c>
      <c r="J105">
        <f>+SUMIF(技ログ!C:C,A105,技ログ!I:I)</f>
        <v>0</v>
      </c>
      <c r="K105">
        <f>+COUNTIF(技ログ!C:C,技マスタ[[#This Row],[技ID]])</f>
        <v>1</v>
      </c>
    </row>
    <row r="106" spans="1:11">
      <c r="A106" t="s">
        <v>1974</v>
      </c>
      <c r="B106" t="s">
        <v>1987</v>
      </c>
      <c r="C106" t="s">
        <v>1914</v>
      </c>
      <c r="D106" s="6" t="str">
        <f>VLOOKUP(C106,キャラマスタ[],2,FALSE)</f>
        <v>雪だるさん</v>
      </c>
      <c r="E106" t="s">
        <v>430</v>
      </c>
      <c r="G106">
        <v>12</v>
      </c>
      <c r="H106">
        <v>106</v>
      </c>
      <c r="I106">
        <v>1</v>
      </c>
      <c r="J106">
        <f>+SUMIF(技ログ!C:C,A106,技ログ!I:I)</f>
        <v>0</v>
      </c>
      <c r="K106">
        <f>+COUNTIF(技ログ!C:C,技マスタ[[#This Row],[技ID]])</f>
        <v>1</v>
      </c>
    </row>
    <row r="107" spans="1:11">
      <c r="A107" t="s">
        <v>1975</v>
      </c>
      <c r="B107" t="s">
        <v>1988</v>
      </c>
      <c r="C107" t="s">
        <v>1918</v>
      </c>
      <c r="D107" s="6" t="str">
        <f>VLOOKUP(C107,キャラマスタ[],2,FALSE)</f>
        <v>Mr.8</v>
      </c>
      <c r="E107" t="s">
        <v>611</v>
      </c>
      <c r="G107">
        <v>12</v>
      </c>
      <c r="H107">
        <v>107</v>
      </c>
      <c r="I107">
        <v>1</v>
      </c>
      <c r="J107">
        <f>+SUMIF(技ログ!C:C,A107,技ログ!I:I)</f>
        <v>0</v>
      </c>
      <c r="K107">
        <f>+COUNTIF(技ログ!C:C,技マスタ[[#This Row],[技ID]])</f>
        <v>3</v>
      </c>
    </row>
    <row r="108" spans="1:11">
      <c r="A108" t="s">
        <v>1976</v>
      </c>
      <c r="B108" t="s">
        <v>1989</v>
      </c>
      <c r="C108" t="s">
        <v>1916</v>
      </c>
      <c r="D108" s="6" t="str">
        <f>VLOOKUP(C108,キャラマスタ[],2,FALSE)</f>
        <v>ミス・キャサリーナ</v>
      </c>
      <c r="E108" t="s">
        <v>616</v>
      </c>
      <c r="G108">
        <v>12</v>
      </c>
      <c r="H108">
        <v>108</v>
      </c>
      <c r="I108">
        <v>1</v>
      </c>
      <c r="J108">
        <f>+SUMIF(技ログ!C:C,A108,技ログ!I:I)</f>
        <v>0</v>
      </c>
      <c r="K108">
        <f>+COUNTIF(技ログ!C:C,技マスタ[[#This Row],[技ID]])</f>
        <v>1</v>
      </c>
    </row>
    <row r="109" spans="1:11">
      <c r="A109" t="s">
        <v>1977</v>
      </c>
      <c r="B109" t="s">
        <v>1990</v>
      </c>
      <c r="C109" t="s">
        <v>308</v>
      </c>
      <c r="D109" s="6" t="str">
        <f>VLOOKUP(C109,キャラマスタ[],2,FALSE)</f>
        <v>ロロノア・ゾロ</v>
      </c>
      <c r="E109" t="s">
        <v>623</v>
      </c>
      <c r="G109">
        <v>12</v>
      </c>
      <c r="H109">
        <v>108</v>
      </c>
      <c r="I109">
        <v>1</v>
      </c>
      <c r="J109">
        <f>+SUMIF(技ログ!C:C,A109,技ログ!I:I)</f>
        <v>0</v>
      </c>
      <c r="K109">
        <f>+COUNTIF(技ログ!C:C,技マスタ[[#This Row],[技ID]])</f>
        <v>1</v>
      </c>
    </row>
    <row r="110" spans="1:11">
      <c r="A110" t="s">
        <v>1978</v>
      </c>
      <c r="B110" t="s">
        <v>1991</v>
      </c>
      <c r="C110" t="s">
        <v>1920</v>
      </c>
      <c r="D110" s="6" t="str">
        <f>VLOOKUP(C110,キャラマスタ[],2,FALSE)</f>
        <v>ミス・マンデー</v>
      </c>
      <c r="E110" t="s">
        <v>430</v>
      </c>
      <c r="G110">
        <v>12</v>
      </c>
      <c r="H110">
        <v>108</v>
      </c>
      <c r="I110">
        <v>1</v>
      </c>
      <c r="J110">
        <f>+SUMIF(技ログ!C:C,A110,技ログ!I:I)</f>
        <v>0</v>
      </c>
      <c r="K110">
        <f>+COUNTIF(技ログ!C:C,技マスタ[[#This Row],[技ID]])</f>
        <v>1</v>
      </c>
    </row>
    <row r="111" spans="1:11">
      <c r="A111" t="s">
        <v>1979</v>
      </c>
      <c r="B111" t="s">
        <v>2172</v>
      </c>
      <c r="C111" t="s">
        <v>1911</v>
      </c>
      <c r="D111" s="6" t="str">
        <f>VLOOKUP(C111,キャラマスタ[],2,FALSE)</f>
        <v>Mr.9</v>
      </c>
      <c r="E111" t="s">
        <v>430</v>
      </c>
      <c r="G111">
        <v>13</v>
      </c>
      <c r="H111">
        <v>109</v>
      </c>
      <c r="I111">
        <v>1</v>
      </c>
      <c r="J111">
        <f>+SUMIF(技ログ!C:C,A111,技ログ!I:I)</f>
        <v>0</v>
      </c>
      <c r="K111">
        <f>+COUNTIF(技ログ!C:C,技マスタ[[#This Row],[技ID]])</f>
        <v>2</v>
      </c>
    </row>
    <row r="112" spans="1:11">
      <c r="A112" t="s">
        <v>2162</v>
      </c>
      <c r="B112" t="s">
        <v>2173</v>
      </c>
      <c r="C112" t="s">
        <v>1910</v>
      </c>
      <c r="D112" s="6" t="str">
        <f>VLOOKUP(C112,キャラマスタ[],2,FALSE)</f>
        <v>ミス・ウェンズデー</v>
      </c>
      <c r="E112" t="s">
        <v>616</v>
      </c>
      <c r="G112">
        <v>13</v>
      </c>
      <c r="H112">
        <v>109</v>
      </c>
      <c r="I112">
        <v>1</v>
      </c>
      <c r="J112">
        <f>+SUMIF(技ログ!C:C,A112,技ログ!I:I)</f>
        <v>0</v>
      </c>
      <c r="K112">
        <f>+COUNTIF(技ログ!C:C,技マスタ[[#This Row],[技ID]])</f>
        <v>1</v>
      </c>
    </row>
    <row r="113" spans="1:11">
      <c r="A113" t="s">
        <v>2163</v>
      </c>
      <c r="B113" t="s">
        <v>2174</v>
      </c>
      <c r="C113" t="s">
        <v>1910</v>
      </c>
      <c r="D113" s="6" t="str">
        <f>VLOOKUP(C113,キャラマスタ[],2,FALSE)</f>
        <v>ミス・ウェンズデー</v>
      </c>
      <c r="E113" t="s">
        <v>623</v>
      </c>
      <c r="G113">
        <v>13</v>
      </c>
      <c r="H113">
        <v>109</v>
      </c>
      <c r="I113">
        <v>1</v>
      </c>
      <c r="J113">
        <f>+SUMIF(技ログ!C:C,A113,技ログ!I:I)</f>
        <v>0</v>
      </c>
      <c r="K113">
        <f>+COUNTIF(技ログ!C:C,技マスタ[[#This Row],[技ID]])</f>
        <v>1</v>
      </c>
    </row>
    <row r="114" spans="1:11">
      <c r="A114" t="s">
        <v>2164</v>
      </c>
      <c r="B114" t="s">
        <v>2175</v>
      </c>
      <c r="C114" t="s">
        <v>1911</v>
      </c>
      <c r="D114" s="6" t="str">
        <f>VLOOKUP(C114,キャラマスタ[],2,FALSE)</f>
        <v>Mr.9</v>
      </c>
      <c r="E114" t="s">
        <v>616</v>
      </c>
      <c r="G114">
        <v>13</v>
      </c>
      <c r="H114">
        <v>109</v>
      </c>
      <c r="I114">
        <v>1</v>
      </c>
      <c r="J114">
        <f>+SUMIF(技ログ!C:C,A114,技ログ!I:I)</f>
        <v>0</v>
      </c>
      <c r="K114">
        <f>+COUNTIF(技ログ!C:C,技マスタ[[#This Row],[技ID]])</f>
        <v>1</v>
      </c>
    </row>
    <row r="115" spans="1:11">
      <c r="A115" t="s">
        <v>2165</v>
      </c>
      <c r="B115" t="s">
        <v>2176</v>
      </c>
      <c r="C115" t="s">
        <v>1918</v>
      </c>
      <c r="D115" s="6" t="str">
        <f>VLOOKUP(C115,キャラマスタ[],2,FALSE)</f>
        <v>Mr.8</v>
      </c>
      <c r="E115" t="s">
        <v>611</v>
      </c>
      <c r="G115">
        <v>13</v>
      </c>
      <c r="H115">
        <v>109</v>
      </c>
      <c r="I115">
        <v>1</v>
      </c>
      <c r="J115">
        <f>+SUMIF(技ログ!C:C,A115,技ログ!I:I)</f>
        <v>0</v>
      </c>
      <c r="K115">
        <f>+COUNTIF(技ログ!C:C,技マスタ[[#This Row],[技ID]])</f>
        <v>2</v>
      </c>
    </row>
    <row r="116" spans="1:11">
      <c r="A116" t="s">
        <v>2166</v>
      </c>
      <c r="B116" t="s">
        <v>2177</v>
      </c>
      <c r="C116" t="s">
        <v>2072</v>
      </c>
      <c r="D116" s="6" t="str">
        <f>VLOOKUP(C116,キャラマスタ[],2,FALSE)</f>
        <v>Mr.5</v>
      </c>
      <c r="E116" t="s">
        <v>611</v>
      </c>
      <c r="G116">
        <v>13</v>
      </c>
      <c r="H116">
        <v>110</v>
      </c>
      <c r="I116">
        <v>1</v>
      </c>
      <c r="J116">
        <f>+SUMIF(技ログ!C:C,A116,技ログ!I:I)</f>
        <v>1</v>
      </c>
      <c r="K116">
        <f>+COUNTIF(技ログ!C:C,技マスタ[[#This Row],[技ID]])</f>
        <v>2</v>
      </c>
    </row>
    <row r="117" spans="1:11">
      <c r="A117" t="s">
        <v>2167</v>
      </c>
      <c r="B117" t="s">
        <v>2178</v>
      </c>
      <c r="C117" t="s">
        <v>2073</v>
      </c>
      <c r="D117" s="6" t="str">
        <f>VLOOKUP(C117,キャラマスタ[],2,FALSE)</f>
        <v>ミス・バレンタイン</v>
      </c>
      <c r="E117" t="s">
        <v>430</v>
      </c>
      <c r="G117">
        <v>13</v>
      </c>
      <c r="H117">
        <v>112</v>
      </c>
      <c r="I117">
        <v>1</v>
      </c>
      <c r="J117">
        <f>+SUMIF(技ログ!C:C,A117,技ログ!I:I)</f>
        <v>0</v>
      </c>
      <c r="K117">
        <f>+COUNTIF(技ログ!C:C,技マスタ[[#This Row],[技ID]])</f>
        <v>1</v>
      </c>
    </row>
    <row r="118" spans="1:11">
      <c r="A118" t="s">
        <v>2168</v>
      </c>
      <c r="B118" s="3"/>
      <c r="D118" s="6" t="e">
        <f>VLOOKUP(C118,キャラマスタ[],2,FALSE)</f>
        <v>#N/A</v>
      </c>
      <c r="I118">
        <v>1</v>
      </c>
      <c r="J118">
        <f>+SUMIF(技ログ!C:C,A118,技ログ!I:I)</f>
        <v>0</v>
      </c>
      <c r="K118">
        <f>+COUNTIF(技ログ!C:C,技マスタ[[#This Row],[技ID]])</f>
        <v>0</v>
      </c>
    </row>
    <row r="119" spans="1:11">
      <c r="A119" t="s">
        <v>2169</v>
      </c>
      <c r="B119" s="3"/>
      <c r="D119" s="6" t="e">
        <f>VLOOKUP(C119,キャラマスタ[],2,FALSE)</f>
        <v>#N/A</v>
      </c>
      <c r="I119">
        <v>1</v>
      </c>
      <c r="J119">
        <f>+SUMIF(技ログ!C:C,A119,技ログ!I:I)</f>
        <v>0</v>
      </c>
      <c r="K119">
        <f>+COUNTIF(技ログ!C:C,技マスタ[[#This Row],[技ID]])</f>
        <v>0</v>
      </c>
    </row>
    <row r="120" spans="1:11">
      <c r="A120" t="s">
        <v>2170</v>
      </c>
      <c r="B120" s="3"/>
      <c r="D120" s="6" t="e">
        <f>VLOOKUP(C120,キャラマスタ[],2,FALSE)</f>
        <v>#N/A</v>
      </c>
      <c r="I120">
        <v>1</v>
      </c>
      <c r="J120">
        <f>+SUMIF(技ログ!C:C,A120,技ログ!I:I)</f>
        <v>0</v>
      </c>
      <c r="K120">
        <f>+COUNTIF(技ログ!C:C,技マスタ[[#This Row],[技ID]])</f>
        <v>0</v>
      </c>
    </row>
    <row r="121" spans="1:11">
      <c r="A121" t="s">
        <v>2171</v>
      </c>
      <c r="B121" s="3"/>
      <c r="D121" s="6" t="e">
        <f>VLOOKUP(C121,キャラマスタ[],2,FALSE)</f>
        <v>#N/A</v>
      </c>
      <c r="I121">
        <v>1</v>
      </c>
      <c r="J121">
        <f>+SUMIF(技ログ!C:C,A121,技ログ!I:I)</f>
        <v>0</v>
      </c>
      <c r="K121">
        <f>+COUNTIF(技ログ!C:C,技マスタ[[#This Row],[技ID]])</f>
        <v>0</v>
      </c>
    </row>
  </sheetData>
  <phoneticPr fontId="1"/>
  <conditionalFormatting sqref="B1:B1048576">
    <cfRule type="duplicateValues" dxfId="0" priority="1"/>
  </conditionalFormatting>
  <pageMargins left="0.7" right="0.7" top="0.75" bottom="0.75" header="0.3" footer="0.3"/>
  <pageSetup paperSize="9" orientation="portrait"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422A-1A1C-423F-B275-3E63A5CBBAEB}">
  <sheetPr>
    <tabColor rgb="FFFFFF00"/>
  </sheetPr>
  <dimension ref="A1:D26"/>
  <sheetViews>
    <sheetView topLeftCell="A9" workbookViewId="0">
      <selection activeCell="A26" sqref="A26"/>
    </sheetView>
  </sheetViews>
  <sheetFormatPr baseColWidth="10" defaultColWidth="8.83203125" defaultRowHeight="18"/>
  <cols>
    <col min="1" max="1" width="9.1640625" customWidth="1"/>
    <col min="2" max="2" width="13" bestFit="1" customWidth="1"/>
    <col min="3" max="3" width="12.83203125" customWidth="1"/>
  </cols>
  <sheetData>
    <row r="1" spans="1:4">
      <c r="A1" t="s">
        <v>435</v>
      </c>
      <c r="B1" t="s">
        <v>436</v>
      </c>
      <c r="C1" t="s">
        <v>437</v>
      </c>
      <c r="D1" t="s">
        <v>438</v>
      </c>
    </row>
    <row r="2" spans="1:4">
      <c r="A2" t="s">
        <v>439</v>
      </c>
      <c r="B2" t="s">
        <v>237</v>
      </c>
      <c r="C2" t="s">
        <v>411</v>
      </c>
      <c r="D2" t="s">
        <v>372</v>
      </c>
    </row>
    <row r="3" spans="1:4">
      <c r="A3" t="s">
        <v>440</v>
      </c>
      <c r="B3" t="s">
        <v>325</v>
      </c>
      <c r="C3" t="s">
        <v>289</v>
      </c>
      <c r="D3" t="s">
        <v>372</v>
      </c>
    </row>
    <row r="4" spans="1:4">
      <c r="A4" t="s">
        <v>441</v>
      </c>
      <c r="B4" t="s">
        <v>264</v>
      </c>
      <c r="C4" t="s">
        <v>453</v>
      </c>
      <c r="D4" t="s">
        <v>372</v>
      </c>
    </row>
    <row r="5" spans="1:4">
      <c r="A5" t="s">
        <v>442</v>
      </c>
      <c r="B5" t="s">
        <v>332</v>
      </c>
      <c r="C5" t="s">
        <v>410</v>
      </c>
      <c r="D5" t="s">
        <v>374</v>
      </c>
    </row>
    <row r="6" spans="1:4">
      <c r="A6" t="s">
        <v>443</v>
      </c>
      <c r="B6" t="s">
        <v>444</v>
      </c>
      <c r="C6" t="s">
        <v>433</v>
      </c>
      <c r="D6" t="s">
        <v>451</v>
      </c>
    </row>
    <row r="7" spans="1:4">
      <c r="A7" t="s">
        <v>446</v>
      </c>
      <c r="B7" t="s">
        <v>239</v>
      </c>
      <c r="D7" t="s">
        <v>452</v>
      </c>
    </row>
    <row r="8" spans="1:4">
      <c r="A8" t="s">
        <v>447</v>
      </c>
      <c r="B8" t="s">
        <v>508</v>
      </c>
      <c r="D8" t="s">
        <v>508</v>
      </c>
    </row>
    <row r="9" spans="1:4">
      <c r="A9" t="s">
        <v>448</v>
      </c>
      <c r="B9" t="s">
        <v>523</v>
      </c>
      <c r="D9" t="s">
        <v>523</v>
      </c>
    </row>
    <row r="10" spans="1:4">
      <c r="A10" t="s">
        <v>449</v>
      </c>
      <c r="B10" t="s">
        <v>593</v>
      </c>
      <c r="C10" t="s">
        <v>571</v>
      </c>
      <c r="D10" t="s">
        <v>372</v>
      </c>
    </row>
    <row r="11" spans="1:4">
      <c r="A11" t="s">
        <v>450</v>
      </c>
      <c r="B11" t="s">
        <v>735</v>
      </c>
      <c r="C11" t="s">
        <v>718</v>
      </c>
      <c r="D11" t="s">
        <v>736</v>
      </c>
    </row>
    <row r="12" spans="1:4">
      <c r="A12" t="s">
        <v>737</v>
      </c>
      <c r="B12" t="s">
        <v>692</v>
      </c>
      <c r="C12" t="s">
        <v>727</v>
      </c>
      <c r="D12" t="s">
        <v>372</v>
      </c>
    </row>
    <row r="13" spans="1:4">
      <c r="A13" t="s">
        <v>959</v>
      </c>
      <c r="B13" t="s">
        <v>908</v>
      </c>
      <c r="C13" t="s">
        <v>1086</v>
      </c>
      <c r="D13" t="s">
        <v>373</v>
      </c>
    </row>
    <row r="14" spans="1:4">
      <c r="A14" t="s">
        <v>960</v>
      </c>
      <c r="B14" t="s">
        <v>931</v>
      </c>
      <c r="C14" t="s">
        <v>1099</v>
      </c>
      <c r="D14" t="s">
        <v>372</v>
      </c>
    </row>
    <row r="15" spans="1:4">
      <c r="A15" t="s">
        <v>1144</v>
      </c>
      <c r="B15" t="s">
        <v>1140</v>
      </c>
      <c r="D15" t="s">
        <v>452</v>
      </c>
    </row>
    <row r="16" spans="1:4">
      <c r="A16" t="s">
        <v>1145</v>
      </c>
      <c r="B16" t="s">
        <v>1175</v>
      </c>
      <c r="C16" t="s">
        <v>1086</v>
      </c>
      <c r="D16" t="s">
        <v>372</v>
      </c>
    </row>
    <row r="17" spans="1:4">
      <c r="A17" t="s">
        <v>1291</v>
      </c>
      <c r="B17" t="s">
        <v>1296</v>
      </c>
      <c r="D17" t="s">
        <v>373</v>
      </c>
    </row>
    <row r="18" spans="1:4">
      <c r="A18" t="s">
        <v>1292</v>
      </c>
      <c r="B18" t="s">
        <v>1324</v>
      </c>
      <c r="C18" t="s">
        <v>1310</v>
      </c>
      <c r="D18" t="s">
        <v>372</v>
      </c>
    </row>
    <row r="19" spans="1:4">
      <c r="A19" t="s">
        <v>1293</v>
      </c>
      <c r="B19" t="s">
        <v>1923</v>
      </c>
      <c r="C19" t="s">
        <v>1907</v>
      </c>
      <c r="D19" t="s">
        <v>1993</v>
      </c>
    </row>
    <row r="20" spans="1:4">
      <c r="A20" t="s">
        <v>1294</v>
      </c>
      <c r="B20" t="s">
        <v>1945</v>
      </c>
      <c r="D20" t="s">
        <v>1994</v>
      </c>
    </row>
    <row r="21" spans="1:4">
      <c r="A21" t="s">
        <v>1295</v>
      </c>
    </row>
    <row r="22" spans="1:4">
      <c r="A22" t="s">
        <v>2150</v>
      </c>
    </row>
    <row r="23" spans="1:4">
      <c r="A23" t="s">
        <v>2151</v>
      </c>
    </row>
    <row r="24" spans="1:4">
      <c r="A24" t="s">
        <v>2152</v>
      </c>
    </row>
    <row r="25" spans="1:4">
      <c r="A25" t="s">
        <v>2153</v>
      </c>
    </row>
    <row r="26" spans="1:4">
      <c r="A26" t="s">
        <v>2154</v>
      </c>
    </row>
  </sheetData>
  <phoneticPr fontId="1"/>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E48BC75-A507-C44C-A385-8A305077121D}">
          <x14:formula1>
            <xm:f>キャラクターマスタ!$A$2:$A$36</xm:f>
          </x14:formula1>
          <xm:sqref>C2:C7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FD38-2F97-4E6C-8F96-CD64A4B419E4}">
  <sheetPr>
    <tabColor theme="4" tint="0.59999389629810485"/>
  </sheetPr>
  <dimension ref="A1:K30"/>
  <sheetViews>
    <sheetView topLeftCell="A13" workbookViewId="0">
      <selection activeCell="D23" sqref="D23"/>
    </sheetView>
  </sheetViews>
  <sheetFormatPr baseColWidth="10" defaultColWidth="8.83203125" defaultRowHeight="18"/>
  <cols>
    <col min="1" max="1" width="13.5" customWidth="1"/>
    <col min="2" max="2" width="20.6640625" style="6" bestFit="1" customWidth="1"/>
    <col min="3" max="3" width="10.5" style="5" bestFit="1" customWidth="1"/>
    <col min="4" max="4" width="25.1640625" customWidth="1"/>
    <col min="5" max="5" width="6.33203125" customWidth="1"/>
  </cols>
  <sheetData>
    <row r="1" spans="1:11">
      <c r="A1" t="s">
        <v>491</v>
      </c>
      <c r="B1" s="6" t="s">
        <v>492</v>
      </c>
      <c r="C1" s="5" t="s">
        <v>519</v>
      </c>
      <c r="D1" t="s">
        <v>162</v>
      </c>
      <c r="E1" t="s">
        <v>520</v>
      </c>
      <c r="F1" t="s">
        <v>92</v>
      </c>
      <c r="G1" t="s">
        <v>105</v>
      </c>
      <c r="H1" t="s">
        <v>361</v>
      </c>
      <c r="I1" t="s">
        <v>480</v>
      </c>
      <c r="J1" t="s">
        <v>161</v>
      </c>
      <c r="K1" t="s">
        <v>235</v>
      </c>
    </row>
    <row r="2" spans="1:11">
      <c r="A2" t="s">
        <v>288</v>
      </c>
      <c r="B2" s="6" t="str">
        <f>VLOOKUP(懸賞金・肩書ログ!A2,キャラマスタ[],2,FALSE)</f>
        <v>モンキー・D・ルフィ</v>
      </c>
      <c r="D2" t="s">
        <v>35</v>
      </c>
      <c r="E2" t="s">
        <v>372</v>
      </c>
      <c r="F2">
        <v>1</v>
      </c>
      <c r="G2">
        <v>1</v>
      </c>
      <c r="H2">
        <v>0</v>
      </c>
      <c r="I2">
        <v>1</v>
      </c>
    </row>
    <row r="3" spans="1:11">
      <c r="A3" t="s">
        <v>289</v>
      </c>
      <c r="B3" s="6" t="str">
        <f>VLOOKUP(懸賞金・肩書ログ!A3,キャラマスタ[],2,FALSE)</f>
        <v>ゴール・D・ロジャー</v>
      </c>
      <c r="D3" t="s">
        <v>362</v>
      </c>
      <c r="E3" t="s">
        <v>372</v>
      </c>
      <c r="F3">
        <v>1</v>
      </c>
      <c r="G3">
        <v>1</v>
      </c>
      <c r="H3">
        <v>-22</v>
      </c>
      <c r="I3">
        <v>-8000</v>
      </c>
      <c r="K3" t="s">
        <v>516</v>
      </c>
    </row>
    <row r="4" spans="1:11">
      <c r="A4" t="s">
        <v>292</v>
      </c>
      <c r="B4" s="6" t="str">
        <f>VLOOKUP(懸賞金・肩書ログ!A4,キャラマスタ[],2,FALSE)</f>
        <v>シャンクス</v>
      </c>
      <c r="D4" t="s">
        <v>34</v>
      </c>
      <c r="E4" t="s">
        <v>372</v>
      </c>
      <c r="F4">
        <v>1</v>
      </c>
      <c r="G4">
        <v>1</v>
      </c>
      <c r="H4">
        <v>-10</v>
      </c>
      <c r="I4">
        <v>-4015</v>
      </c>
      <c r="K4" t="s">
        <v>516</v>
      </c>
    </row>
    <row r="5" spans="1:11">
      <c r="A5" t="s">
        <v>298</v>
      </c>
      <c r="B5" s="6" t="str">
        <f>VLOOKUP(懸賞金・肩書ログ!A5,キャラマスタ[],2,FALSE)</f>
        <v>ヒグマ</v>
      </c>
      <c r="C5" s="5">
        <v>8000000</v>
      </c>
      <c r="D5" t="s">
        <v>664</v>
      </c>
      <c r="E5" t="s">
        <v>374</v>
      </c>
      <c r="F5">
        <v>1</v>
      </c>
      <c r="G5">
        <v>1</v>
      </c>
      <c r="H5">
        <v>-10</v>
      </c>
      <c r="I5">
        <v>-3650</v>
      </c>
      <c r="J5" t="s">
        <v>364</v>
      </c>
      <c r="K5" t="s">
        <v>518</v>
      </c>
    </row>
    <row r="6" spans="1:11">
      <c r="A6" t="s">
        <v>304</v>
      </c>
      <c r="B6" s="6" t="str">
        <f>VLOOKUP(懸賞金・肩書ログ!A6,キャラマスタ[],2,FALSE)</f>
        <v>アルビダ</v>
      </c>
      <c r="C6" s="5">
        <v>5000000</v>
      </c>
      <c r="D6" t="s">
        <v>67</v>
      </c>
      <c r="E6" t="s">
        <v>372</v>
      </c>
      <c r="F6">
        <v>1</v>
      </c>
      <c r="G6">
        <v>2</v>
      </c>
      <c r="H6">
        <v>0</v>
      </c>
      <c r="I6">
        <v>1.3</v>
      </c>
      <c r="K6" t="s">
        <v>518</v>
      </c>
    </row>
    <row r="7" spans="1:11">
      <c r="A7" t="s">
        <v>308</v>
      </c>
      <c r="B7" s="6" t="str">
        <f>VLOOKUP(懸賞金・肩書ログ!A7,キャラマスタ[],2,FALSE)</f>
        <v>ロロノア・ゾロ</v>
      </c>
      <c r="D7" t="s">
        <v>73</v>
      </c>
      <c r="E7" t="s">
        <v>372</v>
      </c>
      <c r="F7">
        <v>1</v>
      </c>
      <c r="G7">
        <v>3</v>
      </c>
      <c r="H7">
        <v>0</v>
      </c>
      <c r="I7">
        <v>-300</v>
      </c>
      <c r="K7" t="s">
        <v>518</v>
      </c>
    </row>
    <row r="8" spans="1:11">
      <c r="A8" t="s">
        <v>408</v>
      </c>
      <c r="B8" s="6" t="str">
        <f>VLOOKUP(懸賞金・肩書ログ!A8,キャラマスタ[],2,FALSE)</f>
        <v>モーガン</v>
      </c>
      <c r="D8" t="s">
        <v>82</v>
      </c>
      <c r="E8" t="s">
        <v>375</v>
      </c>
      <c r="F8">
        <v>1</v>
      </c>
      <c r="G8">
        <v>4</v>
      </c>
      <c r="H8">
        <v>0</v>
      </c>
      <c r="I8">
        <v>-1000</v>
      </c>
      <c r="K8" t="s">
        <v>518</v>
      </c>
    </row>
    <row r="9" spans="1:11">
      <c r="A9" t="s">
        <v>416</v>
      </c>
      <c r="B9" s="6" t="str">
        <f>VLOOKUP(懸賞金・肩書ログ!A9,キャラマスタ[],2,FALSE)</f>
        <v>ナミ</v>
      </c>
      <c r="D9" t="s">
        <v>645</v>
      </c>
      <c r="E9" t="s">
        <v>646</v>
      </c>
      <c r="F9">
        <v>2</v>
      </c>
      <c r="G9">
        <v>9</v>
      </c>
      <c r="H9">
        <v>0</v>
      </c>
      <c r="I9">
        <v>1.2</v>
      </c>
      <c r="K9" t="s">
        <v>518</v>
      </c>
    </row>
    <row r="10" spans="1:11">
      <c r="A10" t="s">
        <v>570</v>
      </c>
      <c r="B10" s="6" t="str">
        <f>VLOOKUP(懸賞金・肩書ログ!A10,キャラマスタ[],2,FALSE)</f>
        <v>バギー</v>
      </c>
      <c r="C10" s="5">
        <v>15000000</v>
      </c>
      <c r="D10" t="s">
        <v>591</v>
      </c>
      <c r="E10" t="s">
        <v>372</v>
      </c>
      <c r="F10">
        <v>2</v>
      </c>
      <c r="G10">
        <v>9</v>
      </c>
      <c r="H10">
        <v>0</v>
      </c>
      <c r="I10">
        <v>1.5</v>
      </c>
      <c r="K10" t="s">
        <v>518</v>
      </c>
    </row>
    <row r="11" spans="1:11">
      <c r="A11" t="s">
        <v>574</v>
      </c>
      <c r="B11" s="6" t="str">
        <f>VLOOKUP(懸賞金・肩書ログ!A11,キャラマスタ[],2,FALSE)</f>
        <v>モージ</v>
      </c>
      <c r="D11" t="s">
        <v>541</v>
      </c>
      <c r="E11" t="s">
        <v>372</v>
      </c>
      <c r="F11">
        <v>2</v>
      </c>
      <c r="G11">
        <v>12</v>
      </c>
      <c r="H11">
        <v>0</v>
      </c>
      <c r="I11">
        <v>1.8</v>
      </c>
      <c r="K11" t="s">
        <v>518</v>
      </c>
    </row>
    <row r="12" spans="1:11">
      <c r="A12" t="s">
        <v>580</v>
      </c>
      <c r="B12" s="6" t="str">
        <f>VLOOKUP(懸賞金・肩書ログ!A12,キャラマスタ[],2,FALSE)</f>
        <v>カバジ</v>
      </c>
      <c r="D12" t="s">
        <v>658</v>
      </c>
      <c r="E12" t="s">
        <v>372</v>
      </c>
      <c r="F12">
        <v>2</v>
      </c>
      <c r="G12">
        <v>15</v>
      </c>
      <c r="H12">
        <v>0</v>
      </c>
      <c r="I12">
        <v>1.8</v>
      </c>
      <c r="K12" t="s">
        <v>518</v>
      </c>
    </row>
    <row r="13" spans="1:11">
      <c r="A13" t="s">
        <v>723</v>
      </c>
      <c r="B13" s="6" t="str">
        <f>VLOOKUP(懸賞金・肩書ログ!A13,キャラマスタ[],2,FALSE)</f>
        <v>クロ</v>
      </c>
      <c r="C13" s="5">
        <v>16000000</v>
      </c>
      <c r="D13" t="s">
        <v>691</v>
      </c>
      <c r="E13" t="s">
        <v>372</v>
      </c>
      <c r="F13">
        <v>4</v>
      </c>
      <c r="G13">
        <v>37</v>
      </c>
      <c r="H13">
        <v>-3</v>
      </c>
      <c r="I13">
        <v>-1095</v>
      </c>
      <c r="K13" t="s">
        <v>518</v>
      </c>
    </row>
    <row r="14" spans="1:11">
      <c r="A14" t="s">
        <v>727</v>
      </c>
      <c r="B14" s="6" t="str">
        <f>VLOOKUP(懸賞金・肩書ログ!A14,キャラマスタ[],2,FALSE)</f>
        <v>ジャンゴ</v>
      </c>
      <c r="C14" s="5">
        <v>9000000</v>
      </c>
      <c r="D14" t="s">
        <v>733</v>
      </c>
      <c r="E14" t="s">
        <v>372</v>
      </c>
      <c r="F14">
        <v>4</v>
      </c>
      <c r="G14">
        <v>28</v>
      </c>
      <c r="H14">
        <v>0</v>
      </c>
      <c r="I14">
        <v>2.5</v>
      </c>
      <c r="K14" t="s">
        <v>518</v>
      </c>
    </row>
    <row r="15" spans="1:11">
      <c r="A15" t="s">
        <v>819</v>
      </c>
      <c r="B15" s="6" t="str">
        <f>VLOOKUP(懸賞金・肩書ログ!A15,キャラマスタ[],2,FALSE)</f>
        <v>シャム</v>
      </c>
      <c r="C15" s="5">
        <v>3500000</v>
      </c>
      <c r="D15" t="s">
        <v>886</v>
      </c>
      <c r="E15" t="s">
        <v>372</v>
      </c>
      <c r="F15">
        <v>4</v>
      </c>
      <c r="G15">
        <v>31</v>
      </c>
      <c r="H15">
        <v>0</v>
      </c>
      <c r="I15">
        <v>3</v>
      </c>
      <c r="K15" t="s">
        <v>518</v>
      </c>
    </row>
    <row r="16" spans="1:11">
      <c r="A16" t="s">
        <v>821</v>
      </c>
      <c r="B16" s="6" t="str">
        <f>VLOOKUP(懸賞金・肩書ログ!A16,キャラマスタ[],2,FALSE)</f>
        <v>ブチ</v>
      </c>
      <c r="C16" s="5">
        <v>3500000</v>
      </c>
      <c r="D16" t="s">
        <v>886</v>
      </c>
      <c r="E16" t="s">
        <v>372</v>
      </c>
      <c r="F16">
        <v>4</v>
      </c>
      <c r="G16">
        <v>31</v>
      </c>
      <c r="H16">
        <v>0</v>
      </c>
      <c r="I16">
        <v>3</v>
      </c>
      <c r="K16" t="s">
        <v>518</v>
      </c>
    </row>
    <row r="17" spans="1:11">
      <c r="A17" t="s">
        <v>1087</v>
      </c>
      <c r="B17" s="6" t="str">
        <f>VLOOKUP(懸賞金・肩書ログ!A17,キャラマスタ[],2,FALSE)</f>
        <v>フルボディ</v>
      </c>
      <c r="D17" t="s">
        <v>948</v>
      </c>
      <c r="E17" t="s">
        <v>375</v>
      </c>
      <c r="F17">
        <v>5</v>
      </c>
      <c r="G17">
        <v>43</v>
      </c>
      <c r="H17">
        <v>0</v>
      </c>
      <c r="I17">
        <v>5</v>
      </c>
    </row>
    <row r="18" spans="1:11">
      <c r="A18" t="s">
        <v>1099</v>
      </c>
      <c r="B18" s="6" t="str">
        <f>VLOOKUP(懸賞金・肩書ログ!A18,キャラマスタ[],2,FALSE)</f>
        <v>クリーク</v>
      </c>
      <c r="C18" s="5">
        <v>17000000</v>
      </c>
      <c r="D18" t="s">
        <v>1172</v>
      </c>
      <c r="E18" t="s">
        <v>372</v>
      </c>
      <c r="F18">
        <v>6</v>
      </c>
      <c r="G18">
        <v>46</v>
      </c>
      <c r="H18">
        <v>0</v>
      </c>
      <c r="I18">
        <v>-5</v>
      </c>
      <c r="K18" t="s">
        <v>518</v>
      </c>
    </row>
    <row r="19" spans="1:11">
      <c r="A19" t="s">
        <v>943</v>
      </c>
      <c r="B19" s="6" t="str">
        <f>VLOOKUP(懸賞金・肩書ログ!A19,キャラマスタ[],2,FALSE)</f>
        <v>ゼフ</v>
      </c>
      <c r="D19" t="s">
        <v>1173</v>
      </c>
      <c r="E19" t="s">
        <v>740</v>
      </c>
      <c r="F19">
        <v>6</v>
      </c>
      <c r="G19">
        <v>47</v>
      </c>
      <c r="H19">
        <v>-9</v>
      </c>
      <c r="I19">
        <v>-3285</v>
      </c>
      <c r="K19" t="s">
        <v>518</v>
      </c>
    </row>
    <row r="20" spans="1:11">
      <c r="A20" t="s">
        <v>1100</v>
      </c>
      <c r="B20" s="6" t="str">
        <f>VLOOKUP(懸賞金・肩書ログ!A20,キャラマスタ[],2,FALSE)</f>
        <v>ジュラキュール・ミホーク</v>
      </c>
      <c r="D20" t="s">
        <v>1197</v>
      </c>
      <c r="E20" t="s">
        <v>1198</v>
      </c>
      <c r="F20">
        <v>6</v>
      </c>
      <c r="G20">
        <v>51</v>
      </c>
      <c r="H20">
        <v>0</v>
      </c>
      <c r="I20">
        <v>7</v>
      </c>
      <c r="K20" t="s">
        <v>518</v>
      </c>
    </row>
    <row r="21" spans="1:11">
      <c r="A21" t="s">
        <v>1085</v>
      </c>
      <c r="B21" s="6" t="str">
        <f>VLOOKUP(懸賞金・肩書ログ!A21,キャラマスタ[],2,FALSE)</f>
        <v>ギン</v>
      </c>
      <c r="C21" s="5">
        <v>12000000</v>
      </c>
      <c r="D21" t="s">
        <v>930</v>
      </c>
      <c r="E21" t="s">
        <v>372</v>
      </c>
      <c r="F21">
        <v>7</v>
      </c>
      <c r="G21">
        <v>61</v>
      </c>
      <c r="H21">
        <v>0</v>
      </c>
      <c r="I21">
        <v>-5</v>
      </c>
      <c r="K21" t="s">
        <v>518</v>
      </c>
    </row>
    <row r="22" spans="1:11">
      <c r="A22" t="s">
        <v>1310</v>
      </c>
      <c r="B22" s="6" t="str">
        <f>VLOOKUP(懸賞金・肩書ログ!A22,キャラマスタ[],2,FALSE)</f>
        <v>アーロン</v>
      </c>
      <c r="C22" s="5">
        <v>20000000</v>
      </c>
      <c r="D22" t="s">
        <v>1423</v>
      </c>
      <c r="E22" t="s">
        <v>372</v>
      </c>
      <c r="F22">
        <v>8</v>
      </c>
      <c r="G22">
        <v>69</v>
      </c>
      <c r="H22">
        <v>0</v>
      </c>
      <c r="I22">
        <v>8.1</v>
      </c>
      <c r="K22" t="s">
        <v>518</v>
      </c>
    </row>
    <row r="23" spans="1:11">
      <c r="A23" t="s">
        <v>1424</v>
      </c>
      <c r="B23" s="6" t="str">
        <f>VLOOKUP(懸賞金・肩書ログ!A23,キャラマスタ[],2,FALSE)</f>
        <v>はっちゃん</v>
      </c>
      <c r="C23" s="5">
        <v>8000000</v>
      </c>
      <c r="D23" t="s">
        <v>1329</v>
      </c>
      <c r="E23" t="s">
        <v>372</v>
      </c>
      <c r="I23">
        <v>8.1</v>
      </c>
      <c r="K23" t="s">
        <v>518</v>
      </c>
    </row>
    <row r="24" spans="1:11">
      <c r="A24" t="s">
        <v>1454</v>
      </c>
      <c r="B24" s="6" t="str">
        <f>VLOOKUP(懸賞金・肩書ログ!A24,キャラマスタ[],2,FALSE)</f>
        <v>チュウ</v>
      </c>
      <c r="C24" s="5">
        <v>5500000</v>
      </c>
      <c r="E24" t="s">
        <v>372</v>
      </c>
      <c r="F24">
        <v>9</v>
      </c>
      <c r="G24">
        <v>75</v>
      </c>
      <c r="H24">
        <v>0</v>
      </c>
      <c r="I24">
        <v>8.5</v>
      </c>
      <c r="K24" t="s">
        <v>518</v>
      </c>
    </row>
    <row r="25" spans="1:11">
      <c r="A25" t="s">
        <v>1455</v>
      </c>
      <c r="B25" s="6" t="str">
        <f>VLOOKUP(懸賞金・肩書ログ!A25,キャラマスタ[],2,FALSE)</f>
        <v>クロオビ</v>
      </c>
      <c r="C25" s="5">
        <v>9000000</v>
      </c>
      <c r="E25" t="s">
        <v>372</v>
      </c>
      <c r="F25">
        <v>9</v>
      </c>
      <c r="G25">
        <v>75</v>
      </c>
      <c r="H25">
        <v>0</v>
      </c>
      <c r="I25">
        <v>8.5</v>
      </c>
      <c r="K25" t="s">
        <v>518</v>
      </c>
    </row>
    <row r="26" spans="1:11">
      <c r="A26" t="s">
        <v>288</v>
      </c>
      <c r="B26" s="6" t="str">
        <f>VLOOKUP(懸賞金・肩書ログ!A26,キャラマスタ[],2,FALSE)</f>
        <v>モンキー・D・ルフィ</v>
      </c>
      <c r="C26" s="5">
        <v>30000000</v>
      </c>
      <c r="D26" t="s">
        <v>35</v>
      </c>
      <c r="E26" t="s">
        <v>372</v>
      </c>
      <c r="F26">
        <v>11</v>
      </c>
      <c r="G26">
        <v>96</v>
      </c>
      <c r="H26">
        <v>0</v>
      </c>
      <c r="I26">
        <v>11</v>
      </c>
      <c r="J26" t="s">
        <v>1835</v>
      </c>
    </row>
    <row r="27" spans="1:11">
      <c r="B27" s="6" t="e">
        <f>VLOOKUP(懸賞金・肩書ログ!A27,キャラマスタ[],2,FALSE)</f>
        <v>#N/A</v>
      </c>
    </row>
    <row r="28" spans="1:11">
      <c r="B28" s="6" t="e">
        <f>VLOOKUP(懸賞金・肩書ログ!A28,キャラマスタ[],2,FALSE)</f>
        <v>#N/A</v>
      </c>
    </row>
    <row r="29" spans="1:11">
      <c r="B29" s="6" t="e">
        <f>VLOOKUP(懸賞金・肩書ログ!A29,キャラマスタ[],2,FALSE)</f>
        <v>#N/A</v>
      </c>
    </row>
    <row r="30" spans="1:11">
      <c r="B30" s="6" t="e">
        <f>VLOOKUP(懸賞金・肩書ログ!A30,キャラマスタ[],2,FALSE)</f>
        <v>#N/A</v>
      </c>
    </row>
  </sheetData>
  <phoneticPr fontId="1"/>
  <dataValidations count="1">
    <dataValidation type="list" allowBlank="1" showInputMessage="1" showErrorMessage="1" sqref="A26" xr:uid="{7BD5C094-CFA0-4E45-A8C3-49FC6A3561D2}">
      <formula1>$A$2:$A$1026</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69D159E-0B87-4E8D-A6D9-C22043A45AB1}">
          <x14:formula1>
            <xm:f>キャラクターマスタ!$A$2:$A$1051</xm:f>
          </x14:formula1>
          <xm:sqref>A2:A16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C9013-E7B0-4A5B-A1BA-960400DA60E1}">
  <sheetPr>
    <tabColor theme="4" tint="0.59999389629810485"/>
  </sheetPr>
  <dimension ref="A1:N224"/>
  <sheetViews>
    <sheetView topLeftCell="A201" workbookViewId="0">
      <selection activeCell="D218" sqref="D218"/>
    </sheetView>
  </sheetViews>
  <sheetFormatPr baseColWidth="10" defaultColWidth="8.83203125" defaultRowHeight="18"/>
  <cols>
    <col min="1" max="1" width="9.1640625" customWidth="1"/>
    <col min="2" max="2" width="9" customWidth="1"/>
    <col min="3" max="3" width="23.6640625" customWidth="1"/>
    <col min="4" max="4" width="9" customWidth="1"/>
    <col min="7" max="7" width="9.1640625" customWidth="1"/>
    <col min="8" max="8" width="14.1640625" customWidth="1"/>
    <col min="9" max="9" width="14.5" customWidth="1"/>
    <col min="10" max="10" width="19.1640625" bestFit="1" customWidth="1"/>
    <col min="11" max="12" width="15.6640625" customWidth="1"/>
    <col min="13" max="15" width="13.6640625" customWidth="1"/>
    <col min="16" max="16" width="10.83203125" customWidth="1"/>
  </cols>
  <sheetData>
    <row r="1" spans="1:14" s="1" customFormat="1" ht="34.5" customHeight="1">
      <c r="A1" s="1" t="s">
        <v>477</v>
      </c>
      <c r="B1" s="1" t="s">
        <v>226</v>
      </c>
      <c r="C1" s="1" t="s">
        <v>163</v>
      </c>
      <c r="D1" s="1" t="s">
        <v>480</v>
      </c>
      <c r="E1" s="1" t="s">
        <v>92</v>
      </c>
      <c r="F1" s="1" t="s">
        <v>236</v>
      </c>
      <c r="G1" s="1" t="s">
        <v>401</v>
      </c>
      <c r="H1" s="7" t="s">
        <v>478</v>
      </c>
      <c r="I1" s="1" t="s">
        <v>181</v>
      </c>
      <c r="J1" s="1" t="s">
        <v>164</v>
      </c>
      <c r="K1" s="1" t="s">
        <v>491</v>
      </c>
      <c r="L1" s="7" t="s">
        <v>492</v>
      </c>
      <c r="M1" s="1" t="s">
        <v>199</v>
      </c>
      <c r="N1" s="1" t="s">
        <v>235</v>
      </c>
    </row>
    <row r="2" spans="1:14">
      <c r="A2" t="s">
        <v>346</v>
      </c>
      <c r="B2">
        <f t="shared" ref="B2:B35" si="0">1539+C2</f>
        <v>1517</v>
      </c>
      <c r="C2">
        <v>-22</v>
      </c>
      <c r="D2">
        <f t="shared" ref="D2:D7" si="1">C2*365</f>
        <v>-8030</v>
      </c>
      <c r="E2">
        <v>1</v>
      </c>
      <c r="F2">
        <v>1</v>
      </c>
      <c r="G2" t="s">
        <v>1809</v>
      </c>
      <c r="H2" s="6" t="str">
        <f>VLOOKUP(G2,場所マスタ[],6,FALSE)</f>
        <v>ローグタウン</v>
      </c>
      <c r="I2" t="s">
        <v>233</v>
      </c>
      <c r="J2" t="s">
        <v>505</v>
      </c>
      <c r="K2" t="s">
        <v>289</v>
      </c>
      <c r="L2" s="6" t="str">
        <f>IFERROR(VLOOKUP(K2,キャラマスタ[],2,FALSE),"")</f>
        <v>ゴール・D・ロジャー</v>
      </c>
      <c r="N2" t="s">
        <v>517</v>
      </c>
    </row>
    <row r="3" spans="1:14">
      <c r="A3" t="s">
        <v>347</v>
      </c>
      <c r="B3">
        <f t="shared" si="0"/>
        <v>1528</v>
      </c>
      <c r="C3">
        <v>-11</v>
      </c>
      <c r="D3">
        <f t="shared" si="1"/>
        <v>-4015</v>
      </c>
      <c r="E3">
        <v>1</v>
      </c>
      <c r="F3">
        <v>1</v>
      </c>
      <c r="G3" t="s">
        <v>384</v>
      </c>
      <c r="H3" s="6" t="str">
        <f>VLOOKUP(G3,場所マスタ[],6,FALSE)</f>
        <v>フーシャ村</v>
      </c>
      <c r="I3" t="s">
        <v>233</v>
      </c>
      <c r="J3" t="s">
        <v>273</v>
      </c>
      <c r="K3" t="s">
        <v>453</v>
      </c>
      <c r="L3" s="6" t="str">
        <f>IFERROR(VLOOKUP(K3,キャラマスタ[],2,FALSE),"")</f>
        <v>シャンクス</v>
      </c>
    </row>
    <row r="4" spans="1:14">
      <c r="A4" t="s">
        <v>348</v>
      </c>
      <c r="B4">
        <f t="shared" ref="B4" si="2">1539+C4</f>
        <v>1528</v>
      </c>
      <c r="C4">
        <v>-11</v>
      </c>
      <c r="D4">
        <f t="shared" ref="D4" si="3">C4*365</f>
        <v>-4015</v>
      </c>
      <c r="E4">
        <v>1</v>
      </c>
      <c r="F4">
        <v>1</v>
      </c>
      <c r="G4" t="s">
        <v>384</v>
      </c>
      <c r="H4" s="6" t="str">
        <f>VLOOKUP(G4,場所マスタ[],6,FALSE)</f>
        <v>フーシャ村</v>
      </c>
      <c r="I4" t="s">
        <v>233</v>
      </c>
      <c r="J4" t="s">
        <v>273</v>
      </c>
      <c r="K4" t="s">
        <v>409</v>
      </c>
      <c r="L4" s="6" t="str">
        <f>IFERROR(VLOOKUP(K4,キャラマスタ[],2,FALSE),"")</f>
        <v>ラッキー・ルウ</v>
      </c>
    </row>
    <row r="5" spans="1:14">
      <c r="A5" t="s">
        <v>349</v>
      </c>
      <c r="B5">
        <f t="shared" si="0"/>
        <v>1528</v>
      </c>
      <c r="C5">
        <v>-11</v>
      </c>
      <c r="D5">
        <f t="shared" si="1"/>
        <v>-4015</v>
      </c>
      <c r="E5">
        <v>1</v>
      </c>
      <c r="F5">
        <v>1</v>
      </c>
      <c r="G5" t="s">
        <v>384</v>
      </c>
      <c r="H5" s="6" t="str">
        <f>VLOOKUP(G5,場所マスタ[],6,FALSE)</f>
        <v>フーシャ村</v>
      </c>
      <c r="I5" t="s">
        <v>233</v>
      </c>
      <c r="J5" t="s">
        <v>273</v>
      </c>
      <c r="K5" t="s">
        <v>454</v>
      </c>
      <c r="L5" s="6" t="str">
        <f>IFERROR(VLOOKUP(K5,キャラマスタ[],2,FALSE),"")</f>
        <v>ヤソップ</v>
      </c>
    </row>
    <row r="6" spans="1:14">
      <c r="A6" t="s">
        <v>350</v>
      </c>
      <c r="B6">
        <f t="shared" ref="B6" si="4">1539+C6</f>
        <v>1528</v>
      </c>
      <c r="C6">
        <v>-11</v>
      </c>
      <c r="D6">
        <f t="shared" ref="D6" si="5">C6*365</f>
        <v>-4015</v>
      </c>
      <c r="E6">
        <v>1</v>
      </c>
      <c r="F6">
        <v>1</v>
      </c>
      <c r="G6" t="s">
        <v>384</v>
      </c>
      <c r="H6" s="6" t="str">
        <f>VLOOKUP(G6,場所マスタ[],6,FALSE)</f>
        <v>フーシャ村</v>
      </c>
      <c r="I6" t="s">
        <v>233</v>
      </c>
      <c r="J6" t="s">
        <v>273</v>
      </c>
      <c r="K6" t="s">
        <v>1871</v>
      </c>
      <c r="L6" s="6" t="str">
        <f>IFERROR(VLOOKUP(K6,キャラマスタ[],2,FALSE),"")</f>
        <v>ベン・ベックマン</v>
      </c>
    </row>
    <row r="7" spans="1:14">
      <c r="A7" t="s">
        <v>351</v>
      </c>
      <c r="B7">
        <f t="shared" si="0"/>
        <v>1529</v>
      </c>
      <c r="C7">
        <v>-10</v>
      </c>
      <c r="D7">
        <f t="shared" si="1"/>
        <v>-3650</v>
      </c>
      <c r="E7">
        <v>1</v>
      </c>
      <c r="F7">
        <v>1</v>
      </c>
      <c r="G7" t="s">
        <v>384</v>
      </c>
      <c r="H7" s="6" t="str">
        <f>VLOOKUP(G7,場所マスタ[],6,FALSE)</f>
        <v>フーシャ村</v>
      </c>
      <c r="I7" t="s">
        <v>233</v>
      </c>
      <c r="J7" t="s">
        <v>281</v>
      </c>
      <c r="K7" t="s">
        <v>288</v>
      </c>
      <c r="L7" s="6" t="str">
        <f>IFERROR(VLOOKUP(K7,キャラマスタ[],2,FALSE),"")</f>
        <v>モンキー・D・ルフィ</v>
      </c>
    </row>
    <row r="8" spans="1:14">
      <c r="A8" t="s">
        <v>637</v>
      </c>
      <c r="B8">
        <f t="shared" si="0"/>
        <v>1529</v>
      </c>
      <c r="C8">
        <v>-10</v>
      </c>
      <c r="D8">
        <v>-3645</v>
      </c>
      <c r="E8">
        <v>1</v>
      </c>
      <c r="F8">
        <v>1</v>
      </c>
      <c r="G8" t="s">
        <v>386</v>
      </c>
      <c r="H8" s="6" t="str">
        <f>VLOOKUP(G8,場所マスタ[],6,FALSE)</f>
        <v>フーシャ村近海</v>
      </c>
      <c r="I8" t="s">
        <v>233</v>
      </c>
      <c r="J8" t="s">
        <v>282</v>
      </c>
      <c r="K8" t="s">
        <v>298</v>
      </c>
      <c r="L8" s="6" t="str">
        <f>IFERROR(VLOOKUP(K8,キャラマスタ[],2,FALSE),"")</f>
        <v>ヒグマ</v>
      </c>
    </row>
    <row r="9" spans="1:14">
      <c r="A9" t="s">
        <v>352</v>
      </c>
      <c r="B9">
        <f t="shared" si="0"/>
        <v>1529</v>
      </c>
      <c r="C9">
        <v>-10</v>
      </c>
      <c r="D9">
        <v>-3640</v>
      </c>
      <c r="E9">
        <v>1</v>
      </c>
      <c r="F9">
        <v>1</v>
      </c>
      <c r="G9" t="s">
        <v>386</v>
      </c>
      <c r="H9" s="6" t="str">
        <f>VLOOKUP(G9,場所マスタ[],6,FALSE)</f>
        <v>フーシャ村近海</v>
      </c>
      <c r="I9" t="s">
        <v>233</v>
      </c>
      <c r="J9" t="s">
        <v>283</v>
      </c>
      <c r="K9" t="s">
        <v>292</v>
      </c>
      <c r="L9" s="6" t="str">
        <f>IFERROR(VLOOKUP(K9,キャラマスタ[],2,FALSE),"")</f>
        <v>シャンクス</v>
      </c>
    </row>
    <row r="10" spans="1:14">
      <c r="A10" t="s">
        <v>638</v>
      </c>
      <c r="B10">
        <f t="shared" si="0"/>
        <v>1529</v>
      </c>
      <c r="C10">
        <v>-10</v>
      </c>
      <c r="D10">
        <v>-3640</v>
      </c>
      <c r="E10">
        <v>1</v>
      </c>
      <c r="F10">
        <v>1</v>
      </c>
      <c r="G10" t="s">
        <v>497</v>
      </c>
      <c r="H10" s="6" t="str">
        <f>VLOOKUP(G10,場所マスタ[],6,FALSE)</f>
        <v>不明</v>
      </c>
      <c r="I10" t="s">
        <v>233</v>
      </c>
      <c r="J10" t="s">
        <v>499</v>
      </c>
      <c r="K10" t="s">
        <v>453</v>
      </c>
      <c r="L10" s="6" t="str">
        <f>IFERROR(VLOOKUP(K10,キャラマスタ[],2,FALSE),"")</f>
        <v>シャンクス</v>
      </c>
    </row>
    <row r="11" spans="1:14">
      <c r="A11" t="s">
        <v>353</v>
      </c>
      <c r="B11">
        <f t="shared" ref="B11" si="6">1539+C11</f>
        <v>1529</v>
      </c>
      <c r="C11">
        <v>-10</v>
      </c>
      <c r="D11">
        <v>-3640</v>
      </c>
      <c r="E11">
        <v>1</v>
      </c>
      <c r="F11">
        <v>1</v>
      </c>
      <c r="G11" t="s">
        <v>497</v>
      </c>
      <c r="H11" s="6" t="str">
        <f>VLOOKUP(G11,場所マスタ[],6,FALSE)</f>
        <v>不明</v>
      </c>
      <c r="I11" t="s">
        <v>233</v>
      </c>
      <c r="J11" t="s">
        <v>499</v>
      </c>
      <c r="K11" t="s">
        <v>409</v>
      </c>
      <c r="L11" s="6" t="str">
        <f>IFERROR(VLOOKUP(K11,キャラマスタ[],2,FALSE),"")</f>
        <v>ラッキー・ルウ</v>
      </c>
    </row>
    <row r="12" spans="1:14">
      <c r="A12" t="s">
        <v>354</v>
      </c>
      <c r="B12">
        <f t="shared" si="0"/>
        <v>1529</v>
      </c>
      <c r="C12">
        <v>-10</v>
      </c>
      <c r="D12">
        <v>-3640</v>
      </c>
      <c r="E12">
        <v>1</v>
      </c>
      <c r="F12">
        <v>1</v>
      </c>
      <c r="G12" t="s">
        <v>497</v>
      </c>
      <c r="H12" s="6" t="str">
        <f>VLOOKUP(G12,場所マスタ[],6,FALSE)</f>
        <v>不明</v>
      </c>
      <c r="I12" t="s">
        <v>233</v>
      </c>
      <c r="J12" t="s">
        <v>499</v>
      </c>
      <c r="K12" t="s">
        <v>454</v>
      </c>
      <c r="L12" s="6" t="str">
        <f>IFERROR(VLOOKUP(K12,キャラマスタ[],2,FALSE),"")</f>
        <v>ヤソップ</v>
      </c>
    </row>
    <row r="13" spans="1:14">
      <c r="A13" t="s">
        <v>355</v>
      </c>
      <c r="B13">
        <f t="shared" ref="B13" si="7">1539+C13</f>
        <v>1529</v>
      </c>
      <c r="C13">
        <v>-10</v>
      </c>
      <c r="D13">
        <v>-3640</v>
      </c>
      <c r="E13">
        <v>1</v>
      </c>
      <c r="F13">
        <v>1</v>
      </c>
      <c r="G13" t="s">
        <v>497</v>
      </c>
      <c r="H13" s="6" t="str">
        <f>VLOOKUP(G13,場所マスタ[],6,FALSE)</f>
        <v>不明</v>
      </c>
      <c r="I13" t="s">
        <v>233</v>
      </c>
      <c r="J13" t="s">
        <v>499</v>
      </c>
      <c r="K13" t="s">
        <v>1871</v>
      </c>
      <c r="L13" s="6" t="str">
        <f>IFERROR(VLOOKUP(K13,キャラマスタ[],2,FALSE),"")</f>
        <v>ベン・ベックマン</v>
      </c>
    </row>
    <row r="14" spans="1:14">
      <c r="A14" t="s">
        <v>481</v>
      </c>
      <c r="B14">
        <f>1539+C14</f>
        <v>1539</v>
      </c>
      <c r="C14">
        <v>0</v>
      </c>
      <c r="D14">
        <v>0</v>
      </c>
      <c r="E14">
        <v>1</v>
      </c>
      <c r="F14">
        <v>1</v>
      </c>
      <c r="G14" t="s">
        <v>405</v>
      </c>
      <c r="H14" s="6" t="str">
        <f>VLOOKUP(G14,場所マスタ[],6,FALSE)</f>
        <v>フーシャ村</v>
      </c>
      <c r="I14" t="s">
        <v>233</v>
      </c>
      <c r="J14" t="s">
        <v>511</v>
      </c>
      <c r="K14" t="s">
        <v>411</v>
      </c>
      <c r="L14" s="6" t="str">
        <f>IFERROR(VLOOKUP(K14,キャラマスタ[],2,FALSE),"")</f>
        <v>モンキー・D・ルフィ</v>
      </c>
    </row>
    <row r="15" spans="1:14">
      <c r="A15" t="s">
        <v>482</v>
      </c>
      <c r="B15">
        <f t="shared" si="0"/>
        <v>1539</v>
      </c>
      <c r="C15">
        <v>0</v>
      </c>
      <c r="D15">
        <v>1</v>
      </c>
      <c r="E15">
        <v>1</v>
      </c>
      <c r="F15">
        <v>1</v>
      </c>
      <c r="G15" t="s">
        <v>405</v>
      </c>
      <c r="H15" s="6" t="str">
        <f>VLOOKUP(G15,場所マスタ[],6,FALSE)</f>
        <v>フーシャ村</v>
      </c>
      <c r="I15" t="s">
        <v>233</v>
      </c>
      <c r="J15" t="s">
        <v>234</v>
      </c>
      <c r="K15" t="s">
        <v>411</v>
      </c>
      <c r="L15" s="6" t="str">
        <f>IFERROR(VLOOKUP(K15,キャラマスタ[],2,FALSE),"")</f>
        <v>モンキー・D・ルフィ</v>
      </c>
      <c r="M15" t="s">
        <v>343</v>
      </c>
    </row>
    <row r="16" spans="1:14">
      <c r="A16" t="s">
        <v>483</v>
      </c>
      <c r="B16">
        <f t="shared" si="0"/>
        <v>1539</v>
      </c>
      <c r="C16">
        <v>0</v>
      </c>
      <c r="D16">
        <v>1.1000000000000001</v>
      </c>
      <c r="E16">
        <v>1</v>
      </c>
      <c r="F16">
        <v>2</v>
      </c>
      <c r="G16" t="s">
        <v>387</v>
      </c>
      <c r="H16" s="6" t="str">
        <f>VLOOKUP(G16,場所マスタ[],6,FALSE)</f>
        <v>ゴート島</v>
      </c>
      <c r="I16" t="s">
        <v>233</v>
      </c>
      <c r="J16" t="s">
        <v>342</v>
      </c>
      <c r="K16" t="s">
        <v>411</v>
      </c>
      <c r="L16" s="6" t="str">
        <f>IFERROR(VLOOKUP(K16,キャラマスタ[],2,FALSE),"")</f>
        <v>モンキー・D・ルフィ</v>
      </c>
      <c r="M16" t="s">
        <v>344</v>
      </c>
    </row>
    <row r="17" spans="1:13">
      <c r="A17" t="s">
        <v>484</v>
      </c>
      <c r="B17">
        <f t="shared" si="0"/>
        <v>1537</v>
      </c>
      <c r="C17">
        <v>-2</v>
      </c>
      <c r="D17">
        <f>-2*365</f>
        <v>-730</v>
      </c>
      <c r="E17">
        <v>1</v>
      </c>
      <c r="F17">
        <v>2</v>
      </c>
      <c r="G17" t="s">
        <v>387</v>
      </c>
      <c r="H17" s="6" t="str">
        <f>VLOOKUP(G17,場所マスタ[],6,FALSE)</f>
        <v>ゴート島</v>
      </c>
      <c r="I17" t="s">
        <v>233</v>
      </c>
      <c r="J17" t="s">
        <v>506</v>
      </c>
      <c r="K17" t="s">
        <v>303</v>
      </c>
      <c r="L17" s="6" t="str">
        <f>IFERROR(VLOOKUP(K17,キャラマスタ[],2,FALSE),"")</f>
        <v>コビー</v>
      </c>
    </row>
    <row r="18" spans="1:13">
      <c r="A18" t="s">
        <v>485</v>
      </c>
      <c r="B18">
        <f t="shared" si="0"/>
        <v>1539</v>
      </c>
      <c r="C18">
        <v>0</v>
      </c>
      <c r="D18">
        <v>1.2</v>
      </c>
      <c r="E18">
        <v>1</v>
      </c>
      <c r="F18">
        <v>2</v>
      </c>
      <c r="G18" t="s">
        <v>387</v>
      </c>
      <c r="H18" s="6" t="str">
        <f>VLOOKUP(G18,場所マスタ[],6,FALSE)</f>
        <v>ゴート島</v>
      </c>
      <c r="I18" t="s">
        <v>233</v>
      </c>
      <c r="J18" t="s">
        <v>345</v>
      </c>
      <c r="K18" t="s">
        <v>288</v>
      </c>
      <c r="L18" s="6" t="str">
        <f>IFERROR(VLOOKUP(K18,キャラマスタ[],2,FALSE),"")</f>
        <v>モンキー・D・ルフィ</v>
      </c>
    </row>
    <row r="19" spans="1:13">
      <c r="A19" t="s">
        <v>486</v>
      </c>
      <c r="B19">
        <f t="shared" si="0"/>
        <v>1539</v>
      </c>
      <c r="C19">
        <v>0</v>
      </c>
      <c r="D19">
        <v>1.2</v>
      </c>
      <c r="E19">
        <v>1</v>
      </c>
      <c r="F19">
        <v>2</v>
      </c>
      <c r="G19" t="s">
        <v>387</v>
      </c>
      <c r="H19" s="6" t="str">
        <f>VLOOKUP(G19,場所マスタ[],6,FALSE)</f>
        <v>ゴート島</v>
      </c>
      <c r="I19" t="s">
        <v>233</v>
      </c>
      <c r="J19" t="s">
        <v>345</v>
      </c>
      <c r="K19" t="s">
        <v>304</v>
      </c>
      <c r="L19" s="6" t="str">
        <f>IFERROR(VLOOKUP(K19,キャラマスタ[],2,FALSE),"")</f>
        <v>アルビダ</v>
      </c>
    </row>
    <row r="20" spans="1:13">
      <c r="A20" t="s">
        <v>487</v>
      </c>
      <c r="B20">
        <f t="shared" si="0"/>
        <v>1539</v>
      </c>
      <c r="C20">
        <v>0</v>
      </c>
      <c r="D20">
        <v>1.3</v>
      </c>
      <c r="E20">
        <v>1</v>
      </c>
      <c r="F20">
        <v>3</v>
      </c>
      <c r="G20" t="s">
        <v>388</v>
      </c>
      <c r="H20" s="6" t="str">
        <f>VLOOKUP(G20,場所マスタ[],6,FALSE)</f>
        <v>シェルズタウン</v>
      </c>
      <c r="I20" t="s">
        <v>233</v>
      </c>
      <c r="J20" t="s">
        <v>356</v>
      </c>
      <c r="K20" t="s">
        <v>288</v>
      </c>
      <c r="L20" s="6" t="str">
        <f>IFERROR(VLOOKUP(K20,キャラマスタ[],2,FALSE),"")</f>
        <v>モンキー・D・ルフィ</v>
      </c>
      <c r="M20" t="s">
        <v>343</v>
      </c>
    </row>
    <row r="21" spans="1:13">
      <c r="A21" t="s">
        <v>488</v>
      </c>
      <c r="B21">
        <f t="shared" si="0"/>
        <v>1539</v>
      </c>
      <c r="C21">
        <v>0</v>
      </c>
      <c r="D21">
        <v>1.3</v>
      </c>
      <c r="E21">
        <v>1</v>
      </c>
      <c r="F21">
        <v>3</v>
      </c>
      <c r="G21" t="s">
        <v>388</v>
      </c>
      <c r="H21" s="6" t="str">
        <f>VLOOKUP(G21,場所マスタ[],6,FALSE)</f>
        <v>シェルズタウン</v>
      </c>
      <c r="I21" t="s">
        <v>233</v>
      </c>
      <c r="J21" t="s">
        <v>356</v>
      </c>
      <c r="K21" t="s">
        <v>303</v>
      </c>
      <c r="L21" s="6" t="str">
        <f>IFERROR(VLOOKUP(K21,キャラマスタ[],2,FALSE),"")</f>
        <v>コビー</v>
      </c>
    </row>
    <row r="22" spans="1:13">
      <c r="A22" t="s">
        <v>489</v>
      </c>
      <c r="B22">
        <f t="shared" si="0"/>
        <v>1539</v>
      </c>
      <c r="C22">
        <v>0</v>
      </c>
      <c r="D22">
        <v>-7</v>
      </c>
      <c r="E22">
        <v>1</v>
      </c>
      <c r="F22">
        <v>3</v>
      </c>
      <c r="G22" t="s">
        <v>388</v>
      </c>
      <c r="H22" s="6" t="str">
        <f>VLOOKUP(G22,場所マスタ[],6,FALSE)</f>
        <v>シェルズタウン</v>
      </c>
      <c r="I22" t="s">
        <v>233</v>
      </c>
      <c r="J22" t="s">
        <v>510</v>
      </c>
      <c r="K22" t="s">
        <v>308</v>
      </c>
      <c r="L22" s="6" t="str">
        <f>IFERROR(VLOOKUP(K22,キャラマスタ[],2,FALSE),"")</f>
        <v>ロロノア・ゾロ</v>
      </c>
    </row>
    <row r="23" spans="1:13">
      <c r="A23" t="s">
        <v>490</v>
      </c>
      <c r="B23">
        <f t="shared" si="0"/>
        <v>1528</v>
      </c>
      <c r="C23">
        <v>-11</v>
      </c>
      <c r="D23">
        <v>-4000</v>
      </c>
      <c r="E23">
        <v>1</v>
      </c>
      <c r="F23">
        <v>5</v>
      </c>
      <c r="G23" t="s">
        <v>402</v>
      </c>
      <c r="H23" s="6" t="str">
        <f>VLOOKUP(G23,場所マスタ[],6,FALSE)</f>
        <v>シモツキ村</v>
      </c>
      <c r="I23" t="s">
        <v>233</v>
      </c>
      <c r="J23" t="s">
        <v>358</v>
      </c>
      <c r="K23" t="s">
        <v>455</v>
      </c>
      <c r="L23" s="6" t="str">
        <f>IFERROR(VLOOKUP(K23,キャラマスタ[],2,FALSE),"")</f>
        <v>くいな</v>
      </c>
    </row>
    <row r="24" spans="1:13">
      <c r="A24" t="s">
        <v>500</v>
      </c>
      <c r="B24">
        <f t="shared" si="0"/>
        <v>1528</v>
      </c>
      <c r="C24">
        <v>-11</v>
      </c>
      <c r="D24">
        <v>-4000</v>
      </c>
      <c r="E24">
        <v>1</v>
      </c>
      <c r="F24">
        <v>5</v>
      </c>
      <c r="G24" t="s">
        <v>402</v>
      </c>
      <c r="H24" s="6" t="str">
        <f>VLOOKUP(G24,場所マスタ[],6,FALSE)</f>
        <v>シモツキ村</v>
      </c>
      <c r="I24" t="s">
        <v>233</v>
      </c>
      <c r="J24" t="s">
        <v>358</v>
      </c>
      <c r="K24" t="s">
        <v>308</v>
      </c>
      <c r="L24" s="6" t="str">
        <f>IFERROR(VLOOKUP(K24,キャラマスタ[],2,FALSE),"")</f>
        <v>ロロノア・ゾロ</v>
      </c>
    </row>
    <row r="25" spans="1:13">
      <c r="A25" t="s">
        <v>501</v>
      </c>
      <c r="B25">
        <f t="shared" si="0"/>
        <v>1539</v>
      </c>
      <c r="C25">
        <v>0</v>
      </c>
      <c r="D25">
        <v>1.4</v>
      </c>
      <c r="E25">
        <v>1</v>
      </c>
      <c r="F25">
        <v>6</v>
      </c>
      <c r="G25" t="s">
        <v>388</v>
      </c>
      <c r="H25" s="6" t="str">
        <f>VLOOKUP(G25,場所マスタ[],6,FALSE)</f>
        <v>シェルズタウン</v>
      </c>
      <c r="I25" t="s">
        <v>233</v>
      </c>
      <c r="J25" t="s">
        <v>357</v>
      </c>
      <c r="K25" t="s">
        <v>288</v>
      </c>
      <c r="L25" s="6" t="str">
        <f>IFERROR(VLOOKUP(K25,キャラマスタ[],2,FALSE),"")</f>
        <v>モンキー・D・ルフィ</v>
      </c>
    </row>
    <row r="26" spans="1:13">
      <c r="A26" t="s">
        <v>502</v>
      </c>
      <c r="B26">
        <f t="shared" si="0"/>
        <v>1539</v>
      </c>
      <c r="C26">
        <v>0</v>
      </c>
      <c r="D26">
        <v>1.4</v>
      </c>
      <c r="E26">
        <v>1</v>
      </c>
      <c r="F26">
        <v>6</v>
      </c>
      <c r="G26" t="s">
        <v>388</v>
      </c>
      <c r="H26" s="6" t="str">
        <f>VLOOKUP(G26,場所マスタ[],6,FALSE)</f>
        <v>シェルズタウン</v>
      </c>
      <c r="I26" t="s">
        <v>233</v>
      </c>
      <c r="J26" t="s">
        <v>357</v>
      </c>
      <c r="K26" t="s">
        <v>308</v>
      </c>
      <c r="L26" s="6" t="str">
        <f>IFERROR(VLOOKUP(K26,キャラマスタ[],2,FALSE),"")</f>
        <v>ロロノア・ゾロ</v>
      </c>
    </row>
    <row r="27" spans="1:13">
      <c r="A27" t="s">
        <v>503</v>
      </c>
      <c r="B27">
        <f t="shared" si="0"/>
        <v>1539</v>
      </c>
      <c r="C27">
        <v>0</v>
      </c>
      <c r="D27">
        <v>1.4</v>
      </c>
      <c r="E27">
        <v>1</v>
      </c>
      <c r="F27">
        <v>6</v>
      </c>
      <c r="G27" t="s">
        <v>388</v>
      </c>
      <c r="H27" s="6" t="str">
        <f>VLOOKUP(G27,場所マスタ[],6,FALSE)</f>
        <v>シェルズタウン</v>
      </c>
      <c r="I27" t="s">
        <v>233</v>
      </c>
      <c r="J27" t="s">
        <v>357</v>
      </c>
      <c r="K27" t="s">
        <v>310</v>
      </c>
      <c r="L27" s="6" t="str">
        <f>IFERROR(VLOOKUP(K27,キャラマスタ[],2,FALSE),"")</f>
        <v>ヘルメッポ</v>
      </c>
    </row>
    <row r="28" spans="1:13">
      <c r="A28" t="s">
        <v>504</v>
      </c>
      <c r="B28">
        <f t="shared" si="0"/>
        <v>1539</v>
      </c>
      <c r="C28">
        <v>0</v>
      </c>
      <c r="D28">
        <v>1.4</v>
      </c>
      <c r="E28">
        <v>1</v>
      </c>
      <c r="F28">
        <v>6</v>
      </c>
      <c r="G28" t="s">
        <v>388</v>
      </c>
      <c r="H28" s="6" t="str">
        <f>VLOOKUP(G28,場所マスタ[],6,FALSE)</f>
        <v>シェルズタウン</v>
      </c>
      <c r="I28" t="s">
        <v>233</v>
      </c>
      <c r="J28" t="s">
        <v>357</v>
      </c>
      <c r="K28" t="s">
        <v>313</v>
      </c>
      <c r="L28" s="6" t="str">
        <f>IFERROR(VLOOKUP(K28,キャラマスタ[],2,FALSE),"")</f>
        <v>モーガン</v>
      </c>
    </row>
    <row r="29" spans="1:13">
      <c r="A29" t="s">
        <v>639</v>
      </c>
      <c r="B29">
        <f t="shared" si="0"/>
        <v>1539</v>
      </c>
      <c r="C29">
        <v>0</v>
      </c>
      <c r="D29">
        <v>1.5</v>
      </c>
      <c r="E29">
        <v>1</v>
      </c>
      <c r="F29">
        <v>7</v>
      </c>
      <c r="G29" t="s">
        <v>388</v>
      </c>
      <c r="H29" s="6" t="str">
        <f>VLOOKUP(G29,場所マスタ[],6,FALSE)</f>
        <v>シェルズタウン</v>
      </c>
      <c r="I29" t="s">
        <v>233</v>
      </c>
      <c r="J29" t="s">
        <v>359</v>
      </c>
      <c r="K29" t="s">
        <v>288</v>
      </c>
      <c r="L29" s="6" t="str">
        <f>IFERROR(VLOOKUP(K29,キャラマスタ[],2,FALSE),"")</f>
        <v>モンキー・D・ルフィ</v>
      </c>
    </row>
    <row r="30" spans="1:13">
      <c r="A30" t="s">
        <v>640</v>
      </c>
      <c r="B30">
        <f t="shared" si="0"/>
        <v>1539</v>
      </c>
      <c r="C30">
        <v>0</v>
      </c>
      <c r="D30">
        <v>1.5</v>
      </c>
      <c r="E30">
        <v>1</v>
      </c>
      <c r="F30">
        <v>7</v>
      </c>
      <c r="G30" t="s">
        <v>388</v>
      </c>
      <c r="H30" s="6" t="str">
        <f>VLOOKUP(G30,場所マスタ[],6,FALSE)</f>
        <v>シェルズタウン</v>
      </c>
      <c r="I30" t="s">
        <v>233</v>
      </c>
      <c r="J30" t="s">
        <v>359</v>
      </c>
      <c r="K30" t="s">
        <v>308</v>
      </c>
      <c r="L30" s="6" t="str">
        <f>IFERROR(VLOOKUP(K30,キャラマスタ[],2,FALSE),"")</f>
        <v>ロロノア・ゾロ</v>
      </c>
    </row>
    <row r="31" spans="1:13">
      <c r="A31" t="s">
        <v>641</v>
      </c>
      <c r="B31">
        <f t="shared" si="0"/>
        <v>1539</v>
      </c>
      <c r="C31">
        <v>0</v>
      </c>
      <c r="D31">
        <v>1.6</v>
      </c>
      <c r="E31">
        <v>1</v>
      </c>
      <c r="F31">
        <v>8</v>
      </c>
      <c r="G31" t="s">
        <v>403</v>
      </c>
      <c r="H31" s="6" t="str">
        <f>VLOOKUP(G31,場所マスタ[],6,FALSE)</f>
        <v>オレンジの町</v>
      </c>
      <c r="I31" t="s">
        <v>233</v>
      </c>
      <c r="J31" t="s">
        <v>360</v>
      </c>
      <c r="K31" t="s">
        <v>412</v>
      </c>
      <c r="L31" s="6" t="str">
        <f>IFERROR(VLOOKUP(K31,キャラマスタ[],2,FALSE),"")</f>
        <v>モンキー・D・ルフィ</v>
      </c>
    </row>
    <row r="32" spans="1:13">
      <c r="A32" t="s">
        <v>642</v>
      </c>
      <c r="B32">
        <f t="shared" si="0"/>
        <v>1539</v>
      </c>
      <c r="C32">
        <v>0</v>
      </c>
      <c r="D32">
        <v>1.6</v>
      </c>
      <c r="E32">
        <v>1</v>
      </c>
      <c r="F32">
        <v>8</v>
      </c>
      <c r="G32" t="s">
        <v>512</v>
      </c>
      <c r="H32" s="6" t="str">
        <f>VLOOKUP(G32,場所マスタ[],6,FALSE)</f>
        <v>シェルズタウン近海</v>
      </c>
      <c r="I32" t="s">
        <v>233</v>
      </c>
      <c r="J32" t="s">
        <v>514</v>
      </c>
      <c r="K32" t="s">
        <v>308</v>
      </c>
      <c r="L32" s="6" t="str">
        <f>IFERROR(VLOOKUP(K32,キャラマスタ[],2,FALSE),"")</f>
        <v>ロロノア・ゾロ</v>
      </c>
    </row>
    <row r="33" spans="1:12">
      <c r="A33" t="s">
        <v>643</v>
      </c>
      <c r="B33">
        <f t="shared" si="0"/>
        <v>1539</v>
      </c>
      <c r="C33">
        <v>0</v>
      </c>
      <c r="D33">
        <v>1.2</v>
      </c>
      <c r="E33">
        <v>1</v>
      </c>
      <c r="F33">
        <v>8</v>
      </c>
      <c r="G33" t="s">
        <v>512</v>
      </c>
      <c r="H33" s="6" t="str">
        <f>VLOOKUP(G33,場所マスタ[],6,FALSE)</f>
        <v>シェルズタウン近海</v>
      </c>
      <c r="I33" t="s">
        <v>233</v>
      </c>
      <c r="J33" t="s">
        <v>514</v>
      </c>
      <c r="K33" t="s">
        <v>321</v>
      </c>
      <c r="L33" s="6" t="str">
        <f>IFERROR(VLOOKUP(K33,キャラマスタ[],2,FALSE),"")</f>
        <v>ナミ</v>
      </c>
    </row>
    <row r="34" spans="1:12">
      <c r="A34" t="s">
        <v>644</v>
      </c>
      <c r="B34">
        <f t="shared" si="0"/>
        <v>1539</v>
      </c>
      <c r="C34">
        <v>0</v>
      </c>
      <c r="D34">
        <v>1.6</v>
      </c>
      <c r="E34">
        <v>1</v>
      </c>
      <c r="F34">
        <v>8</v>
      </c>
      <c r="G34" t="s">
        <v>403</v>
      </c>
      <c r="H34" s="6" t="str">
        <f>VLOOKUP(G34,場所マスタ[],6,FALSE)</f>
        <v>オレンジの町</v>
      </c>
      <c r="I34" t="s">
        <v>233</v>
      </c>
      <c r="J34" t="s">
        <v>515</v>
      </c>
      <c r="K34" t="s">
        <v>321</v>
      </c>
      <c r="L34" s="6" t="str">
        <f>IFERROR(VLOOKUP(K34,キャラマスタ[],2,FALSE),"")</f>
        <v>ナミ</v>
      </c>
    </row>
    <row r="35" spans="1:12">
      <c r="A35" t="s">
        <v>655</v>
      </c>
      <c r="B35">
        <f t="shared" si="0"/>
        <v>1539</v>
      </c>
      <c r="C35">
        <v>0</v>
      </c>
      <c r="D35">
        <v>1.7</v>
      </c>
      <c r="E35">
        <v>1</v>
      </c>
      <c r="F35">
        <v>9</v>
      </c>
      <c r="G35" t="s">
        <v>403</v>
      </c>
      <c r="H35" s="6" t="str">
        <f>VLOOKUP(G35,場所マスタ[],6,FALSE)</f>
        <v>オレンジの町</v>
      </c>
      <c r="I35" t="s">
        <v>233</v>
      </c>
      <c r="J35" t="s">
        <v>647</v>
      </c>
      <c r="K35" t="s">
        <v>308</v>
      </c>
      <c r="L35" s="6" t="str">
        <f>IFERROR(VLOOKUP(K35,キャラマスタ[],2,FALSE),"")</f>
        <v>ロロノア・ゾロ</v>
      </c>
    </row>
    <row r="36" spans="1:12">
      <c r="A36" t="s">
        <v>770</v>
      </c>
      <c r="B36">
        <f t="shared" ref="B36:B47" si="8">1539+C36</f>
        <v>1529</v>
      </c>
      <c r="C36">
        <v>-10</v>
      </c>
      <c r="D36">
        <v>-3640</v>
      </c>
      <c r="E36">
        <v>2</v>
      </c>
      <c r="F36">
        <v>12</v>
      </c>
      <c r="G36" t="s">
        <v>403</v>
      </c>
      <c r="H36" s="6" t="str">
        <f>VLOOKUP(G36,場所マスタ[],6,FALSE)</f>
        <v>オレンジの町</v>
      </c>
      <c r="I36" t="s">
        <v>233</v>
      </c>
      <c r="J36" t="s">
        <v>656</v>
      </c>
      <c r="K36" t="s">
        <v>576</v>
      </c>
      <c r="L36" s="6" t="str">
        <f>IFERROR(VLOOKUP(K36,キャラマスタ[],2,FALSE),"")</f>
        <v>シュシュ</v>
      </c>
    </row>
    <row r="37" spans="1:12">
      <c r="A37" t="s">
        <v>771</v>
      </c>
      <c r="B37">
        <f t="shared" si="8"/>
        <v>1538</v>
      </c>
      <c r="C37">
        <v>-1</v>
      </c>
      <c r="D37">
        <v>-90</v>
      </c>
      <c r="E37">
        <v>2</v>
      </c>
      <c r="F37">
        <v>12</v>
      </c>
      <c r="G37" t="s">
        <v>403</v>
      </c>
      <c r="H37" s="6" t="str">
        <f>VLOOKUP(G37,場所マスタ[],6,FALSE)</f>
        <v>オレンジの町</v>
      </c>
      <c r="I37" t="s">
        <v>233</v>
      </c>
      <c r="J37" t="s">
        <v>657</v>
      </c>
      <c r="K37" t="s">
        <v>576</v>
      </c>
      <c r="L37" s="6" t="str">
        <f>IFERROR(VLOOKUP(K37,キャラマスタ[],2,FALSE),"")</f>
        <v>シュシュ</v>
      </c>
    </row>
    <row r="38" spans="1:12">
      <c r="A38" t="s">
        <v>772</v>
      </c>
      <c r="B38">
        <f t="shared" si="8"/>
        <v>1539</v>
      </c>
      <c r="C38">
        <v>0</v>
      </c>
      <c r="D38">
        <v>1.8</v>
      </c>
      <c r="E38">
        <v>3</v>
      </c>
      <c r="F38">
        <v>20</v>
      </c>
      <c r="G38" t="s">
        <v>403</v>
      </c>
      <c r="H38" s="6" t="str">
        <f>VLOOKUP(G38,場所マスタ[],6,FALSE)</f>
        <v>オレンジの町</v>
      </c>
      <c r="I38" t="s">
        <v>233</v>
      </c>
      <c r="J38" t="s">
        <v>659</v>
      </c>
      <c r="K38" t="s">
        <v>411</v>
      </c>
      <c r="L38" s="6" t="str">
        <f>IFERROR(VLOOKUP(K38,キャラマスタ[],2,FALSE),"")</f>
        <v>モンキー・D・ルフィ</v>
      </c>
    </row>
    <row r="39" spans="1:12">
      <c r="A39" t="s">
        <v>773</v>
      </c>
      <c r="B39">
        <f t="shared" si="8"/>
        <v>1539</v>
      </c>
      <c r="C39">
        <v>0</v>
      </c>
      <c r="D39">
        <v>1.8</v>
      </c>
      <c r="E39">
        <v>2</v>
      </c>
      <c r="F39">
        <v>17</v>
      </c>
      <c r="G39" t="s">
        <v>403</v>
      </c>
      <c r="H39" s="6" t="str">
        <f>VLOOKUP(G39,場所マスタ[],6,FALSE)</f>
        <v>オレンジの町</v>
      </c>
      <c r="I39" t="s">
        <v>233</v>
      </c>
      <c r="J39" t="s">
        <v>659</v>
      </c>
      <c r="K39" t="s">
        <v>308</v>
      </c>
      <c r="L39" s="6" t="str">
        <f>IFERROR(VLOOKUP(K39,キャラマスタ[],2,FALSE),"")</f>
        <v>ロロノア・ゾロ</v>
      </c>
    </row>
    <row r="40" spans="1:12">
      <c r="A40" t="s">
        <v>774</v>
      </c>
      <c r="B40">
        <f t="shared" si="8"/>
        <v>1539</v>
      </c>
      <c r="C40">
        <v>0</v>
      </c>
      <c r="D40">
        <v>1.8</v>
      </c>
      <c r="E40">
        <v>2</v>
      </c>
      <c r="F40">
        <v>15</v>
      </c>
      <c r="G40" t="s">
        <v>403</v>
      </c>
      <c r="H40" s="6" t="str">
        <f>VLOOKUP(G40,場所マスタ[],6,FALSE)</f>
        <v>オレンジの町</v>
      </c>
      <c r="I40" t="s">
        <v>233</v>
      </c>
      <c r="J40" t="s">
        <v>659</v>
      </c>
      <c r="K40" t="s">
        <v>321</v>
      </c>
      <c r="L40" s="6" t="str">
        <f>IFERROR(VLOOKUP(K40,キャラマスタ[],2,FALSE),"")</f>
        <v>ナミ</v>
      </c>
    </row>
    <row r="41" spans="1:12">
      <c r="A41" t="s">
        <v>775</v>
      </c>
      <c r="B41">
        <f t="shared" si="8"/>
        <v>1539</v>
      </c>
      <c r="C41">
        <v>0</v>
      </c>
      <c r="D41">
        <v>1.8</v>
      </c>
      <c r="E41">
        <v>3</v>
      </c>
      <c r="F41">
        <v>20</v>
      </c>
      <c r="G41" t="s">
        <v>403</v>
      </c>
      <c r="H41" s="6" t="str">
        <f>VLOOKUP(G41,場所マスタ[],6,FALSE)</f>
        <v>オレンジの町</v>
      </c>
      <c r="I41" t="s">
        <v>233</v>
      </c>
      <c r="J41" t="s">
        <v>660</v>
      </c>
      <c r="K41" t="s">
        <v>570</v>
      </c>
      <c r="L41" s="6" t="str">
        <f>IFERROR(VLOOKUP(K41,キャラマスタ[],2,FALSE),"")</f>
        <v>バギー</v>
      </c>
    </row>
    <row r="42" spans="1:12">
      <c r="A42" t="s">
        <v>776</v>
      </c>
      <c r="B42">
        <f t="shared" si="8"/>
        <v>1539</v>
      </c>
      <c r="C42">
        <v>0</v>
      </c>
      <c r="D42">
        <v>1.8</v>
      </c>
      <c r="E42">
        <v>2</v>
      </c>
      <c r="F42">
        <v>15</v>
      </c>
      <c r="G42" t="s">
        <v>403</v>
      </c>
      <c r="H42" s="6" t="str">
        <f>VLOOKUP(G42,場所マスタ[],6,FALSE)</f>
        <v>オレンジの町</v>
      </c>
      <c r="I42" t="s">
        <v>233</v>
      </c>
      <c r="J42" t="s">
        <v>660</v>
      </c>
      <c r="K42" t="s">
        <v>661</v>
      </c>
      <c r="L42" s="6" t="str">
        <f>IFERROR(VLOOKUP(K42,キャラマスタ[],2,FALSE),"")</f>
        <v>モージ</v>
      </c>
    </row>
    <row r="43" spans="1:12">
      <c r="A43" t="s">
        <v>777</v>
      </c>
      <c r="B43">
        <f t="shared" si="8"/>
        <v>1539</v>
      </c>
      <c r="C43">
        <v>0</v>
      </c>
      <c r="D43">
        <v>1.8</v>
      </c>
      <c r="E43">
        <v>2</v>
      </c>
      <c r="F43">
        <v>17</v>
      </c>
      <c r="G43" t="s">
        <v>403</v>
      </c>
      <c r="H43" s="6" t="str">
        <f>VLOOKUP(G43,場所マスタ[],6,FALSE)</f>
        <v>オレンジの町</v>
      </c>
      <c r="I43" t="s">
        <v>233</v>
      </c>
      <c r="J43" t="s">
        <v>660</v>
      </c>
      <c r="K43" t="s">
        <v>662</v>
      </c>
      <c r="L43" s="6" t="str">
        <f>IFERROR(VLOOKUP(K43,キャラマスタ[],2,FALSE),"")</f>
        <v>カバジ</v>
      </c>
    </row>
    <row r="44" spans="1:12">
      <c r="A44" t="s">
        <v>778</v>
      </c>
      <c r="B44">
        <f>1539+C44</f>
        <v>1539</v>
      </c>
      <c r="C44">
        <v>0</v>
      </c>
      <c r="D44">
        <v>-10</v>
      </c>
      <c r="E44">
        <v>2</v>
      </c>
      <c r="F44">
        <v>17</v>
      </c>
      <c r="G44" t="s">
        <v>403</v>
      </c>
      <c r="H44" s="6" t="str">
        <f>VLOOKUP(G44,場所マスタ[],6,FALSE)</f>
        <v>オレンジの町</v>
      </c>
      <c r="I44" t="s">
        <v>233</v>
      </c>
      <c r="J44" t="s">
        <v>871</v>
      </c>
      <c r="K44" t="s">
        <v>570</v>
      </c>
      <c r="L44" s="6" t="str">
        <f>IFERROR(VLOOKUP(K44,キャラマスタ[],2,FALSE),"")</f>
        <v>バギー</v>
      </c>
    </row>
    <row r="45" spans="1:12">
      <c r="A45" t="s">
        <v>788</v>
      </c>
      <c r="B45">
        <f>1539+C45</f>
        <v>1539</v>
      </c>
      <c r="C45">
        <v>0</v>
      </c>
      <c r="D45">
        <v>-10</v>
      </c>
      <c r="E45">
        <v>2</v>
      </c>
      <c r="F45">
        <v>17</v>
      </c>
      <c r="G45" t="s">
        <v>403</v>
      </c>
      <c r="H45" s="6" t="str">
        <f>VLOOKUP(G45,場所マスタ[],6,FALSE)</f>
        <v>オレンジの町</v>
      </c>
      <c r="I45" t="s">
        <v>233</v>
      </c>
      <c r="J45" t="s">
        <v>871</v>
      </c>
      <c r="K45" t="s">
        <v>661</v>
      </c>
      <c r="L45" s="6" t="str">
        <f>IFERROR(VLOOKUP(K45,キャラマスタ[],2,FALSE),"")</f>
        <v>モージ</v>
      </c>
    </row>
    <row r="46" spans="1:12">
      <c r="A46" t="s">
        <v>789</v>
      </c>
      <c r="B46">
        <f>1539+C46</f>
        <v>1539</v>
      </c>
      <c r="C46">
        <v>0</v>
      </c>
      <c r="D46">
        <v>-10</v>
      </c>
      <c r="E46">
        <v>2</v>
      </c>
      <c r="F46">
        <v>17</v>
      </c>
      <c r="G46" t="s">
        <v>403</v>
      </c>
      <c r="H46" s="6" t="str">
        <f>VLOOKUP(G46,場所マスタ[],6,FALSE)</f>
        <v>オレンジの町</v>
      </c>
      <c r="I46" t="s">
        <v>233</v>
      </c>
      <c r="J46" t="s">
        <v>871</v>
      </c>
      <c r="K46" t="s">
        <v>662</v>
      </c>
      <c r="L46" s="6" t="str">
        <f>IFERROR(VLOOKUP(K46,キャラマスタ[],2,FALSE),"")</f>
        <v>カバジ</v>
      </c>
    </row>
    <row r="47" spans="1:12">
      <c r="A47" t="s">
        <v>790</v>
      </c>
      <c r="B47">
        <f t="shared" si="8"/>
        <v>1499</v>
      </c>
      <c r="C47">
        <v>-40</v>
      </c>
      <c r="D47">
        <v>-14600</v>
      </c>
      <c r="E47">
        <v>2</v>
      </c>
      <c r="F47">
        <v>14</v>
      </c>
      <c r="G47" t="s">
        <v>403</v>
      </c>
      <c r="H47" s="6" t="str">
        <f>VLOOKUP(G47,場所マスタ[],6,FALSE)</f>
        <v>オレンジの町</v>
      </c>
      <c r="I47" t="s">
        <v>233</v>
      </c>
      <c r="J47" t="s">
        <v>663</v>
      </c>
      <c r="K47" t="s">
        <v>577</v>
      </c>
      <c r="L47" s="6" t="str">
        <f>IFERROR(VLOOKUP(K47,キャラマスタ[],2,FALSE),"")</f>
        <v>ブードル</v>
      </c>
    </row>
    <row r="48" spans="1:12">
      <c r="A48" t="s">
        <v>791</v>
      </c>
      <c r="B48">
        <f t="shared" ref="B48:B56" si="9">1539+C48</f>
        <v>1514</v>
      </c>
      <c r="C48">
        <v>-25</v>
      </c>
      <c r="D48">
        <v>-9125</v>
      </c>
      <c r="E48">
        <v>3</v>
      </c>
      <c r="F48">
        <v>19</v>
      </c>
      <c r="G48" t="s">
        <v>497</v>
      </c>
      <c r="H48" s="6" t="str">
        <f>VLOOKUP(G48,場所マスタ[],6,FALSE)</f>
        <v>不明</v>
      </c>
      <c r="I48" t="s">
        <v>233</v>
      </c>
      <c r="J48" t="s">
        <v>779</v>
      </c>
      <c r="K48" t="s">
        <v>570</v>
      </c>
      <c r="L48" s="6" t="str">
        <f>IFERROR(VLOOKUP(K48,キャラマスタ[],2,FALSE),"")</f>
        <v>バギー</v>
      </c>
    </row>
    <row r="49" spans="1:12">
      <c r="A49" t="s">
        <v>792</v>
      </c>
      <c r="B49">
        <f t="shared" si="9"/>
        <v>1514</v>
      </c>
      <c r="C49">
        <v>-25</v>
      </c>
      <c r="D49">
        <v>-9125</v>
      </c>
      <c r="E49">
        <v>3</v>
      </c>
      <c r="F49">
        <v>19</v>
      </c>
      <c r="G49" t="s">
        <v>497</v>
      </c>
      <c r="H49" s="6" t="str">
        <f>VLOOKUP(G49,場所マスタ[],6,FALSE)</f>
        <v>不明</v>
      </c>
      <c r="I49" t="s">
        <v>233</v>
      </c>
      <c r="J49" t="s">
        <v>780</v>
      </c>
      <c r="K49" t="s">
        <v>292</v>
      </c>
      <c r="L49" s="6" t="str">
        <f>IFERROR(VLOOKUP(K49,キャラマスタ[],2,FALSE),"")</f>
        <v>シャンクス</v>
      </c>
    </row>
    <row r="50" spans="1:12">
      <c r="A50" t="s">
        <v>793</v>
      </c>
      <c r="B50">
        <f t="shared" si="9"/>
        <v>1539</v>
      </c>
      <c r="C50">
        <v>0</v>
      </c>
      <c r="D50">
        <v>1.9</v>
      </c>
      <c r="E50">
        <v>3</v>
      </c>
      <c r="F50">
        <v>21</v>
      </c>
      <c r="G50" t="s">
        <v>781</v>
      </c>
      <c r="H50" s="6" t="str">
        <f>VLOOKUP(G50,場所マスタ[],6,FALSE)</f>
        <v>オレンジの町近海</v>
      </c>
      <c r="I50" t="s">
        <v>233</v>
      </c>
      <c r="J50" t="s">
        <v>784</v>
      </c>
      <c r="K50" t="s">
        <v>570</v>
      </c>
      <c r="L50" s="6" t="str">
        <f>IFERROR(VLOOKUP(K50,キャラマスタ[],2,FALSE),"")</f>
        <v>バギー</v>
      </c>
    </row>
    <row r="51" spans="1:12">
      <c r="A51" t="s">
        <v>794</v>
      </c>
      <c r="B51">
        <f t="shared" si="9"/>
        <v>1539</v>
      </c>
      <c r="C51">
        <v>0</v>
      </c>
      <c r="D51">
        <v>1.9</v>
      </c>
      <c r="E51">
        <v>3</v>
      </c>
      <c r="F51">
        <v>22</v>
      </c>
      <c r="G51" t="s">
        <v>729</v>
      </c>
      <c r="H51" s="6" t="str">
        <f>VLOOKUP(G51,場所マスタ[],6,FALSE)</f>
        <v>珍獣島</v>
      </c>
      <c r="I51" t="s">
        <v>233</v>
      </c>
      <c r="J51" t="s">
        <v>785</v>
      </c>
      <c r="K51" t="s">
        <v>411</v>
      </c>
      <c r="L51" s="6" t="str">
        <f>IFERROR(VLOOKUP(K51,キャラマスタ[],2,FALSE),"")</f>
        <v>モンキー・D・ルフィ</v>
      </c>
    </row>
    <row r="52" spans="1:12">
      <c r="A52" t="s">
        <v>795</v>
      </c>
      <c r="B52">
        <f t="shared" si="9"/>
        <v>1539</v>
      </c>
      <c r="C52">
        <v>0</v>
      </c>
      <c r="D52">
        <v>1.9</v>
      </c>
      <c r="E52">
        <v>3</v>
      </c>
      <c r="F52">
        <v>22</v>
      </c>
      <c r="G52" t="s">
        <v>729</v>
      </c>
      <c r="H52" s="6" t="str">
        <f>VLOOKUP(G52,場所マスタ[],6,FALSE)</f>
        <v>珍獣島</v>
      </c>
      <c r="I52" t="s">
        <v>233</v>
      </c>
      <c r="J52" t="s">
        <v>785</v>
      </c>
      <c r="K52" t="s">
        <v>308</v>
      </c>
      <c r="L52" s="6" t="str">
        <f>IFERROR(VLOOKUP(K52,キャラマスタ[],2,FALSE),"")</f>
        <v>ロロノア・ゾロ</v>
      </c>
    </row>
    <row r="53" spans="1:12">
      <c r="A53" t="s">
        <v>796</v>
      </c>
      <c r="B53">
        <f t="shared" si="9"/>
        <v>1539</v>
      </c>
      <c r="C53">
        <v>0</v>
      </c>
      <c r="D53">
        <v>1.9</v>
      </c>
      <c r="E53">
        <v>3</v>
      </c>
      <c r="F53">
        <v>22</v>
      </c>
      <c r="G53" t="s">
        <v>729</v>
      </c>
      <c r="H53" s="6" t="str">
        <f>VLOOKUP(G53,場所マスタ[],6,FALSE)</f>
        <v>珍獣島</v>
      </c>
      <c r="I53" t="s">
        <v>233</v>
      </c>
      <c r="J53" t="s">
        <v>785</v>
      </c>
      <c r="K53" t="s">
        <v>321</v>
      </c>
      <c r="L53" s="6" t="str">
        <f>IFERROR(VLOOKUP(K53,キャラマスタ[],2,FALSE),"")</f>
        <v>ナミ</v>
      </c>
    </row>
    <row r="54" spans="1:12">
      <c r="A54" t="s">
        <v>797</v>
      </c>
      <c r="B54">
        <f t="shared" si="9"/>
        <v>1539</v>
      </c>
      <c r="C54">
        <v>0</v>
      </c>
      <c r="D54">
        <v>1.9</v>
      </c>
      <c r="E54">
        <v>3</v>
      </c>
      <c r="F54">
        <v>22</v>
      </c>
      <c r="G54" t="s">
        <v>729</v>
      </c>
      <c r="H54" s="6" t="str">
        <f>VLOOKUP(G54,場所マスタ[],6,FALSE)</f>
        <v>珍獣島</v>
      </c>
      <c r="I54" t="s">
        <v>233</v>
      </c>
      <c r="J54" t="s">
        <v>786</v>
      </c>
      <c r="K54" t="s">
        <v>717</v>
      </c>
      <c r="L54" s="6" t="str">
        <f>IFERROR(VLOOKUP(K54,キャラマスタ[],2,FALSE),"")</f>
        <v>ガイモン</v>
      </c>
    </row>
    <row r="55" spans="1:12">
      <c r="A55" t="s">
        <v>798</v>
      </c>
      <c r="B55">
        <f t="shared" si="9"/>
        <v>1519</v>
      </c>
      <c r="C55">
        <v>-20</v>
      </c>
      <c r="D55">
        <v>-7300</v>
      </c>
      <c r="E55">
        <v>3</v>
      </c>
      <c r="F55">
        <v>22</v>
      </c>
      <c r="G55" t="s">
        <v>729</v>
      </c>
      <c r="H55" s="6" t="str">
        <f>VLOOKUP(G55,場所マスタ[],6,FALSE)</f>
        <v>珍獣島</v>
      </c>
      <c r="I55" t="s">
        <v>233</v>
      </c>
      <c r="J55" t="s">
        <v>814</v>
      </c>
      <c r="K55" t="s">
        <v>717</v>
      </c>
      <c r="L55" s="6" t="str">
        <f>IFERROR(VLOOKUP(K55,キャラマスタ[],2,FALSE),"")</f>
        <v>ガイモン</v>
      </c>
    </row>
    <row r="56" spans="1:12">
      <c r="A56" t="s">
        <v>799</v>
      </c>
      <c r="B56">
        <f t="shared" si="9"/>
        <v>1539</v>
      </c>
      <c r="C56">
        <v>0</v>
      </c>
      <c r="D56">
        <v>2</v>
      </c>
      <c r="E56">
        <v>3</v>
      </c>
      <c r="F56">
        <v>23</v>
      </c>
      <c r="G56" t="s">
        <v>730</v>
      </c>
      <c r="H56" s="6" t="str">
        <f>VLOOKUP(G56,場所マスタ[],6,FALSE)</f>
        <v>シロップ村</v>
      </c>
      <c r="I56" t="s">
        <v>233</v>
      </c>
      <c r="J56" t="s">
        <v>787</v>
      </c>
      <c r="K56" t="s">
        <v>411</v>
      </c>
      <c r="L56" s="6" t="str">
        <f>IFERROR(VLOOKUP(K56,キャラマスタ[],2,FALSE),"")</f>
        <v>モンキー・D・ルフィ</v>
      </c>
    </row>
    <row r="57" spans="1:12">
      <c r="A57" t="s">
        <v>800</v>
      </c>
      <c r="B57">
        <f t="shared" ref="B57:B64" si="10">1539+C57</f>
        <v>1539</v>
      </c>
      <c r="C57">
        <v>0</v>
      </c>
      <c r="D57">
        <v>2</v>
      </c>
      <c r="E57">
        <v>3</v>
      </c>
      <c r="F57">
        <v>23</v>
      </c>
      <c r="G57" t="s">
        <v>730</v>
      </c>
      <c r="H57" s="6" t="str">
        <f>VLOOKUP(G57,場所マスタ[],6,FALSE)</f>
        <v>シロップ村</v>
      </c>
      <c r="I57" t="s">
        <v>233</v>
      </c>
      <c r="J57" t="s">
        <v>787</v>
      </c>
      <c r="K57" t="s">
        <v>308</v>
      </c>
      <c r="L57" s="6" t="str">
        <f>IFERROR(VLOOKUP(K57,キャラマスタ[],2,FALSE),"")</f>
        <v>ロロノア・ゾロ</v>
      </c>
    </row>
    <row r="58" spans="1:12">
      <c r="A58" t="s">
        <v>801</v>
      </c>
      <c r="B58">
        <f t="shared" si="10"/>
        <v>1539</v>
      </c>
      <c r="C58">
        <v>0</v>
      </c>
      <c r="D58">
        <v>2</v>
      </c>
      <c r="E58">
        <v>3</v>
      </c>
      <c r="F58">
        <v>23</v>
      </c>
      <c r="G58" t="s">
        <v>730</v>
      </c>
      <c r="H58" s="6" t="str">
        <f>VLOOKUP(G58,場所マスタ[],6,FALSE)</f>
        <v>シロップ村</v>
      </c>
      <c r="I58" t="s">
        <v>233</v>
      </c>
      <c r="J58" t="s">
        <v>787</v>
      </c>
      <c r="K58" t="s">
        <v>321</v>
      </c>
      <c r="L58" s="6" t="str">
        <f>IFERROR(VLOOKUP(K58,キャラマスタ[],2,FALSE),"")</f>
        <v>ナミ</v>
      </c>
    </row>
    <row r="59" spans="1:12">
      <c r="A59" t="s">
        <v>802</v>
      </c>
      <c r="B59">
        <f t="shared" si="10"/>
        <v>1539</v>
      </c>
      <c r="C59">
        <v>0</v>
      </c>
      <c r="D59">
        <v>2</v>
      </c>
      <c r="E59">
        <v>3</v>
      </c>
      <c r="F59">
        <v>23</v>
      </c>
      <c r="G59" t="s">
        <v>730</v>
      </c>
      <c r="H59" s="6" t="str">
        <f>VLOOKUP(G59,場所マスタ[],6,FALSE)</f>
        <v>シロップ村</v>
      </c>
      <c r="I59" t="s">
        <v>233</v>
      </c>
      <c r="J59" t="s">
        <v>807</v>
      </c>
      <c r="K59" t="s">
        <v>718</v>
      </c>
      <c r="L59" s="6" t="str">
        <f>IFERROR(VLOOKUP(K59,キャラマスタ[],2,FALSE),"")</f>
        <v>ウソップ</v>
      </c>
    </row>
    <row r="60" spans="1:12">
      <c r="A60" t="s">
        <v>803</v>
      </c>
      <c r="B60">
        <f t="shared" si="10"/>
        <v>1536</v>
      </c>
      <c r="C60">
        <v>-3</v>
      </c>
      <c r="D60">
        <v>-1095</v>
      </c>
      <c r="E60">
        <v>3</v>
      </c>
      <c r="F60">
        <v>25</v>
      </c>
      <c r="G60" t="s">
        <v>730</v>
      </c>
      <c r="H60" s="6" t="str">
        <f>VLOOKUP(G60,場所マスタ[],6,FALSE)</f>
        <v>シロップ村</v>
      </c>
      <c r="I60" t="s">
        <v>233</v>
      </c>
      <c r="J60" t="s">
        <v>808</v>
      </c>
      <c r="K60" t="s">
        <v>723</v>
      </c>
      <c r="L60" s="6" t="str">
        <f>IFERROR(VLOOKUP(K60,キャラマスタ[],2,FALSE),"")</f>
        <v>クロ</v>
      </c>
    </row>
    <row r="61" spans="1:12">
      <c r="A61" t="s">
        <v>804</v>
      </c>
      <c r="B61">
        <f t="shared" si="10"/>
        <v>1539</v>
      </c>
      <c r="C61">
        <v>0</v>
      </c>
      <c r="D61">
        <v>2.5</v>
      </c>
      <c r="E61">
        <v>3</v>
      </c>
      <c r="F61">
        <v>25</v>
      </c>
      <c r="G61" t="s">
        <v>730</v>
      </c>
      <c r="H61" s="6" t="str">
        <f>VLOOKUP(G61,場所マスタ[],6,FALSE)</f>
        <v>シロップ村</v>
      </c>
      <c r="I61" t="s">
        <v>233</v>
      </c>
      <c r="J61" t="s">
        <v>809</v>
      </c>
      <c r="K61" t="s">
        <v>723</v>
      </c>
      <c r="L61" s="6" t="str">
        <f>IFERROR(VLOOKUP(K61,キャラマスタ[],2,FALSE),"")</f>
        <v>クロ</v>
      </c>
    </row>
    <row r="62" spans="1:12">
      <c r="A62" t="s">
        <v>868</v>
      </c>
      <c r="B62">
        <f t="shared" si="10"/>
        <v>1539</v>
      </c>
      <c r="C62">
        <v>0</v>
      </c>
      <c r="D62">
        <v>2.5</v>
      </c>
      <c r="E62">
        <v>3</v>
      </c>
      <c r="F62">
        <v>25</v>
      </c>
      <c r="G62" t="s">
        <v>730</v>
      </c>
      <c r="H62" s="6" t="str">
        <f>VLOOKUP(G62,場所マスタ[],6,FALSE)</f>
        <v>シロップ村</v>
      </c>
      <c r="I62" t="s">
        <v>233</v>
      </c>
      <c r="J62" t="s">
        <v>809</v>
      </c>
      <c r="K62" t="s">
        <v>727</v>
      </c>
      <c r="L62" s="6" t="str">
        <f>IFERROR(VLOOKUP(K62,キャラマスタ[],2,FALSE),"")</f>
        <v>ジャンゴ</v>
      </c>
    </row>
    <row r="63" spans="1:12">
      <c r="A63" t="s">
        <v>869</v>
      </c>
      <c r="B63">
        <f t="shared" si="10"/>
        <v>1539</v>
      </c>
      <c r="C63">
        <v>0</v>
      </c>
      <c r="D63">
        <v>-5</v>
      </c>
      <c r="E63">
        <v>3</v>
      </c>
      <c r="F63">
        <v>26</v>
      </c>
      <c r="G63" t="s">
        <v>782</v>
      </c>
      <c r="H63" s="6" t="str">
        <f>VLOOKUP(G63,場所マスタ[],6,FALSE)</f>
        <v>シロップ村近海</v>
      </c>
      <c r="I63" t="s">
        <v>233</v>
      </c>
      <c r="J63" t="s">
        <v>812</v>
      </c>
      <c r="K63" t="s">
        <v>727</v>
      </c>
      <c r="L63" s="6" t="str">
        <f>IFERROR(VLOOKUP(K63,キャラマスタ[],2,FALSE),"")</f>
        <v>ジャンゴ</v>
      </c>
    </row>
    <row r="64" spans="1:12">
      <c r="A64" t="s">
        <v>870</v>
      </c>
      <c r="B64">
        <f t="shared" si="10"/>
        <v>1538</v>
      </c>
      <c r="C64">
        <v>-1</v>
      </c>
      <c r="D64">
        <v>-365</v>
      </c>
      <c r="E64">
        <v>3</v>
      </c>
      <c r="F64">
        <v>26</v>
      </c>
      <c r="G64" t="s">
        <v>730</v>
      </c>
      <c r="H64" s="6" t="str">
        <f>VLOOKUP(G64,場所マスタ[],6,FALSE)</f>
        <v>シロップ村</v>
      </c>
      <c r="I64" t="s">
        <v>233</v>
      </c>
      <c r="J64" t="s">
        <v>813</v>
      </c>
      <c r="K64" t="s">
        <v>718</v>
      </c>
      <c r="L64" s="6" t="str">
        <f>IFERROR(VLOOKUP(K64,キャラマスタ[],2,FALSE),"")</f>
        <v>ウソップ</v>
      </c>
    </row>
    <row r="65" spans="1:14">
      <c r="A65" t="s">
        <v>873</v>
      </c>
      <c r="B65">
        <f>1539+C65</f>
        <v>1539</v>
      </c>
      <c r="C65">
        <v>0</v>
      </c>
      <c r="D65">
        <v>3</v>
      </c>
      <c r="E65">
        <v>4</v>
      </c>
      <c r="F65">
        <v>28</v>
      </c>
      <c r="G65" t="s">
        <v>730</v>
      </c>
      <c r="H65" s="6" t="str">
        <f>VLOOKUP(G65,場所マスタ[],6,FALSE)</f>
        <v>シロップ村</v>
      </c>
      <c r="I65" t="s">
        <v>233</v>
      </c>
      <c r="J65" t="s">
        <v>872</v>
      </c>
      <c r="K65" t="s">
        <v>411</v>
      </c>
      <c r="L65" s="6" t="str">
        <f>IFERROR(VLOOKUP(K65,キャラマスタ[],2,FALSE),"")</f>
        <v>モンキー・D・ルフィ</v>
      </c>
    </row>
    <row r="66" spans="1:14">
      <c r="A66" t="s">
        <v>874</v>
      </c>
      <c r="B66">
        <f t="shared" ref="B66:B67" si="11">1539+C66</f>
        <v>1539</v>
      </c>
      <c r="C66">
        <v>0</v>
      </c>
      <c r="D66">
        <v>3</v>
      </c>
      <c r="E66">
        <v>4</v>
      </c>
      <c r="F66">
        <v>28</v>
      </c>
      <c r="G66" t="s">
        <v>730</v>
      </c>
      <c r="H66" s="6" t="str">
        <f>VLOOKUP(G66,場所マスタ[],6,FALSE)</f>
        <v>シロップ村</v>
      </c>
      <c r="I66" t="s">
        <v>233</v>
      </c>
      <c r="J66" t="s">
        <v>872</v>
      </c>
      <c r="K66" t="s">
        <v>308</v>
      </c>
      <c r="L66" s="6" t="str">
        <f>IFERROR(VLOOKUP(K66,キャラマスタ[],2,FALSE),"")</f>
        <v>ロロノア・ゾロ</v>
      </c>
    </row>
    <row r="67" spans="1:14">
      <c r="A67" t="s">
        <v>875</v>
      </c>
      <c r="B67">
        <f t="shared" si="11"/>
        <v>1539</v>
      </c>
      <c r="C67">
        <v>0</v>
      </c>
      <c r="D67">
        <v>3</v>
      </c>
      <c r="E67">
        <v>4</v>
      </c>
      <c r="F67">
        <v>28</v>
      </c>
      <c r="G67" t="s">
        <v>730</v>
      </c>
      <c r="H67" s="6" t="str">
        <f>VLOOKUP(G67,場所マスタ[],6,FALSE)</f>
        <v>シロップ村</v>
      </c>
      <c r="I67" t="s">
        <v>233</v>
      </c>
      <c r="J67" t="s">
        <v>872</v>
      </c>
      <c r="K67" t="s">
        <v>321</v>
      </c>
      <c r="L67" s="6" t="str">
        <f>IFERROR(VLOOKUP(K67,キャラマスタ[],2,FALSE),"")</f>
        <v>ナミ</v>
      </c>
    </row>
    <row r="68" spans="1:14">
      <c r="A68" t="s">
        <v>876</v>
      </c>
      <c r="B68">
        <f>1539+C68</f>
        <v>1539</v>
      </c>
      <c r="C68">
        <v>0</v>
      </c>
      <c r="D68">
        <v>3</v>
      </c>
      <c r="E68">
        <v>4</v>
      </c>
      <c r="F68">
        <v>28</v>
      </c>
      <c r="G68" t="s">
        <v>730</v>
      </c>
      <c r="H68" s="6" t="str">
        <f>VLOOKUP(G68,場所マスタ[],6,FALSE)</f>
        <v>シロップ村</v>
      </c>
      <c r="I68" t="s">
        <v>233</v>
      </c>
      <c r="J68" t="s">
        <v>872</v>
      </c>
      <c r="K68" t="s">
        <v>718</v>
      </c>
      <c r="L68" s="6" t="str">
        <f>IFERROR(VLOOKUP(K68,キャラマスタ[],2,FALSE),"")</f>
        <v>ウソップ</v>
      </c>
    </row>
    <row r="69" spans="1:14">
      <c r="A69" t="s">
        <v>877</v>
      </c>
      <c r="B69">
        <f t="shared" ref="B69:B72" si="12">1539+C69</f>
        <v>1539</v>
      </c>
      <c r="C69">
        <v>0</v>
      </c>
      <c r="D69">
        <v>3</v>
      </c>
      <c r="E69">
        <v>4</v>
      </c>
      <c r="F69">
        <v>28</v>
      </c>
      <c r="G69" t="s">
        <v>730</v>
      </c>
      <c r="H69" s="6" t="str">
        <f>VLOOKUP(G69,場所マスタ[],6,FALSE)</f>
        <v>シロップ村</v>
      </c>
      <c r="I69" t="s">
        <v>233</v>
      </c>
      <c r="J69" t="s">
        <v>879</v>
      </c>
      <c r="K69" t="s">
        <v>723</v>
      </c>
      <c r="L69" s="6" t="str">
        <f>IFERROR(VLOOKUP(K69,キャラマスタ[],2,FALSE),"")</f>
        <v>クロ</v>
      </c>
    </row>
    <row r="70" spans="1:14">
      <c r="A70" t="s">
        <v>878</v>
      </c>
      <c r="B70">
        <f t="shared" si="12"/>
        <v>1539</v>
      </c>
      <c r="C70">
        <v>0</v>
      </c>
      <c r="D70">
        <v>3</v>
      </c>
      <c r="E70">
        <v>4</v>
      </c>
      <c r="F70">
        <v>28</v>
      </c>
      <c r="G70" t="s">
        <v>730</v>
      </c>
      <c r="H70" s="6" t="str">
        <f>VLOOKUP(G70,場所マスタ[],6,FALSE)</f>
        <v>シロップ村</v>
      </c>
      <c r="I70" t="s">
        <v>233</v>
      </c>
      <c r="J70" t="s">
        <v>879</v>
      </c>
      <c r="K70" t="s">
        <v>727</v>
      </c>
      <c r="L70" s="6" t="str">
        <f>IFERROR(VLOOKUP(K70,キャラマスタ[],2,FALSE),"")</f>
        <v>ジャンゴ</v>
      </c>
    </row>
    <row r="71" spans="1:14">
      <c r="A71" t="s">
        <v>1041</v>
      </c>
      <c r="B71">
        <f t="shared" si="12"/>
        <v>1539</v>
      </c>
      <c r="C71">
        <v>0</v>
      </c>
      <c r="D71">
        <v>2</v>
      </c>
      <c r="E71">
        <v>4</v>
      </c>
      <c r="F71">
        <v>35</v>
      </c>
      <c r="G71" t="s">
        <v>781</v>
      </c>
      <c r="H71" s="6" t="str">
        <f>VLOOKUP(G71,場所マスタ[],6,FALSE)</f>
        <v>オレンジの町近海</v>
      </c>
      <c r="I71" t="s">
        <v>233</v>
      </c>
      <c r="J71" t="s">
        <v>887</v>
      </c>
      <c r="K71" t="s">
        <v>570</v>
      </c>
      <c r="L71" s="6" t="str">
        <f>IFERROR(VLOOKUP(K71,キャラマスタ[],2,FALSE),"")</f>
        <v>バギー</v>
      </c>
    </row>
    <row r="72" spans="1:14">
      <c r="A72" t="s">
        <v>1042</v>
      </c>
      <c r="B72">
        <f t="shared" si="12"/>
        <v>1539</v>
      </c>
      <c r="C72">
        <v>0</v>
      </c>
      <c r="D72">
        <v>3.2</v>
      </c>
      <c r="E72">
        <v>5</v>
      </c>
      <c r="F72">
        <v>40</v>
      </c>
      <c r="G72" t="s">
        <v>730</v>
      </c>
      <c r="H72" s="6" t="str">
        <f>VLOOKUP(G72,場所マスタ[],6,FALSE)</f>
        <v>シロップ村</v>
      </c>
      <c r="I72" t="s">
        <v>233</v>
      </c>
      <c r="J72" t="s">
        <v>1040</v>
      </c>
      <c r="K72" t="s">
        <v>718</v>
      </c>
      <c r="L72" s="6" t="str">
        <f>IFERROR(VLOOKUP(K72,キャラマスタ[],2,FALSE),"")</f>
        <v>ウソップ</v>
      </c>
    </row>
    <row r="73" spans="1:14">
      <c r="A73" t="s">
        <v>1043</v>
      </c>
      <c r="B73">
        <f t="shared" ref="B73:B80" si="13">1539+C73</f>
        <v>1534</v>
      </c>
      <c r="C73">
        <v>-5</v>
      </c>
      <c r="D73">
        <v>-1825</v>
      </c>
      <c r="E73">
        <v>5</v>
      </c>
      <c r="F73">
        <v>40</v>
      </c>
      <c r="G73" t="s">
        <v>730</v>
      </c>
      <c r="H73" s="6" t="str">
        <f>VLOOKUP(G73,場所マスタ[],6,FALSE)</f>
        <v>シロップ村</v>
      </c>
      <c r="I73" t="s">
        <v>233</v>
      </c>
      <c r="J73" t="s">
        <v>1049</v>
      </c>
      <c r="K73" t="s">
        <v>718</v>
      </c>
      <c r="L73" s="6" t="str">
        <f>IFERROR(VLOOKUP(K73,キャラマスタ[],2,FALSE),"")</f>
        <v>ウソップ</v>
      </c>
    </row>
    <row r="74" spans="1:14">
      <c r="A74" t="s">
        <v>1044</v>
      </c>
      <c r="B74">
        <f t="shared" si="13"/>
        <v>1527</v>
      </c>
      <c r="C74">
        <v>-12</v>
      </c>
      <c r="D74">
        <v>-4380</v>
      </c>
      <c r="E74">
        <v>5</v>
      </c>
      <c r="F74">
        <v>41</v>
      </c>
      <c r="G74" t="s">
        <v>730</v>
      </c>
      <c r="H74" s="6" t="str">
        <f>VLOOKUP(G74,場所マスタ[],6,FALSE)</f>
        <v>シロップ村</v>
      </c>
      <c r="I74" t="s">
        <v>233</v>
      </c>
      <c r="J74" t="s">
        <v>1050</v>
      </c>
      <c r="K74" t="s">
        <v>294</v>
      </c>
      <c r="L74" s="6" t="str">
        <f>IFERROR(VLOOKUP(K74,キャラマスタ[],2,FALSE),"")</f>
        <v>ヤソップ</v>
      </c>
      <c r="N74" t="s">
        <v>1051</v>
      </c>
    </row>
    <row r="75" spans="1:14">
      <c r="A75" t="s">
        <v>1045</v>
      </c>
      <c r="B75">
        <f t="shared" si="13"/>
        <v>1527</v>
      </c>
      <c r="C75">
        <v>-12</v>
      </c>
      <c r="D75">
        <v>-4200</v>
      </c>
      <c r="E75">
        <v>5</v>
      </c>
      <c r="F75">
        <v>41</v>
      </c>
      <c r="G75" t="s">
        <v>730</v>
      </c>
      <c r="H75" s="6" t="str">
        <f>VLOOKUP(G75,場所マスタ[],6,FALSE)</f>
        <v>シロップ村</v>
      </c>
      <c r="I75" t="s">
        <v>233</v>
      </c>
      <c r="J75" t="s">
        <v>1052</v>
      </c>
      <c r="K75" t="s">
        <v>718</v>
      </c>
      <c r="L75" s="6" t="str">
        <f>IFERROR(VLOOKUP(K75,キャラマスタ[],2,FALSE),"")</f>
        <v>ウソップ</v>
      </c>
    </row>
    <row r="76" spans="1:14">
      <c r="A76" t="s">
        <v>1046</v>
      </c>
      <c r="B76">
        <f t="shared" si="13"/>
        <v>1539</v>
      </c>
      <c r="C76">
        <v>0</v>
      </c>
      <c r="D76">
        <v>3.3</v>
      </c>
      <c r="E76">
        <v>5</v>
      </c>
      <c r="F76">
        <v>41</v>
      </c>
      <c r="G76" t="s">
        <v>730</v>
      </c>
      <c r="H76" s="6" t="str">
        <f>VLOOKUP(G76,場所マスタ[],6,FALSE)</f>
        <v>シロップ村</v>
      </c>
      <c r="I76" t="s">
        <v>233</v>
      </c>
      <c r="J76" t="s">
        <v>1053</v>
      </c>
      <c r="K76" t="s">
        <v>411</v>
      </c>
      <c r="L76" s="6" t="str">
        <f>IFERROR(VLOOKUP(K76,キャラマスタ[],2,FALSE),"")</f>
        <v>モンキー・D・ルフィ</v>
      </c>
    </row>
    <row r="77" spans="1:14">
      <c r="A77" t="s">
        <v>1047</v>
      </c>
      <c r="B77">
        <f t="shared" si="13"/>
        <v>1539</v>
      </c>
      <c r="C77">
        <v>0</v>
      </c>
      <c r="D77">
        <v>3.3</v>
      </c>
      <c r="E77">
        <v>5</v>
      </c>
      <c r="F77">
        <v>41</v>
      </c>
      <c r="G77" t="s">
        <v>730</v>
      </c>
      <c r="H77" s="6" t="str">
        <f>VLOOKUP(G77,場所マスタ[],6,FALSE)</f>
        <v>シロップ村</v>
      </c>
      <c r="I77" t="s">
        <v>233</v>
      </c>
      <c r="J77" t="s">
        <v>1053</v>
      </c>
      <c r="K77" t="s">
        <v>308</v>
      </c>
      <c r="L77" s="6" t="str">
        <f>IFERROR(VLOOKUP(K77,キャラマスタ[],2,FALSE),"")</f>
        <v>ロロノア・ゾロ</v>
      </c>
    </row>
    <row r="78" spans="1:14">
      <c r="A78" t="s">
        <v>1048</v>
      </c>
      <c r="B78">
        <f t="shared" si="13"/>
        <v>1539</v>
      </c>
      <c r="C78">
        <v>0</v>
      </c>
      <c r="D78">
        <v>3.3</v>
      </c>
      <c r="E78">
        <v>5</v>
      </c>
      <c r="F78">
        <v>41</v>
      </c>
      <c r="G78" t="s">
        <v>730</v>
      </c>
      <c r="H78" s="6" t="str">
        <f>VLOOKUP(G78,場所マスタ[],6,FALSE)</f>
        <v>シロップ村</v>
      </c>
      <c r="I78" t="s">
        <v>233</v>
      </c>
      <c r="J78" t="s">
        <v>1053</v>
      </c>
      <c r="K78" t="s">
        <v>321</v>
      </c>
      <c r="L78" s="6" t="str">
        <f>IFERROR(VLOOKUP(K78,キャラマスタ[],2,FALSE),"")</f>
        <v>ナミ</v>
      </c>
    </row>
    <row r="79" spans="1:14">
      <c r="A79" t="s">
        <v>1055</v>
      </c>
      <c r="B79">
        <f t="shared" si="13"/>
        <v>1539</v>
      </c>
      <c r="C79">
        <v>0</v>
      </c>
      <c r="D79">
        <v>3.3</v>
      </c>
      <c r="E79">
        <v>5</v>
      </c>
      <c r="F79">
        <v>41</v>
      </c>
      <c r="G79" t="s">
        <v>730</v>
      </c>
      <c r="H79" s="6" t="str">
        <f>VLOOKUP(G79,場所マスタ[],6,FALSE)</f>
        <v>シロップ村</v>
      </c>
      <c r="I79" t="s">
        <v>233</v>
      </c>
      <c r="J79" t="s">
        <v>1053</v>
      </c>
      <c r="K79" t="s">
        <v>718</v>
      </c>
      <c r="L79" s="6" t="str">
        <f>IFERROR(VLOOKUP(K79,キャラマスタ[],2,FALSE),"")</f>
        <v>ウソップ</v>
      </c>
    </row>
    <row r="80" spans="1:14">
      <c r="A80" t="s">
        <v>1056</v>
      </c>
      <c r="B80">
        <f t="shared" si="13"/>
        <v>1539</v>
      </c>
      <c r="C80">
        <v>0</v>
      </c>
      <c r="D80">
        <v>3.5</v>
      </c>
      <c r="E80">
        <v>5</v>
      </c>
      <c r="F80">
        <v>42</v>
      </c>
      <c r="G80" t="s">
        <v>782</v>
      </c>
      <c r="H80" s="6" t="str">
        <f>VLOOKUP(G80,場所マスタ[],6,FALSE)</f>
        <v>シロップ村近海</v>
      </c>
      <c r="I80" t="s">
        <v>233</v>
      </c>
      <c r="J80" t="s">
        <v>1054</v>
      </c>
      <c r="K80" t="s">
        <v>411</v>
      </c>
      <c r="L80" s="6" t="str">
        <f>IFERROR(VLOOKUP(K80,キャラマスタ[],2,FALSE),"")</f>
        <v>モンキー・D・ルフィ</v>
      </c>
    </row>
    <row r="81" spans="1:12">
      <c r="A81" t="s">
        <v>1057</v>
      </c>
      <c r="B81">
        <f t="shared" ref="B81:B87" si="14">1539+C81</f>
        <v>1539</v>
      </c>
      <c r="C81">
        <v>0</v>
      </c>
      <c r="D81">
        <v>3.5</v>
      </c>
      <c r="E81">
        <v>5</v>
      </c>
      <c r="F81">
        <v>42</v>
      </c>
      <c r="G81" t="s">
        <v>782</v>
      </c>
      <c r="H81" s="6" t="str">
        <f>VLOOKUP(G81,場所マスタ[],6,FALSE)</f>
        <v>シロップ村近海</v>
      </c>
      <c r="I81" t="s">
        <v>233</v>
      </c>
      <c r="J81" t="s">
        <v>1054</v>
      </c>
      <c r="K81" t="s">
        <v>308</v>
      </c>
      <c r="L81" s="6" t="str">
        <f>IFERROR(VLOOKUP(K81,キャラマスタ[],2,FALSE),"")</f>
        <v>ロロノア・ゾロ</v>
      </c>
    </row>
    <row r="82" spans="1:12">
      <c r="A82" t="s">
        <v>1058</v>
      </c>
      <c r="B82">
        <f t="shared" si="14"/>
        <v>1539</v>
      </c>
      <c r="C82">
        <v>0</v>
      </c>
      <c r="D82">
        <v>3.5</v>
      </c>
      <c r="E82">
        <v>5</v>
      </c>
      <c r="F82">
        <v>42</v>
      </c>
      <c r="G82" t="s">
        <v>782</v>
      </c>
      <c r="H82" s="6" t="str">
        <f>VLOOKUP(G82,場所マスタ[],6,FALSE)</f>
        <v>シロップ村近海</v>
      </c>
      <c r="I82" t="s">
        <v>233</v>
      </c>
      <c r="J82" t="s">
        <v>1054</v>
      </c>
      <c r="K82" t="s">
        <v>321</v>
      </c>
      <c r="L82" s="6" t="str">
        <f>IFERROR(VLOOKUP(K82,キャラマスタ[],2,FALSE),"")</f>
        <v>ナミ</v>
      </c>
    </row>
    <row r="83" spans="1:12">
      <c r="A83" t="s">
        <v>1059</v>
      </c>
      <c r="B83">
        <f t="shared" si="14"/>
        <v>1539</v>
      </c>
      <c r="C83">
        <v>0</v>
      </c>
      <c r="D83">
        <v>3.5</v>
      </c>
      <c r="E83">
        <v>5</v>
      </c>
      <c r="F83">
        <v>42</v>
      </c>
      <c r="G83" t="s">
        <v>782</v>
      </c>
      <c r="H83" s="6" t="str">
        <f>VLOOKUP(G83,場所マスタ[],6,FALSE)</f>
        <v>シロップ村近海</v>
      </c>
      <c r="I83" t="s">
        <v>233</v>
      </c>
      <c r="J83" t="s">
        <v>1054</v>
      </c>
      <c r="K83" t="s">
        <v>718</v>
      </c>
      <c r="L83" s="6" t="str">
        <f>IFERROR(VLOOKUP(K83,キャラマスタ[],2,FALSE),"")</f>
        <v>ウソップ</v>
      </c>
    </row>
    <row r="84" spans="1:12">
      <c r="A84" t="s">
        <v>1060</v>
      </c>
      <c r="B84">
        <f t="shared" si="14"/>
        <v>1539</v>
      </c>
      <c r="C84">
        <v>0</v>
      </c>
      <c r="D84">
        <v>3.5</v>
      </c>
      <c r="E84">
        <v>5</v>
      </c>
      <c r="F84">
        <v>42</v>
      </c>
      <c r="G84" t="s">
        <v>782</v>
      </c>
      <c r="H84" s="6" t="str">
        <f>VLOOKUP(G84,場所マスタ[],6,FALSE)</f>
        <v>シロップ村近海</v>
      </c>
      <c r="I84" t="s">
        <v>233</v>
      </c>
      <c r="J84" t="s">
        <v>1062</v>
      </c>
      <c r="K84" t="s">
        <v>1088</v>
      </c>
      <c r="L84" s="6" t="str">
        <f>IFERROR(VLOOKUP(K84,キャラマスタ[],2,FALSE),"")</f>
        <v>ヨサク</v>
      </c>
    </row>
    <row r="85" spans="1:12">
      <c r="A85" t="s">
        <v>1061</v>
      </c>
      <c r="B85">
        <f t="shared" si="14"/>
        <v>1539</v>
      </c>
      <c r="C85">
        <v>0</v>
      </c>
      <c r="D85">
        <v>3.5</v>
      </c>
      <c r="E85">
        <v>5</v>
      </c>
      <c r="F85">
        <v>42</v>
      </c>
      <c r="G85" t="s">
        <v>782</v>
      </c>
      <c r="H85" s="6" t="str">
        <f>VLOOKUP(G85,場所マスタ[],6,FALSE)</f>
        <v>シロップ村近海</v>
      </c>
      <c r="I85" t="s">
        <v>233</v>
      </c>
      <c r="J85" t="s">
        <v>1062</v>
      </c>
      <c r="K85" t="s">
        <v>1089</v>
      </c>
      <c r="L85" s="6" t="str">
        <f>IFERROR(VLOOKUP(K85,キャラマスタ[],2,FALSE),"")</f>
        <v>ジョニー</v>
      </c>
    </row>
    <row r="86" spans="1:12">
      <c r="A86" t="s">
        <v>1067</v>
      </c>
      <c r="B86">
        <f t="shared" si="14"/>
        <v>1539</v>
      </c>
      <c r="C86">
        <v>0</v>
      </c>
      <c r="D86">
        <v>3</v>
      </c>
      <c r="E86">
        <v>5</v>
      </c>
      <c r="F86">
        <v>43</v>
      </c>
      <c r="G86" t="s">
        <v>729</v>
      </c>
      <c r="H86" s="6" t="str">
        <f>VLOOKUP(G86,場所マスタ[],6,FALSE)</f>
        <v>珍獣島</v>
      </c>
      <c r="I86" t="s">
        <v>233</v>
      </c>
      <c r="J86" t="s">
        <v>1063</v>
      </c>
      <c r="K86" t="s">
        <v>570</v>
      </c>
      <c r="L86" s="6" t="str">
        <f>IFERROR(VLOOKUP(K86,キャラマスタ[],2,FALSE),"")</f>
        <v>バギー</v>
      </c>
    </row>
    <row r="87" spans="1:12">
      <c r="A87" t="s">
        <v>1068</v>
      </c>
      <c r="B87">
        <f t="shared" si="14"/>
        <v>1539</v>
      </c>
      <c r="C87">
        <v>0</v>
      </c>
      <c r="D87">
        <v>5</v>
      </c>
      <c r="E87">
        <v>5</v>
      </c>
      <c r="F87">
        <v>43</v>
      </c>
      <c r="G87" t="s">
        <v>966</v>
      </c>
      <c r="H87" s="6" t="str">
        <f>VLOOKUP(G87,場所マスタ[],6,FALSE)</f>
        <v>バラティエ</v>
      </c>
      <c r="I87" t="s">
        <v>233</v>
      </c>
      <c r="J87" t="s">
        <v>1066</v>
      </c>
      <c r="K87" t="s">
        <v>411</v>
      </c>
      <c r="L87" s="6" t="str">
        <f>IFERROR(VLOOKUP(K87,キャラマスタ[],2,FALSE),"")</f>
        <v>モンキー・D・ルフィ</v>
      </c>
    </row>
    <row r="88" spans="1:12">
      <c r="A88" t="s">
        <v>1069</v>
      </c>
      <c r="B88">
        <f t="shared" ref="B88:B94" si="15">1539+C88</f>
        <v>1539</v>
      </c>
      <c r="C88">
        <v>0</v>
      </c>
      <c r="D88">
        <v>5</v>
      </c>
      <c r="E88">
        <v>5</v>
      </c>
      <c r="F88">
        <v>43</v>
      </c>
      <c r="G88" t="s">
        <v>966</v>
      </c>
      <c r="H88" s="6" t="str">
        <f>VLOOKUP(G88,場所マスタ[],6,FALSE)</f>
        <v>バラティエ</v>
      </c>
      <c r="I88" t="s">
        <v>233</v>
      </c>
      <c r="J88" t="s">
        <v>1066</v>
      </c>
      <c r="K88" t="s">
        <v>308</v>
      </c>
      <c r="L88" s="6" t="str">
        <f>IFERROR(VLOOKUP(K88,キャラマスタ[],2,FALSE),"")</f>
        <v>ロロノア・ゾロ</v>
      </c>
    </row>
    <row r="89" spans="1:12">
      <c r="A89" t="s">
        <v>1070</v>
      </c>
      <c r="B89">
        <f t="shared" si="15"/>
        <v>1539</v>
      </c>
      <c r="C89">
        <v>0</v>
      </c>
      <c r="D89">
        <v>5</v>
      </c>
      <c r="E89">
        <v>5</v>
      </c>
      <c r="F89">
        <v>43</v>
      </c>
      <c r="G89" t="s">
        <v>966</v>
      </c>
      <c r="H89" s="6" t="str">
        <f>VLOOKUP(G89,場所マスタ[],6,FALSE)</f>
        <v>バラティエ</v>
      </c>
      <c r="I89" t="s">
        <v>233</v>
      </c>
      <c r="J89" t="s">
        <v>1066</v>
      </c>
      <c r="K89" t="s">
        <v>321</v>
      </c>
      <c r="L89" s="6" t="str">
        <f>IFERROR(VLOOKUP(K89,キャラマスタ[],2,FALSE),"")</f>
        <v>ナミ</v>
      </c>
    </row>
    <row r="90" spans="1:12">
      <c r="A90" t="s">
        <v>1071</v>
      </c>
      <c r="B90">
        <f t="shared" si="15"/>
        <v>1539</v>
      </c>
      <c r="C90">
        <v>0</v>
      </c>
      <c r="D90">
        <v>5</v>
      </c>
      <c r="E90">
        <v>5</v>
      </c>
      <c r="F90">
        <v>43</v>
      </c>
      <c r="G90" t="s">
        <v>966</v>
      </c>
      <c r="H90" s="6" t="str">
        <f>VLOOKUP(G90,場所マスタ[],6,FALSE)</f>
        <v>バラティエ</v>
      </c>
      <c r="I90" t="s">
        <v>233</v>
      </c>
      <c r="J90" t="s">
        <v>1066</v>
      </c>
      <c r="K90" t="s">
        <v>718</v>
      </c>
      <c r="L90" s="6" t="str">
        <f>IFERROR(VLOOKUP(K90,キャラマスタ[],2,FALSE),"")</f>
        <v>ウソップ</v>
      </c>
    </row>
    <row r="91" spans="1:12">
      <c r="A91" t="s">
        <v>1072</v>
      </c>
      <c r="B91">
        <f t="shared" si="15"/>
        <v>1539</v>
      </c>
      <c r="C91">
        <v>0</v>
      </c>
      <c r="D91">
        <v>5</v>
      </c>
      <c r="E91">
        <v>5</v>
      </c>
      <c r="F91">
        <v>43</v>
      </c>
      <c r="G91" t="s">
        <v>966</v>
      </c>
      <c r="H91" s="6" t="str">
        <f>VLOOKUP(G91,場所マスタ[],6,FALSE)</f>
        <v>バラティエ</v>
      </c>
      <c r="I91" t="s">
        <v>233</v>
      </c>
      <c r="J91" t="s">
        <v>1066</v>
      </c>
      <c r="K91" t="s">
        <v>1088</v>
      </c>
      <c r="L91" s="6" t="str">
        <f>IFERROR(VLOOKUP(K91,キャラマスタ[],2,FALSE),"")</f>
        <v>ヨサク</v>
      </c>
    </row>
    <row r="92" spans="1:12">
      <c r="A92" t="s">
        <v>1073</v>
      </c>
      <c r="B92">
        <f t="shared" si="15"/>
        <v>1539</v>
      </c>
      <c r="C92">
        <v>0</v>
      </c>
      <c r="D92">
        <v>5</v>
      </c>
      <c r="E92">
        <v>5</v>
      </c>
      <c r="F92">
        <v>43</v>
      </c>
      <c r="G92" t="s">
        <v>966</v>
      </c>
      <c r="H92" s="6" t="str">
        <f>VLOOKUP(G92,場所マスタ[],6,FALSE)</f>
        <v>バラティエ</v>
      </c>
      <c r="I92" t="s">
        <v>233</v>
      </c>
      <c r="J92" t="s">
        <v>1066</v>
      </c>
      <c r="K92" t="s">
        <v>1089</v>
      </c>
      <c r="L92" s="6" t="str">
        <f>IFERROR(VLOOKUP(K92,キャラマスタ[],2,FALSE),"")</f>
        <v>ジョニー</v>
      </c>
    </row>
    <row r="93" spans="1:12">
      <c r="A93" t="s">
        <v>1079</v>
      </c>
      <c r="B93">
        <f t="shared" si="15"/>
        <v>1539</v>
      </c>
      <c r="C93">
        <v>0</v>
      </c>
      <c r="D93">
        <v>2</v>
      </c>
      <c r="E93">
        <v>5</v>
      </c>
      <c r="F93">
        <v>44</v>
      </c>
      <c r="G93" t="s">
        <v>497</v>
      </c>
      <c r="H93" s="6" t="str">
        <f>VLOOKUP(G93,場所マスタ[],6,FALSE)</f>
        <v>不明</v>
      </c>
      <c r="I93" t="s">
        <v>233</v>
      </c>
      <c r="J93" t="s">
        <v>1077</v>
      </c>
      <c r="K93" t="s">
        <v>1091</v>
      </c>
      <c r="L93" s="6" t="str">
        <f>IFERROR(VLOOKUP(K93,キャラマスタ[],2,FALSE),"")</f>
        <v>ギン</v>
      </c>
    </row>
    <row r="94" spans="1:12">
      <c r="A94" t="s">
        <v>1080</v>
      </c>
      <c r="B94">
        <f t="shared" si="15"/>
        <v>1539</v>
      </c>
      <c r="C94">
        <v>0</v>
      </c>
      <c r="D94">
        <v>5</v>
      </c>
      <c r="E94">
        <v>5</v>
      </c>
      <c r="F94">
        <v>44</v>
      </c>
      <c r="G94" t="s">
        <v>966</v>
      </c>
      <c r="H94" s="6" t="str">
        <f>VLOOKUP(G94,場所マスタ[],6,FALSE)</f>
        <v>バラティエ</v>
      </c>
      <c r="I94" t="s">
        <v>233</v>
      </c>
      <c r="J94" t="s">
        <v>1066</v>
      </c>
      <c r="K94" t="s">
        <v>1091</v>
      </c>
      <c r="L94" s="6" t="str">
        <f>IFERROR(VLOOKUP(K94,キャラマスタ[],2,FALSE),"")</f>
        <v>ギン</v>
      </c>
    </row>
    <row r="95" spans="1:12">
      <c r="A95" t="s">
        <v>1178</v>
      </c>
      <c r="B95">
        <f>1539+C95</f>
        <v>1539</v>
      </c>
      <c r="C95">
        <v>0</v>
      </c>
      <c r="D95">
        <v>5</v>
      </c>
      <c r="E95">
        <v>5</v>
      </c>
      <c r="F95">
        <v>44</v>
      </c>
      <c r="G95" t="s">
        <v>966</v>
      </c>
      <c r="H95" s="6" t="str">
        <f>VLOOKUP(G95,場所マスタ[],6,FALSE)</f>
        <v>バラティエ</v>
      </c>
      <c r="I95" t="s">
        <v>233</v>
      </c>
      <c r="J95" t="s">
        <v>1066</v>
      </c>
      <c r="K95" t="s">
        <v>1087</v>
      </c>
      <c r="L95" s="6" t="str">
        <f>IFERROR(VLOOKUP(K95,キャラマスタ[],2,FALSE),"")</f>
        <v>フルボディ</v>
      </c>
    </row>
    <row r="96" spans="1:12">
      <c r="A96" t="s">
        <v>1179</v>
      </c>
      <c r="B96">
        <f>1539+C96</f>
        <v>1539</v>
      </c>
      <c r="C96">
        <v>0</v>
      </c>
      <c r="D96">
        <v>5</v>
      </c>
      <c r="E96">
        <v>5</v>
      </c>
      <c r="F96">
        <v>44</v>
      </c>
      <c r="G96" t="s">
        <v>966</v>
      </c>
      <c r="H96" s="6" t="str">
        <f>VLOOKUP(G96,場所マスタ[],6,FALSE)</f>
        <v>バラティエ</v>
      </c>
      <c r="I96" t="s">
        <v>233</v>
      </c>
      <c r="J96" t="s">
        <v>1081</v>
      </c>
      <c r="K96" t="s">
        <v>1090</v>
      </c>
      <c r="L96" s="6" t="str">
        <f>IFERROR(VLOOKUP(K96,キャラマスタ[],2,FALSE),"")</f>
        <v>サンジ</v>
      </c>
    </row>
    <row r="97" spans="1:12">
      <c r="A97" t="s">
        <v>1180</v>
      </c>
      <c r="B97">
        <f>1539+C97</f>
        <v>1539</v>
      </c>
      <c r="C97">
        <v>0</v>
      </c>
      <c r="D97">
        <v>4</v>
      </c>
      <c r="E97">
        <v>6</v>
      </c>
      <c r="F97">
        <v>48</v>
      </c>
      <c r="G97" t="s">
        <v>1064</v>
      </c>
      <c r="H97" s="6" t="str">
        <f>VLOOKUP(G97,場所マスタ[],6,FALSE)</f>
        <v>珍獣島近海</v>
      </c>
      <c r="I97" t="s">
        <v>233</v>
      </c>
      <c r="J97" t="s">
        <v>1270</v>
      </c>
      <c r="K97" t="s">
        <v>570</v>
      </c>
      <c r="L97" s="6" t="str">
        <f>IFERROR(VLOOKUP(K97,キャラマスタ[],2,FALSE),"")</f>
        <v>バギー</v>
      </c>
    </row>
    <row r="98" spans="1:12">
      <c r="A98" t="s">
        <v>1181</v>
      </c>
      <c r="B98">
        <f>1539+C98</f>
        <v>1539</v>
      </c>
      <c r="C98">
        <v>0</v>
      </c>
      <c r="D98">
        <v>4</v>
      </c>
      <c r="E98">
        <v>6</v>
      </c>
      <c r="F98">
        <v>48</v>
      </c>
      <c r="G98" t="s">
        <v>1064</v>
      </c>
      <c r="H98" s="6" t="str">
        <f>VLOOKUP(G98,場所マスタ[],6,FALSE)</f>
        <v>珍獣島近海</v>
      </c>
      <c r="I98" t="s">
        <v>233</v>
      </c>
      <c r="J98" t="s">
        <v>1271</v>
      </c>
      <c r="K98" t="s">
        <v>304</v>
      </c>
      <c r="L98" s="6" t="str">
        <f>IFERROR(VLOOKUP(K98,キャラマスタ[],2,FALSE),"")</f>
        <v>アルビダ</v>
      </c>
    </row>
    <row r="99" spans="1:12">
      <c r="A99" t="s">
        <v>1182</v>
      </c>
      <c r="B99">
        <f>1539+C99</f>
        <v>1539</v>
      </c>
      <c r="C99">
        <v>0</v>
      </c>
      <c r="D99">
        <v>7</v>
      </c>
      <c r="E99">
        <v>6</v>
      </c>
      <c r="F99">
        <v>47</v>
      </c>
      <c r="G99" t="s">
        <v>966</v>
      </c>
      <c r="H99" s="6" t="str">
        <f>VLOOKUP(G99,場所マスタ[],6,FALSE)</f>
        <v>バラティエ</v>
      </c>
      <c r="I99" t="s">
        <v>233</v>
      </c>
      <c r="J99" t="s">
        <v>1177</v>
      </c>
      <c r="K99" t="s">
        <v>1099</v>
      </c>
      <c r="L99" s="6" t="str">
        <f>IFERROR(VLOOKUP(K99,キャラマスタ[],2,FALSE),"")</f>
        <v>クリーク</v>
      </c>
    </row>
    <row r="100" spans="1:12">
      <c r="A100" t="s">
        <v>1183</v>
      </c>
      <c r="B100">
        <f t="shared" ref="B100:B105" si="16">1539+C100</f>
        <v>1539</v>
      </c>
      <c r="C100">
        <v>0</v>
      </c>
      <c r="D100">
        <v>7</v>
      </c>
      <c r="E100">
        <v>6</v>
      </c>
      <c r="F100">
        <v>47</v>
      </c>
      <c r="G100" t="s">
        <v>966</v>
      </c>
      <c r="H100" s="6" t="str">
        <f>VLOOKUP(G100,場所マスタ[],6,FALSE)</f>
        <v>バラティエ</v>
      </c>
      <c r="I100" t="s">
        <v>233</v>
      </c>
      <c r="J100" t="s">
        <v>1177</v>
      </c>
      <c r="K100" t="s">
        <v>1085</v>
      </c>
      <c r="L100" s="6" t="str">
        <f>IFERROR(VLOOKUP(K100,キャラマスタ[],2,FALSE),"")</f>
        <v>ギン</v>
      </c>
    </row>
    <row r="101" spans="1:12">
      <c r="A101" t="s">
        <v>1184</v>
      </c>
      <c r="B101">
        <f t="shared" si="16"/>
        <v>1539</v>
      </c>
      <c r="C101">
        <v>0</v>
      </c>
      <c r="D101">
        <v>-5</v>
      </c>
      <c r="E101">
        <v>6</v>
      </c>
      <c r="F101">
        <v>48</v>
      </c>
      <c r="G101" t="s">
        <v>497</v>
      </c>
      <c r="H101" s="6" t="str">
        <f>VLOOKUP(G101,場所マスタ[],6,FALSE)</f>
        <v>不明</v>
      </c>
      <c r="I101" t="s">
        <v>233</v>
      </c>
      <c r="J101" t="s">
        <v>1187</v>
      </c>
      <c r="K101" t="s">
        <v>1099</v>
      </c>
      <c r="L101" s="6" t="str">
        <f>IFERROR(VLOOKUP(K101,キャラマスタ[],2,FALSE),"")</f>
        <v>クリーク</v>
      </c>
    </row>
    <row r="102" spans="1:12">
      <c r="A102" t="s">
        <v>1185</v>
      </c>
      <c r="B102">
        <f t="shared" si="16"/>
        <v>1539</v>
      </c>
      <c r="C102">
        <v>0</v>
      </c>
      <c r="D102">
        <v>-5</v>
      </c>
      <c r="E102">
        <v>6</v>
      </c>
      <c r="F102">
        <v>48</v>
      </c>
      <c r="G102" t="s">
        <v>497</v>
      </c>
      <c r="H102" s="6" t="str">
        <f>VLOOKUP(G102,場所マスタ[],6,FALSE)</f>
        <v>不明</v>
      </c>
      <c r="I102" t="s">
        <v>233</v>
      </c>
      <c r="J102" t="s">
        <v>1187</v>
      </c>
      <c r="K102" t="s">
        <v>1085</v>
      </c>
      <c r="L102" s="6" t="str">
        <f>IFERROR(VLOOKUP(K102,キャラマスタ[],2,FALSE),"")</f>
        <v>ギン</v>
      </c>
    </row>
    <row r="103" spans="1:12">
      <c r="A103" t="s">
        <v>1186</v>
      </c>
      <c r="B103">
        <f t="shared" si="16"/>
        <v>1539</v>
      </c>
      <c r="C103">
        <v>0</v>
      </c>
      <c r="D103">
        <v>7</v>
      </c>
      <c r="E103">
        <v>6</v>
      </c>
      <c r="F103">
        <v>50</v>
      </c>
      <c r="G103" t="s">
        <v>1189</v>
      </c>
      <c r="H103" s="6" t="str">
        <f>VLOOKUP(G103,場所マスタ[],6,FALSE)</f>
        <v>バラティエ近海</v>
      </c>
      <c r="I103" t="s">
        <v>233</v>
      </c>
      <c r="J103" t="s">
        <v>1190</v>
      </c>
      <c r="K103" t="s">
        <v>321</v>
      </c>
      <c r="L103" s="6" t="str">
        <f>IFERROR(VLOOKUP(K103,キャラマスタ[],2,FALSE),"")</f>
        <v>ナミ</v>
      </c>
    </row>
    <row r="104" spans="1:12">
      <c r="A104" t="s">
        <v>1202</v>
      </c>
      <c r="B104">
        <f t="shared" si="16"/>
        <v>1539</v>
      </c>
      <c r="C104">
        <v>0</v>
      </c>
      <c r="D104">
        <v>7</v>
      </c>
      <c r="E104">
        <v>6</v>
      </c>
      <c r="F104">
        <v>50</v>
      </c>
      <c r="G104" t="s">
        <v>966</v>
      </c>
      <c r="H104" s="6" t="str">
        <f>VLOOKUP(G104,場所マスタ[],6,FALSE)</f>
        <v>バラティエ</v>
      </c>
      <c r="I104" t="s">
        <v>233</v>
      </c>
      <c r="J104" t="s">
        <v>1199</v>
      </c>
      <c r="K104" t="s">
        <v>1200</v>
      </c>
      <c r="L104" s="6" t="str">
        <f>IFERROR(VLOOKUP(K104,キャラマスタ[],2,FALSE),"")</f>
        <v>ロロノア・ゾロ</v>
      </c>
    </row>
    <row r="105" spans="1:12">
      <c r="A105" t="s">
        <v>1203</v>
      </c>
      <c r="B105">
        <f t="shared" si="16"/>
        <v>1539</v>
      </c>
      <c r="C105">
        <v>0</v>
      </c>
      <c r="D105">
        <v>7</v>
      </c>
      <c r="E105">
        <v>6</v>
      </c>
      <c r="F105">
        <v>50</v>
      </c>
      <c r="G105" t="s">
        <v>966</v>
      </c>
      <c r="H105" s="6" t="str">
        <f>VLOOKUP(G105,場所マスタ[],6,FALSE)</f>
        <v>バラティエ</v>
      </c>
      <c r="I105" t="s">
        <v>233</v>
      </c>
      <c r="J105" t="s">
        <v>1201</v>
      </c>
      <c r="K105" t="s">
        <v>1169</v>
      </c>
      <c r="L105" s="6" t="str">
        <f>IFERROR(VLOOKUP(K105,キャラマスタ[],2,FALSE),"")</f>
        <v>ジュラキュール・ミホーク</v>
      </c>
    </row>
    <row r="106" spans="1:12">
      <c r="A106" t="s">
        <v>1204</v>
      </c>
      <c r="B106">
        <f>1539+C106</f>
        <v>1539</v>
      </c>
      <c r="C106">
        <v>0</v>
      </c>
      <c r="D106">
        <v>7.2</v>
      </c>
      <c r="E106">
        <v>6</v>
      </c>
      <c r="F106">
        <v>52</v>
      </c>
      <c r="G106" t="s">
        <v>497</v>
      </c>
      <c r="H106" s="6" t="str">
        <f>VLOOKUP(G106,場所マスタ[],6,FALSE)</f>
        <v>不明</v>
      </c>
      <c r="I106" t="s">
        <v>233</v>
      </c>
      <c r="J106" t="s">
        <v>1444</v>
      </c>
      <c r="K106" t="s">
        <v>1169</v>
      </c>
      <c r="L106" s="6" t="str">
        <f>IFERROR(VLOOKUP(K106,キャラマスタ[],2,FALSE),"")</f>
        <v>ジュラキュール・ミホーク</v>
      </c>
    </row>
    <row r="107" spans="1:12">
      <c r="A107" t="s">
        <v>1205</v>
      </c>
      <c r="B107">
        <f t="shared" ref="B107:B114" si="17">1539+C107</f>
        <v>1539</v>
      </c>
      <c r="C107">
        <v>0</v>
      </c>
      <c r="D107">
        <v>7.2</v>
      </c>
      <c r="E107">
        <v>6</v>
      </c>
      <c r="F107">
        <v>52</v>
      </c>
      <c r="G107" t="s">
        <v>1189</v>
      </c>
      <c r="H107" s="6" t="str">
        <f>VLOOKUP(G107,場所マスタ[],6,FALSE)</f>
        <v>バラティエ近海</v>
      </c>
      <c r="I107" t="s">
        <v>233</v>
      </c>
      <c r="J107" t="s">
        <v>1210</v>
      </c>
      <c r="K107" t="s">
        <v>1200</v>
      </c>
      <c r="L107" s="6" t="str">
        <f>IFERROR(VLOOKUP(K107,キャラマスタ[],2,FALSE),"")</f>
        <v>ロロノア・ゾロ</v>
      </c>
    </row>
    <row r="108" spans="1:12">
      <c r="A108" t="s">
        <v>1206</v>
      </c>
      <c r="B108">
        <f t="shared" si="17"/>
        <v>1539</v>
      </c>
      <c r="C108">
        <v>0</v>
      </c>
      <c r="D108">
        <v>7.2</v>
      </c>
      <c r="E108">
        <v>6</v>
      </c>
      <c r="F108">
        <v>52</v>
      </c>
      <c r="G108" t="s">
        <v>1189</v>
      </c>
      <c r="H108" s="6" t="str">
        <f>VLOOKUP(G108,場所マスタ[],6,FALSE)</f>
        <v>バラティエ近海</v>
      </c>
      <c r="I108" t="s">
        <v>233</v>
      </c>
      <c r="J108" t="s">
        <v>1210</v>
      </c>
      <c r="K108" t="s">
        <v>718</v>
      </c>
      <c r="L108" s="6" t="str">
        <f>IFERROR(VLOOKUP(K108,キャラマスタ[],2,FALSE),"")</f>
        <v>ウソップ</v>
      </c>
    </row>
    <row r="109" spans="1:12">
      <c r="A109" t="s">
        <v>1207</v>
      </c>
      <c r="B109">
        <f t="shared" si="17"/>
        <v>1539</v>
      </c>
      <c r="C109">
        <v>0</v>
      </c>
      <c r="D109">
        <v>7.2</v>
      </c>
      <c r="E109">
        <v>6</v>
      </c>
      <c r="F109">
        <v>52</v>
      </c>
      <c r="G109" t="s">
        <v>1189</v>
      </c>
      <c r="H109" s="6" t="str">
        <f>VLOOKUP(G109,場所マスタ[],6,FALSE)</f>
        <v>バラティエ近海</v>
      </c>
      <c r="I109" t="s">
        <v>233</v>
      </c>
      <c r="J109" t="s">
        <v>1210</v>
      </c>
      <c r="K109" t="s">
        <v>1088</v>
      </c>
      <c r="L109" s="6" t="str">
        <f>IFERROR(VLOOKUP(K109,キャラマスタ[],2,FALSE),"")</f>
        <v>ヨサク</v>
      </c>
    </row>
    <row r="110" spans="1:12">
      <c r="A110" t="s">
        <v>1208</v>
      </c>
      <c r="B110">
        <f t="shared" si="17"/>
        <v>1539</v>
      </c>
      <c r="C110">
        <v>0</v>
      </c>
      <c r="D110">
        <v>7.2</v>
      </c>
      <c r="E110">
        <v>6</v>
      </c>
      <c r="F110">
        <v>52</v>
      </c>
      <c r="G110" t="s">
        <v>1189</v>
      </c>
      <c r="H110" s="6" t="str">
        <f>VLOOKUP(G110,場所マスタ[],6,FALSE)</f>
        <v>バラティエ近海</v>
      </c>
      <c r="I110" t="s">
        <v>233</v>
      </c>
      <c r="J110" t="s">
        <v>1210</v>
      </c>
      <c r="K110" t="s">
        <v>1089</v>
      </c>
      <c r="L110" s="6" t="str">
        <f>IFERROR(VLOOKUP(K110,キャラマスタ[],2,FALSE),"")</f>
        <v>ジョニー</v>
      </c>
    </row>
    <row r="111" spans="1:12">
      <c r="A111" t="s">
        <v>1209</v>
      </c>
      <c r="B111">
        <f t="shared" si="17"/>
        <v>1539</v>
      </c>
      <c r="C111">
        <v>0</v>
      </c>
      <c r="D111">
        <v>2</v>
      </c>
      <c r="E111">
        <v>6</v>
      </c>
      <c r="F111">
        <v>48</v>
      </c>
      <c r="G111" t="s">
        <v>497</v>
      </c>
      <c r="H111" s="6" t="str">
        <f>VLOOKUP(G111,場所マスタ[],6,FALSE)</f>
        <v>不明</v>
      </c>
      <c r="I111" t="s">
        <v>233</v>
      </c>
      <c r="J111" t="s">
        <v>1211</v>
      </c>
      <c r="K111" t="s">
        <v>1099</v>
      </c>
      <c r="L111" s="6" t="str">
        <f>IFERROR(VLOOKUP(K111,キャラマスタ[],2,FALSE),"")</f>
        <v>クリーク</v>
      </c>
    </row>
    <row r="112" spans="1:12">
      <c r="A112" t="s">
        <v>1278</v>
      </c>
      <c r="B112">
        <f t="shared" si="17"/>
        <v>1539</v>
      </c>
      <c r="C112">
        <v>0</v>
      </c>
      <c r="D112">
        <v>2</v>
      </c>
      <c r="E112">
        <v>6</v>
      </c>
      <c r="F112">
        <v>48</v>
      </c>
      <c r="G112" t="s">
        <v>497</v>
      </c>
      <c r="H112" s="6" t="str">
        <f>VLOOKUP(G112,場所マスタ[],6,FALSE)</f>
        <v>不明</v>
      </c>
      <c r="I112" t="s">
        <v>233</v>
      </c>
      <c r="J112" t="s">
        <v>1211</v>
      </c>
      <c r="K112" t="s">
        <v>1085</v>
      </c>
      <c r="L112" s="6" t="str">
        <f>IFERROR(VLOOKUP(K112,キャラマスタ[],2,FALSE),"")</f>
        <v>ギン</v>
      </c>
    </row>
    <row r="113" spans="1:12">
      <c r="A113" t="s">
        <v>1279</v>
      </c>
      <c r="B113">
        <f t="shared" si="17"/>
        <v>1539</v>
      </c>
      <c r="C113">
        <v>0</v>
      </c>
      <c r="D113">
        <v>2</v>
      </c>
      <c r="E113">
        <v>6</v>
      </c>
      <c r="F113">
        <v>48</v>
      </c>
      <c r="G113" t="s">
        <v>497</v>
      </c>
      <c r="H113" s="6" t="str">
        <f>VLOOKUP(G113,場所マスタ[],6,FALSE)</f>
        <v>不明</v>
      </c>
      <c r="I113" t="s">
        <v>233</v>
      </c>
      <c r="J113" t="s">
        <v>1212</v>
      </c>
      <c r="K113" t="s">
        <v>1169</v>
      </c>
      <c r="L113" s="6" t="str">
        <f>IFERROR(VLOOKUP(K113,キャラマスタ[],2,FALSE),"")</f>
        <v>ジュラキュール・ミホーク</v>
      </c>
    </row>
    <row r="114" spans="1:12">
      <c r="A114" t="s">
        <v>1280</v>
      </c>
      <c r="B114">
        <f t="shared" si="17"/>
        <v>1539</v>
      </c>
      <c r="C114">
        <v>0</v>
      </c>
      <c r="D114">
        <v>3</v>
      </c>
      <c r="E114">
        <v>7</v>
      </c>
      <c r="F114">
        <v>55</v>
      </c>
      <c r="G114" t="s">
        <v>1272</v>
      </c>
      <c r="H114" s="6" t="str">
        <f>VLOOKUP(G114,場所マスタ[],6,FALSE)</f>
        <v>先住民のいる島</v>
      </c>
      <c r="I114" t="s">
        <v>233</v>
      </c>
      <c r="J114" t="s">
        <v>1289</v>
      </c>
      <c r="K114" t="s">
        <v>661</v>
      </c>
      <c r="L114" s="6" t="str">
        <f>IFERROR(VLOOKUP(K114,キャラマスタ[],2,FALSE),"")</f>
        <v>モージ</v>
      </c>
    </row>
    <row r="115" spans="1:12">
      <c r="A115" t="s">
        <v>1281</v>
      </c>
      <c r="B115">
        <f t="shared" ref="B115:B125" si="18">1539+C115</f>
        <v>1539</v>
      </c>
      <c r="C115">
        <v>0</v>
      </c>
      <c r="D115">
        <v>3</v>
      </c>
      <c r="E115">
        <v>7</v>
      </c>
      <c r="F115">
        <v>55</v>
      </c>
      <c r="G115" t="s">
        <v>1272</v>
      </c>
      <c r="H115" s="6" t="str">
        <f>VLOOKUP(G115,場所マスタ[],6,FALSE)</f>
        <v>先住民のいる島</v>
      </c>
      <c r="I115" t="s">
        <v>233</v>
      </c>
      <c r="J115" t="s">
        <v>1289</v>
      </c>
      <c r="K115" t="s">
        <v>662</v>
      </c>
      <c r="L115" s="6" t="str">
        <f>IFERROR(VLOOKUP(K115,キャラマスタ[],2,FALSE),"")</f>
        <v>カバジ</v>
      </c>
    </row>
    <row r="116" spans="1:12">
      <c r="A116" t="s">
        <v>1282</v>
      </c>
      <c r="B116">
        <f t="shared" si="18"/>
        <v>1530</v>
      </c>
      <c r="C116">
        <v>-9</v>
      </c>
      <c r="D116">
        <v>-3285</v>
      </c>
      <c r="E116">
        <v>7</v>
      </c>
      <c r="F116">
        <v>57</v>
      </c>
      <c r="G116" t="s">
        <v>497</v>
      </c>
      <c r="H116" s="6" t="str">
        <f>VLOOKUP(G116,場所マスタ[],6,FALSE)</f>
        <v>不明</v>
      </c>
      <c r="I116" t="s">
        <v>233</v>
      </c>
      <c r="J116" t="s">
        <v>1299</v>
      </c>
      <c r="K116" t="s">
        <v>943</v>
      </c>
      <c r="L116" s="6" t="str">
        <f>IFERROR(VLOOKUP(K116,キャラマスタ[],2,FALSE),"")</f>
        <v>ゼフ</v>
      </c>
    </row>
    <row r="117" spans="1:12">
      <c r="A117" t="s">
        <v>1283</v>
      </c>
      <c r="B117">
        <f t="shared" si="18"/>
        <v>1530</v>
      </c>
      <c r="C117">
        <v>-9</v>
      </c>
      <c r="D117">
        <v>-3285</v>
      </c>
      <c r="E117">
        <v>7</v>
      </c>
      <c r="F117">
        <v>57</v>
      </c>
      <c r="G117" t="s">
        <v>497</v>
      </c>
      <c r="H117" s="6" t="str">
        <f>VLOOKUP(G117,場所マスタ[],6,FALSE)</f>
        <v>不明</v>
      </c>
      <c r="I117" t="s">
        <v>233</v>
      </c>
      <c r="J117" t="s">
        <v>1300</v>
      </c>
      <c r="K117" t="s">
        <v>1090</v>
      </c>
      <c r="L117" s="6" t="str">
        <f>IFERROR(VLOOKUP(K117,キャラマスタ[],2,FALSE),"")</f>
        <v>サンジ</v>
      </c>
    </row>
    <row r="118" spans="1:12">
      <c r="A118" t="s">
        <v>1284</v>
      </c>
      <c r="B118">
        <f t="shared" si="18"/>
        <v>1530</v>
      </c>
      <c r="C118">
        <v>-9</v>
      </c>
      <c r="D118">
        <v>-3200</v>
      </c>
      <c r="E118">
        <v>7</v>
      </c>
      <c r="F118">
        <v>57</v>
      </c>
      <c r="G118" t="s">
        <v>497</v>
      </c>
      <c r="H118" s="6" t="str">
        <f>VLOOKUP(G118,場所マスタ[],6,FALSE)</f>
        <v>不明</v>
      </c>
      <c r="I118" t="s">
        <v>233</v>
      </c>
      <c r="J118" t="s">
        <v>1301</v>
      </c>
      <c r="K118" t="s">
        <v>943</v>
      </c>
      <c r="L118" s="6" t="str">
        <f>IFERROR(VLOOKUP(K118,キャラマスタ[],2,FALSE),"")</f>
        <v>ゼフ</v>
      </c>
    </row>
    <row r="119" spans="1:12">
      <c r="A119" t="s">
        <v>1285</v>
      </c>
      <c r="B119">
        <f t="shared" si="18"/>
        <v>1530</v>
      </c>
      <c r="C119">
        <v>-9</v>
      </c>
      <c r="D119">
        <v>-3200</v>
      </c>
      <c r="E119">
        <v>7</v>
      </c>
      <c r="F119">
        <v>57</v>
      </c>
      <c r="G119" t="s">
        <v>497</v>
      </c>
      <c r="H119" s="6" t="str">
        <f>VLOOKUP(G119,場所マスタ[],6,FALSE)</f>
        <v>不明</v>
      </c>
      <c r="I119" t="s">
        <v>233</v>
      </c>
      <c r="J119" t="s">
        <v>1301</v>
      </c>
      <c r="K119" t="s">
        <v>1090</v>
      </c>
      <c r="L119" s="6" t="str">
        <f>IFERROR(VLOOKUP(K119,キャラマスタ[],2,FALSE),"")</f>
        <v>サンジ</v>
      </c>
    </row>
    <row r="120" spans="1:12">
      <c r="A120" t="s">
        <v>1286</v>
      </c>
      <c r="B120">
        <f t="shared" si="18"/>
        <v>1539</v>
      </c>
      <c r="C120">
        <v>0</v>
      </c>
      <c r="D120">
        <v>4</v>
      </c>
      <c r="E120">
        <v>7</v>
      </c>
      <c r="F120">
        <v>55</v>
      </c>
      <c r="G120" t="s">
        <v>1272</v>
      </c>
      <c r="H120" s="6" t="str">
        <f>VLOOKUP(G120,場所マスタ[],6,FALSE)</f>
        <v>先住民のいる島</v>
      </c>
      <c r="I120" t="s">
        <v>233</v>
      </c>
      <c r="J120" t="s">
        <v>1303</v>
      </c>
      <c r="K120" t="s">
        <v>661</v>
      </c>
      <c r="L120" s="6" t="str">
        <f>IFERROR(VLOOKUP(K120,キャラマスタ[],2,FALSE),"")</f>
        <v>モージ</v>
      </c>
    </row>
    <row r="121" spans="1:12">
      <c r="A121" t="s">
        <v>1287</v>
      </c>
      <c r="B121">
        <f t="shared" si="18"/>
        <v>1539</v>
      </c>
      <c r="C121">
        <v>0</v>
      </c>
      <c r="D121">
        <v>4</v>
      </c>
      <c r="E121">
        <v>7</v>
      </c>
      <c r="F121">
        <v>55</v>
      </c>
      <c r="G121" t="s">
        <v>1272</v>
      </c>
      <c r="H121" s="6" t="str">
        <f>VLOOKUP(G121,場所マスタ[],6,FALSE)</f>
        <v>先住民のいる島</v>
      </c>
      <c r="I121" t="s">
        <v>233</v>
      </c>
      <c r="J121" t="s">
        <v>1304</v>
      </c>
      <c r="K121" t="s">
        <v>662</v>
      </c>
      <c r="L121" s="6" t="str">
        <f>IFERROR(VLOOKUP(K121,キャラマスタ[],2,FALSE),"")</f>
        <v>カバジ</v>
      </c>
    </row>
    <row r="122" spans="1:12">
      <c r="A122" t="s">
        <v>1288</v>
      </c>
      <c r="B122">
        <f t="shared" si="18"/>
        <v>1539</v>
      </c>
      <c r="C122">
        <v>0</v>
      </c>
      <c r="D122">
        <v>7.5</v>
      </c>
      <c r="E122">
        <v>8</v>
      </c>
      <c r="F122">
        <v>66</v>
      </c>
      <c r="G122" t="s">
        <v>966</v>
      </c>
      <c r="H122" s="6" t="str">
        <f>VLOOKUP(G122,場所マスタ[],6,FALSE)</f>
        <v>バラティエ</v>
      </c>
      <c r="I122" t="s">
        <v>233</v>
      </c>
      <c r="J122" t="s">
        <v>1402</v>
      </c>
      <c r="K122" t="s">
        <v>411</v>
      </c>
      <c r="L122" s="6" t="str">
        <f>IFERROR(VLOOKUP(K122,キャラマスタ[],2,FALSE),"")</f>
        <v>モンキー・D・ルフィ</v>
      </c>
    </row>
    <row r="123" spans="1:12">
      <c r="A123" t="s">
        <v>1404</v>
      </c>
      <c r="B123">
        <f t="shared" si="18"/>
        <v>1539</v>
      </c>
      <c r="C123">
        <v>0</v>
      </c>
      <c r="D123">
        <v>7.5</v>
      </c>
      <c r="E123">
        <v>8</v>
      </c>
      <c r="F123">
        <v>66</v>
      </c>
      <c r="G123" t="s">
        <v>966</v>
      </c>
      <c r="H123" s="6" t="str">
        <f>VLOOKUP(G123,場所マスタ[],6,FALSE)</f>
        <v>バラティエ</v>
      </c>
      <c r="I123" t="s">
        <v>233</v>
      </c>
      <c r="J123" t="s">
        <v>1402</v>
      </c>
      <c r="K123" t="s">
        <v>1090</v>
      </c>
      <c r="L123" s="6" t="str">
        <f>IFERROR(VLOOKUP(K123,キャラマスタ[],2,FALSE),"")</f>
        <v>サンジ</v>
      </c>
    </row>
    <row r="124" spans="1:12">
      <c r="A124" t="s">
        <v>1405</v>
      </c>
      <c r="B124">
        <f t="shared" si="18"/>
        <v>1539</v>
      </c>
      <c r="C124">
        <v>0</v>
      </c>
      <c r="D124">
        <v>7.5</v>
      </c>
      <c r="E124">
        <v>8</v>
      </c>
      <c r="F124">
        <v>66</v>
      </c>
      <c r="G124" t="s">
        <v>966</v>
      </c>
      <c r="H124" s="6" t="str">
        <f>VLOOKUP(G124,場所マスタ[],6,FALSE)</f>
        <v>バラティエ</v>
      </c>
      <c r="I124" t="s">
        <v>233</v>
      </c>
      <c r="J124" t="s">
        <v>1403</v>
      </c>
      <c r="K124" t="s">
        <v>1099</v>
      </c>
      <c r="L124" s="6" t="str">
        <f>IFERROR(VLOOKUP(K124,キャラマスタ[],2,FALSE),"")</f>
        <v>クリーク</v>
      </c>
    </row>
    <row r="125" spans="1:12">
      <c r="A125" t="s">
        <v>1406</v>
      </c>
      <c r="B125">
        <f t="shared" si="18"/>
        <v>1539</v>
      </c>
      <c r="C125">
        <v>0</v>
      </c>
      <c r="D125">
        <v>7.5</v>
      </c>
      <c r="E125">
        <v>8</v>
      </c>
      <c r="F125">
        <v>66</v>
      </c>
      <c r="G125" t="s">
        <v>966</v>
      </c>
      <c r="H125" s="6" t="str">
        <f>VLOOKUP(G125,場所マスタ[],6,FALSE)</f>
        <v>バラティエ</v>
      </c>
      <c r="I125" t="s">
        <v>233</v>
      </c>
      <c r="J125" t="s">
        <v>1403</v>
      </c>
      <c r="K125" t="s">
        <v>1085</v>
      </c>
      <c r="L125" s="6" t="str">
        <f>IFERROR(VLOOKUP(K125,キャラマスタ[],2,FALSE),"")</f>
        <v>ギン</v>
      </c>
    </row>
    <row r="126" spans="1:12">
      <c r="A126" t="s">
        <v>1407</v>
      </c>
      <c r="B126">
        <f t="shared" ref="B126:B134" si="19">1539+C126</f>
        <v>1539</v>
      </c>
      <c r="C126">
        <v>0</v>
      </c>
      <c r="D126">
        <v>4.5</v>
      </c>
      <c r="E126">
        <v>8</v>
      </c>
      <c r="F126">
        <v>66</v>
      </c>
      <c r="G126" t="s">
        <v>1272</v>
      </c>
      <c r="H126" s="6" t="str">
        <f>VLOOKUP(G126,場所マスタ[],6,FALSE)</f>
        <v>先住民のいる島</v>
      </c>
      <c r="I126" t="s">
        <v>233</v>
      </c>
      <c r="J126" t="s">
        <v>1413</v>
      </c>
      <c r="K126" t="s">
        <v>570</v>
      </c>
      <c r="L126" s="6" t="str">
        <f>IFERROR(VLOOKUP(K126,キャラマスタ[],2,FALSE),"")</f>
        <v>バギー</v>
      </c>
    </row>
    <row r="127" spans="1:12">
      <c r="A127" t="s">
        <v>1408</v>
      </c>
      <c r="B127">
        <f t="shared" si="19"/>
        <v>1539</v>
      </c>
      <c r="C127">
        <v>0</v>
      </c>
      <c r="D127">
        <v>4.5</v>
      </c>
      <c r="E127">
        <v>8</v>
      </c>
      <c r="F127">
        <v>66</v>
      </c>
      <c r="G127" t="s">
        <v>1272</v>
      </c>
      <c r="H127" s="6" t="str">
        <f>VLOOKUP(G127,場所マスタ[],6,FALSE)</f>
        <v>先住民のいる島</v>
      </c>
      <c r="I127" t="s">
        <v>233</v>
      </c>
      <c r="J127" t="s">
        <v>1413</v>
      </c>
      <c r="K127" t="s">
        <v>304</v>
      </c>
      <c r="L127" s="6" t="str">
        <f>IFERROR(VLOOKUP(K127,キャラマスタ[],2,FALSE),"")</f>
        <v>アルビダ</v>
      </c>
    </row>
    <row r="128" spans="1:12">
      <c r="A128" t="s">
        <v>1409</v>
      </c>
      <c r="B128">
        <f t="shared" si="19"/>
        <v>1539</v>
      </c>
      <c r="C128">
        <v>0</v>
      </c>
      <c r="D128">
        <v>8</v>
      </c>
      <c r="E128">
        <v>8</v>
      </c>
      <c r="F128">
        <v>68</v>
      </c>
      <c r="G128" t="s">
        <v>966</v>
      </c>
      <c r="H128" s="6" t="str">
        <f>VLOOKUP(G128,場所マスタ[],6,FALSE)</f>
        <v>バラティエ</v>
      </c>
      <c r="I128" t="s">
        <v>233</v>
      </c>
      <c r="J128" t="s">
        <v>1415</v>
      </c>
      <c r="K128" t="s">
        <v>844</v>
      </c>
      <c r="L128" s="6" t="str">
        <f>IFERROR(VLOOKUP(K128,キャラマスタ[],2,FALSE),"")</f>
        <v>ヨサク</v>
      </c>
    </row>
    <row r="129" spans="1:12">
      <c r="A129" t="s">
        <v>1410</v>
      </c>
      <c r="B129">
        <f t="shared" si="19"/>
        <v>1539</v>
      </c>
      <c r="C129">
        <v>0</v>
      </c>
      <c r="D129">
        <v>8.1</v>
      </c>
      <c r="E129">
        <v>8</v>
      </c>
      <c r="F129">
        <v>68</v>
      </c>
      <c r="G129" t="s">
        <v>966</v>
      </c>
      <c r="H129" s="6" t="str">
        <f>VLOOKUP(G129,場所マスタ[],6,FALSE)</f>
        <v>バラティエ</v>
      </c>
      <c r="I129" t="s">
        <v>233</v>
      </c>
      <c r="J129" t="s">
        <v>1416</v>
      </c>
      <c r="K129" t="s">
        <v>411</v>
      </c>
      <c r="L129" s="6" t="str">
        <f>IFERROR(VLOOKUP(K129,キャラマスタ[],2,FALSE),"")</f>
        <v>モンキー・D・ルフィ</v>
      </c>
    </row>
    <row r="130" spans="1:12">
      <c r="A130" t="s">
        <v>1411</v>
      </c>
      <c r="B130">
        <f t="shared" si="19"/>
        <v>1539</v>
      </c>
      <c r="C130">
        <v>0</v>
      </c>
      <c r="D130">
        <v>8.1</v>
      </c>
      <c r="E130">
        <v>8</v>
      </c>
      <c r="F130">
        <v>68</v>
      </c>
      <c r="G130" t="s">
        <v>966</v>
      </c>
      <c r="H130" s="6" t="str">
        <f>VLOOKUP(G130,場所マスタ[],6,FALSE)</f>
        <v>バラティエ</v>
      </c>
      <c r="I130" t="s">
        <v>233</v>
      </c>
      <c r="J130" t="s">
        <v>1416</v>
      </c>
      <c r="K130" t="s">
        <v>1090</v>
      </c>
      <c r="L130" s="6" t="str">
        <f>IFERROR(VLOOKUP(K130,キャラマスタ[],2,FALSE),"")</f>
        <v>サンジ</v>
      </c>
    </row>
    <row r="131" spans="1:12">
      <c r="A131" t="s">
        <v>1412</v>
      </c>
      <c r="B131">
        <f t="shared" si="19"/>
        <v>1539</v>
      </c>
      <c r="C131">
        <v>0</v>
      </c>
      <c r="D131">
        <v>8.1</v>
      </c>
      <c r="E131">
        <v>8</v>
      </c>
      <c r="F131">
        <v>68</v>
      </c>
      <c r="G131" t="s">
        <v>966</v>
      </c>
      <c r="H131" s="6" t="str">
        <f>VLOOKUP(G131,場所マスタ[],6,FALSE)</f>
        <v>バラティエ</v>
      </c>
      <c r="I131" t="s">
        <v>233</v>
      </c>
      <c r="J131" t="s">
        <v>1416</v>
      </c>
      <c r="K131" t="s">
        <v>844</v>
      </c>
      <c r="L131" s="6" t="str">
        <f>IFERROR(VLOOKUP(K131,キャラマスタ[],2,FALSE),"")</f>
        <v>ヨサク</v>
      </c>
    </row>
    <row r="132" spans="1:12">
      <c r="A132" t="s">
        <v>1429</v>
      </c>
      <c r="B132">
        <f t="shared" si="19"/>
        <v>1539</v>
      </c>
      <c r="C132">
        <v>0</v>
      </c>
      <c r="D132">
        <v>8.1</v>
      </c>
      <c r="E132">
        <v>8</v>
      </c>
      <c r="F132">
        <v>69</v>
      </c>
      <c r="G132" t="s">
        <v>1274</v>
      </c>
      <c r="H132" s="6" t="str">
        <f>VLOOKUP(G132,場所マスタ[],6,FALSE)</f>
        <v>アーロンパーク</v>
      </c>
      <c r="I132" t="s">
        <v>233</v>
      </c>
      <c r="J132" t="s">
        <v>1426</v>
      </c>
      <c r="K132" t="s">
        <v>1310</v>
      </c>
      <c r="L132" s="6" t="str">
        <f>IFERROR(VLOOKUP(K132,キャラマスタ[],2,FALSE),"")</f>
        <v>アーロン</v>
      </c>
    </row>
    <row r="133" spans="1:12">
      <c r="A133" t="s">
        <v>1430</v>
      </c>
      <c r="B133">
        <f t="shared" si="19"/>
        <v>1539</v>
      </c>
      <c r="C133">
        <v>0</v>
      </c>
      <c r="D133">
        <v>8.1</v>
      </c>
      <c r="E133">
        <v>8</v>
      </c>
      <c r="F133">
        <v>69</v>
      </c>
      <c r="G133" t="s">
        <v>1274</v>
      </c>
      <c r="H133" s="6" t="str">
        <f>VLOOKUP(G133,場所マスタ[],6,FALSE)</f>
        <v>アーロンパーク</v>
      </c>
      <c r="I133" t="s">
        <v>233</v>
      </c>
      <c r="J133" t="s">
        <v>1427</v>
      </c>
      <c r="K133" t="s">
        <v>1424</v>
      </c>
      <c r="L133" s="6" t="str">
        <f>IFERROR(VLOOKUP(K133,キャラマスタ[],2,FALSE),"")</f>
        <v>はっちゃん</v>
      </c>
    </row>
    <row r="134" spans="1:12">
      <c r="A134" t="s">
        <v>1431</v>
      </c>
      <c r="B134">
        <f t="shared" si="19"/>
        <v>1539</v>
      </c>
      <c r="C134">
        <v>0</v>
      </c>
      <c r="D134">
        <v>8.1</v>
      </c>
      <c r="E134">
        <v>8</v>
      </c>
      <c r="F134">
        <v>69</v>
      </c>
      <c r="G134" t="s">
        <v>1274</v>
      </c>
      <c r="H134" s="6" t="str">
        <f>VLOOKUP(G134,場所マスタ[],6,FALSE)</f>
        <v>アーロンパーク</v>
      </c>
      <c r="I134" t="s">
        <v>233</v>
      </c>
      <c r="J134" t="s">
        <v>1428</v>
      </c>
      <c r="K134" t="s">
        <v>321</v>
      </c>
      <c r="L134" s="6" t="str">
        <f>IFERROR(VLOOKUP(K134,キャラマスタ[],2,FALSE),"")</f>
        <v>ナミ</v>
      </c>
    </row>
    <row r="135" spans="1:12">
      <c r="A135" t="s">
        <v>1432</v>
      </c>
      <c r="B135">
        <f>1539+C135</f>
        <v>1539</v>
      </c>
      <c r="C135">
        <v>0</v>
      </c>
      <c r="D135">
        <v>8.1</v>
      </c>
      <c r="E135">
        <v>8</v>
      </c>
      <c r="F135">
        <v>69</v>
      </c>
      <c r="G135" t="s">
        <v>1274</v>
      </c>
      <c r="H135" s="6" t="str">
        <f>VLOOKUP(G135,場所マスタ[],6,FALSE)</f>
        <v>アーロンパーク</v>
      </c>
      <c r="I135" t="s">
        <v>233</v>
      </c>
      <c r="J135" t="s">
        <v>1440</v>
      </c>
      <c r="K135" t="s">
        <v>308</v>
      </c>
      <c r="L135" s="6" t="str">
        <f>IFERROR(VLOOKUP(K135,キャラマスタ[],2,FALSE),"")</f>
        <v>ロロノア・ゾロ</v>
      </c>
    </row>
    <row r="136" spans="1:12">
      <c r="A136" t="s">
        <v>1433</v>
      </c>
      <c r="B136">
        <f t="shared" ref="B136:B147" si="20">1539+C136</f>
        <v>1539</v>
      </c>
      <c r="C136">
        <v>0</v>
      </c>
      <c r="D136">
        <v>8.1</v>
      </c>
      <c r="E136">
        <v>8</v>
      </c>
      <c r="F136">
        <v>70</v>
      </c>
      <c r="G136" t="s">
        <v>1275</v>
      </c>
      <c r="H136" s="6" t="str">
        <f>VLOOKUP(G136,場所マスタ[],6,FALSE)</f>
        <v>ゴサの町</v>
      </c>
      <c r="I136" t="s">
        <v>233</v>
      </c>
      <c r="J136" t="s">
        <v>1441</v>
      </c>
      <c r="K136" t="s">
        <v>718</v>
      </c>
      <c r="L136" s="6" t="str">
        <f>IFERROR(VLOOKUP(K136,キャラマスタ[],2,FALSE),"")</f>
        <v>ウソップ</v>
      </c>
    </row>
    <row r="137" spans="1:12">
      <c r="A137" t="s">
        <v>1434</v>
      </c>
      <c r="B137">
        <f t="shared" si="20"/>
        <v>1539</v>
      </c>
      <c r="C137">
        <v>0</v>
      </c>
      <c r="D137">
        <v>8.1</v>
      </c>
      <c r="E137">
        <v>8</v>
      </c>
      <c r="F137">
        <v>70</v>
      </c>
      <c r="G137" t="s">
        <v>1275</v>
      </c>
      <c r="H137" s="6" t="str">
        <f>VLOOKUP(G137,場所マスタ[],6,FALSE)</f>
        <v>ゴサの町</v>
      </c>
      <c r="I137" t="s">
        <v>233</v>
      </c>
      <c r="J137" t="s">
        <v>1441</v>
      </c>
      <c r="K137" t="s">
        <v>845</v>
      </c>
      <c r="L137" s="6" t="str">
        <f>IFERROR(VLOOKUP(K137,キャラマスタ[],2,FALSE),"")</f>
        <v>ジョニー</v>
      </c>
    </row>
    <row r="138" spans="1:12">
      <c r="A138" t="s">
        <v>1435</v>
      </c>
      <c r="B138">
        <f t="shared" si="20"/>
        <v>1539</v>
      </c>
      <c r="C138">
        <v>0</v>
      </c>
      <c r="D138">
        <v>4.7</v>
      </c>
      <c r="E138">
        <v>8</v>
      </c>
      <c r="F138">
        <v>71</v>
      </c>
      <c r="G138" t="s">
        <v>1272</v>
      </c>
      <c r="H138" s="6" t="str">
        <f>VLOOKUP(G138,場所マスタ[],6,FALSE)</f>
        <v>先住民のいる島</v>
      </c>
      <c r="I138" t="s">
        <v>233</v>
      </c>
      <c r="J138" t="s">
        <v>1442</v>
      </c>
      <c r="K138" t="s">
        <v>570</v>
      </c>
      <c r="L138" s="6" t="str">
        <f>IFERROR(VLOOKUP(K138,キャラマスタ[],2,FALSE),"")</f>
        <v>バギー</v>
      </c>
    </row>
    <row r="139" spans="1:12">
      <c r="A139" t="s">
        <v>1436</v>
      </c>
      <c r="B139">
        <f t="shared" si="20"/>
        <v>1539</v>
      </c>
      <c r="C139">
        <v>0</v>
      </c>
      <c r="D139">
        <v>4.7</v>
      </c>
      <c r="E139">
        <v>8</v>
      </c>
      <c r="F139">
        <v>71</v>
      </c>
      <c r="G139" t="s">
        <v>1272</v>
      </c>
      <c r="H139" s="6" t="str">
        <f>VLOOKUP(G139,場所マスタ[],6,FALSE)</f>
        <v>先住民のいる島</v>
      </c>
      <c r="I139" t="s">
        <v>233</v>
      </c>
      <c r="J139" t="s">
        <v>1442</v>
      </c>
      <c r="K139" t="s">
        <v>661</v>
      </c>
      <c r="L139" s="6" t="str">
        <f>IFERROR(VLOOKUP(K139,キャラマスタ[],2,FALSE),"")</f>
        <v>モージ</v>
      </c>
    </row>
    <row r="140" spans="1:12">
      <c r="A140" t="s">
        <v>1437</v>
      </c>
      <c r="B140">
        <f t="shared" si="20"/>
        <v>1539</v>
      </c>
      <c r="C140">
        <v>0</v>
      </c>
      <c r="D140">
        <v>4.7</v>
      </c>
      <c r="E140">
        <v>8</v>
      </c>
      <c r="F140">
        <v>71</v>
      </c>
      <c r="G140" t="s">
        <v>1272</v>
      </c>
      <c r="H140" s="6" t="str">
        <f>VLOOKUP(G140,場所マスタ[],6,FALSE)</f>
        <v>先住民のいる島</v>
      </c>
      <c r="I140" t="s">
        <v>233</v>
      </c>
      <c r="J140" t="s">
        <v>1442</v>
      </c>
      <c r="K140" t="s">
        <v>662</v>
      </c>
      <c r="L140" s="6" t="str">
        <f>IFERROR(VLOOKUP(K140,キャラマスタ[],2,FALSE),"")</f>
        <v>カバジ</v>
      </c>
    </row>
    <row r="141" spans="1:12">
      <c r="A141" t="s">
        <v>1438</v>
      </c>
      <c r="B141">
        <f t="shared" si="20"/>
        <v>1539</v>
      </c>
      <c r="C141">
        <v>0</v>
      </c>
      <c r="D141">
        <v>4.7</v>
      </c>
      <c r="E141">
        <v>8</v>
      </c>
      <c r="F141">
        <v>71</v>
      </c>
      <c r="G141" t="s">
        <v>1272</v>
      </c>
      <c r="H141" s="6" t="str">
        <f>VLOOKUP(G141,場所マスタ[],6,FALSE)</f>
        <v>先住民のいる島</v>
      </c>
      <c r="I141" t="s">
        <v>233</v>
      </c>
      <c r="J141" t="s">
        <v>1442</v>
      </c>
      <c r="K141" t="s">
        <v>304</v>
      </c>
      <c r="L141" s="6" t="str">
        <f>IFERROR(VLOOKUP(K141,キャラマスタ[],2,FALSE),"")</f>
        <v>アルビダ</v>
      </c>
    </row>
    <row r="142" spans="1:12">
      <c r="A142" t="s">
        <v>1439</v>
      </c>
      <c r="B142">
        <f t="shared" si="20"/>
        <v>1539</v>
      </c>
      <c r="C142">
        <v>0</v>
      </c>
      <c r="D142">
        <v>8.1999999999999993</v>
      </c>
      <c r="E142">
        <v>8</v>
      </c>
      <c r="F142">
        <v>70</v>
      </c>
      <c r="G142" t="s">
        <v>1273</v>
      </c>
      <c r="H142" s="6" t="str">
        <f>VLOOKUP(G142,場所マスタ[],6,FALSE)</f>
        <v>ココヤシ村</v>
      </c>
      <c r="I142" t="s">
        <v>233</v>
      </c>
      <c r="J142" t="s">
        <v>1443</v>
      </c>
      <c r="K142" t="s">
        <v>1310</v>
      </c>
      <c r="L142" s="6" t="str">
        <f>IFERROR(VLOOKUP(K142,キャラマスタ[],2,FALSE),"")</f>
        <v>アーロン</v>
      </c>
    </row>
    <row r="143" spans="1:12">
      <c r="A143" t="s">
        <v>1445</v>
      </c>
      <c r="B143">
        <f>1539+C143</f>
        <v>1539</v>
      </c>
      <c r="C143">
        <v>0</v>
      </c>
      <c r="D143">
        <v>8.1999999999999993</v>
      </c>
      <c r="E143">
        <v>8</v>
      </c>
      <c r="F143">
        <v>70</v>
      </c>
      <c r="G143" t="s">
        <v>1273</v>
      </c>
      <c r="H143" s="6" t="str">
        <f>VLOOKUP(G143,場所マスタ[],6,FALSE)</f>
        <v>ココヤシ村</v>
      </c>
      <c r="I143" t="s">
        <v>233</v>
      </c>
      <c r="J143" t="s">
        <v>1443</v>
      </c>
      <c r="K143" t="s">
        <v>321</v>
      </c>
      <c r="L143" s="6" t="str">
        <f>IFERROR(VLOOKUP(K143,キャラマスタ[],2,FALSE),"")</f>
        <v>ナミ</v>
      </c>
    </row>
    <row r="144" spans="1:12">
      <c r="A144" t="s">
        <v>1507</v>
      </c>
      <c r="B144">
        <f>1539+C144</f>
        <v>1539</v>
      </c>
      <c r="C144">
        <v>0</v>
      </c>
      <c r="D144">
        <v>8.1999999999999993</v>
      </c>
      <c r="E144">
        <v>8</v>
      </c>
      <c r="F144">
        <v>70</v>
      </c>
      <c r="G144" t="s">
        <v>1273</v>
      </c>
      <c r="H144" s="6" t="str">
        <f>VLOOKUP(G144,場所マスタ[],6,FALSE)</f>
        <v>ココヤシ村</v>
      </c>
      <c r="I144" t="s">
        <v>233</v>
      </c>
      <c r="J144" t="s">
        <v>1521</v>
      </c>
      <c r="K144" t="s">
        <v>718</v>
      </c>
      <c r="L144" s="6" t="str">
        <f>IFERROR(VLOOKUP(K144,キャラマスタ[],2,FALSE),"")</f>
        <v>ウソップ</v>
      </c>
    </row>
    <row r="145" spans="1:12">
      <c r="A145" t="s">
        <v>1508</v>
      </c>
      <c r="B145">
        <f t="shared" si="20"/>
        <v>1539</v>
      </c>
      <c r="C145">
        <v>0</v>
      </c>
      <c r="D145">
        <v>8.3000000000000007</v>
      </c>
      <c r="E145">
        <v>9</v>
      </c>
      <c r="F145">
        <v>73</v>
      </c>
      <c r="G145" t="s">
        <v>1273</v>
      </c>
      <c r="H145" s="6" t="str">
        <f>VLOOKUP(G145,場所マスタ[],6,FALSE)</f>
        <v>ココヤシ村</v>
      </c>
      <c r="I145" t="s">
        <v>233</v>
      </c>
      <c r="J145" t="s">
        <v>1443</v>
      </c>
      <c r="K145" t="s">
        <v>308</v>
      </c>
      <c r="L145" s="6" t="str">
        <f>IFERROR(VLOOKUP(K145,キャラマスタ[],2,FALSE),"")</f>
        <v>ロロノア・ゾロ</v>
      </c>
    </row>
    <row r="146" spans="1:12">
      <c r="A146" t="s">
        <v>1509</v>
      </c>
      <c r="B146">
        <f t="shared" si="20"/>
        <v>1539</v>
      </c>
      <c r="C146">
        <v>0</v>
      </c>
      <c r="D146">
        <v>8.3000000000000007</v>
      </c>
      <c r="E146">
        <v>9</v>
      </c>
      <c r="F146">
        <v>73</v>
      </c>
      <c r="G146" t="s">
        <v>1273</v>
      </c>
      <c r="H146" s="6" t="str">
        <f>VLOOKUP(G146,場所マスタ[],6,FALSE)</f>
        <v>ココヤシ村</v>
      </c>
      <c r="I146" t="s">
        <v>233</v>
      </c>
      <c r="J146" t="s">
        <v>1515</v>
      </c>
      <c r="K146" t="s">
        <v>1424</v>
      </c>
      <c r="L146" s="6" t="str">
        <f>IFERROR(VLOOKUP(K146,キャラマスタ[],2,FALSE),"")</f>
        <v>はっちゃん</v>
      </c>
    </row>
    <row r="147" spans="1:12">
      <c r="A147" t="s">
        <v>1510</v>
      </c>
      <c r="B147">
        <f t="shared" si="20"/>
        <v>1539</v>
      </c>
      <c r="C147">
        <v>0</v>
      </c>
      <c r="D147">
        <v>8.3000000000000007</v>
      </c>
      <c r="E147">
        <v>9</v>
      </c>
      <c r="F147">
        <v>73</v>
      </c>
      <c r="G147" t="s">
        <v>1276</v>
      </c>
      <c r="H147" s="6" t="str">
        <f>VLOOKUP(G147,場所マスタ[],6,FALSE)</f>
        <v>アーロンパーク近海</v>
      </c>
      <c r="I147" t="s">
        <v>233</v>
      </c>
      <c r="J147" t="s">
        <v>1518</v>
      </c>
      <c r="K147" t="s">
        <v>411</v>
      </c>
      <c r="L147" s="6" t="str">
        <f>IFERROR(VLOOKUP(K147,キャラマスタ[],2,FALSE),"")</f>
        <v>モンキー・D・ルフィ</v>
      </c>
    </row>
    <row r="148" spans="1:12">
      <c r="A148" t="s">
        <v>1511</v>
      </c>
      <c r="B148">
        <f t="shared" ref="B148:B155" si="21">1539+C148</f>
        <v>1539</v>
      </c>
      <c r="C148">
        <v>0</v>
      </c>
      <c r="D148">
        <v>8.3000000000000007</v>
      </c>
      <c r="E148">
        <v>9</v>
      </c>
      <c r="F148">
        <v>73</v>
      </c>
      <c r="G148" t="s">
        <v>1276</v>
      </c>
      <c r="H148" s="6" t="str">
        <f>VLOOKUP(G148,場所マスタ[],6,FALSE)</f>
        <v>アーロンパーク近海</v>
      </c>
      <c r="I148" t="s">
        <v>233</v>
      </c>
      <c r="J148" t="s">
        <v>1518</v>
      </c>
      <c r="K148" t="s">
        <v>1090</v>
      </c>
      <c r="L148" s="6" t="str">
        <f>IFERROR(VLOOKUP(K148,キャラマスタ[],2,FALSE),"")</f>
        <v>サンジ</v>
      </c>
    </row>
    <row r="149" spans="1:12">
      <c r="A149" t="s">
        <v>1512</v>
      </c>
      <c r="B149">
        <f t="shared" si="21"/>
        <v>1539</v>
      </c>
      <c r="C149">
        <v>0</v>
      </c>
      <c r="D149">
        <v>8.3000000000000007</v>
      </c>
      <c r="E149">
        <v>9</v>
      </c>
      <c r="F149">
        <v>73</v>
      </c>
      <c r="G149" t="s">
        <v>1276</v>
      </c>
      <c r="H149" s="6" t="str">
        <f>VLOOKUP(G149,場所マスタ[],6,FALSE)</f>
        <v>アーロンパーク近海</v>
      </c>
      <c r="I149" t="s">
        <v>233</v>
      </c>
      <c r="J149" t="s">
        <v>1518</v>
      </c>
      <c r="K149" t="s">
        <v>844</v>
      </c>
      <c r="L149" s="6" t="str">
        <f>IFERROR(VLOOKUP(K149,キャラマスタ[],2,FALSE),"")</f>
        <v>ヨサク</v>
      </c>
    </row>
    <row r="150" spans="1:12">
      <c r="A150" t="s">
        <v>1513</v>
      </c>
      <c r="B150">
        <f t="shared" si="21"/>
        <v>1539</v>
      </c>
      <c r="C150">
        <v>0</v>
      </c>
      <c r="D150">
        <v>8.3000000000000007</v>
      </c>
      <c r="E150">
        <v>9</v>
      </c>
      <c r="F150">
        <v>73</v>
      </c>
      <c r="G150" t="s">
        <v>1274</v>
      </c>
      <c r="H150" s="6" t="str">
        <f>VLOOKUP(G150,場所マスタ[],6,FALSE)</f>
        <v>アーロンパーク</v>
      </c>
      <c r="I150" t="s">
        <v>233</v>
      </c>
      <c r="J150" t="s">
        <v>1428</v>
      </c>
      <c r="K150" t="s">
        <v>1310</v>
      </c>
      <c r="L150" s="6" t="str">
        <f>IFERROR(VLOOKUP(K150,キャラマスタ[],2,FALSE),"")</f>
        <v>アーロン</v>
      </c>
    </row>
    <row r="151" spans="1:12">
      <c r="A151" t="s">
        <v>1514</v>
      </c>
      <c r="B151">
        <f t="shared" si="21"/>
        <v>1539</v>
      </c>
      <c r="C151">
        <v>0</v>
      </c>
      <c r="D151">
        <v>8.3000000000000007</v>
      </c>
      <c r="E151">
        <v>9</v>
      </c>
      <c r="F151">
        <v>73</v>
      </c>
      <c r="G151" t="s">
        <v>1274</v>
      </c>
      <c r="H151" s="6" t="str">
        <f>VLOOKUP(G151,場所マスタ[],6,FALSE)</f>
        <v>アーロンパーク</v>
      </c>
      <c r="I151" t="s">
        <v>233</v>
      </c>
      <c r="J151" t="s">
        <v>1428</v>
      </c>
      <c r="K151" t="s">
        <v>321</v>
      </c>
      <c r="L151" s="6" t="str">
        <f>IFERROR(VLOOKUP(K151,キャラマスタ[],2,FALSE),"")</f>
        <v>ナミ</v>
      </c>
    </row>
    <row r="152" spans="1:12">
      <c r="A152" t="s">
        <v>1534</v>
      </c>
      <c r="B152">
        <f t="shared" si="21"/>
        <v>1539</v>
      </c>
      <c r="C152">
        <v>0</v>
      </c>
      <c r="D152">
        <v>8.3000000000000007</v>
      </c>
      <c r="E152">
        <v>9</v>
      </c>
      <c r="F152">
        <v>73</v>
      </c>
      <c r="G152" t="s">
        <v>1274</v>
      </c>
      <c r="H152" s="6" t="str">
        <f>VLOOKUP(G152,場所マスタ[],6,FALSE)</f>
        <v>アーロンパーク</v>
      </c>
      <c r="I152" t="s">
        <v>233</v>
      </c>
      <c r="J152" t="s">
        <v>1520</v>
      </c>
      <c r="K152" t="s">
        <v>718</v>
      </c>
      <c r="L152" s="6" t="str">
        <f>IFERROR(VLOOKUP(K152,キャラマスタ[],2,FALSE),"")</f>
        <v>ウソップ</v>
      </c>
    </row>
    <row r="153" spans="1:12">
      <c r="A153" t="s">
        <v>1535</v>
      </c>
      <c r="B153">
        <f t="shared" si="21"/>
        <v>1539</v>
      </c>
      <c r="C153">
        <v>0</v>
      </c>
      <c r="D153">
        <v>8.4</v>
      </c>
      <c r="E153">
        <v>9</v>
      </c>
      <c r="F153">
        <v>74</v>
      </c>
      <c r="G153" t="s">
        <v>1274</v>
      </c>
      <c r="H153" s="6" t="str">
        <f>VLOOKUP(G153,場所マスタ[],6,FALSE)</f>
        <v>アーロンパーク</v>
      </c>
      <c r="I153" t="s">
        <v>233</v>
      </c>
      <c r="J153" t="s">
        <v>1428</v>
      </c>
      <c r="K153" t="s">
        <v>1424</v>
      </c>
      <c r="L153" s="6" t="str">
        <f>IFERROR(VLOOKUP(K153,キャラマスタ[],2,FALSE),"")</f>
        <v>はっちゃん</v>
      </c>
    </row>
    <row r="154" spans="1:12">
      <c r="A154" t="s">
        <v>1536</v>
      </c>
      <c r="B154">
        <f t="shared" si="21"/>
        <v>1539</v>
      </c>
      <c r="C154">
        <v>0</v>
      </c>
      <c r="D154">
        <v>8.4</v>
      </c>
      <c r="E154">
        <v>9</v>
      </c>
      <c r="F154">
        <v>74</v>
      </c>
      <c r="G154" t="s">
        <v>1273</v>
      </c>
      <c r="H154" s="6" t="str">
        <f>VLOOKUP(G154,場所マスタ[],6,FALSE)</f>
        <v>ココヤシ村</v>
      </c>
      <c r="I154" t="s">
        <v>233</v>
      </c>
      <c r="J154" t="s">
        <v>1544</v>
      </c>
      <c r="K154" t="s">
        <v>411</v>
      </c>
      <c r="L154" s="6" t="str">
        <f>IFERROR(VLOOKUP(K154,キャラマスタ[],2,FALSE),"")</f>
        <v>モンキー・D・ルフィ</v>
      </c>
    </row>
    <row r="155" spans="1:12">
      <c r="A155" t="s">
        <v>1537</v>
      </c>
      <c r="B155">
        <f t="shared" si="21"/>
        <v>1539</v>
      </c>
      <c r="C155">
        <v>0</v>
      </c>
      <c r="D155">
        <v>8.4</v>
      </c>
      <c r="E155">
        <v>9</v>
      </c>
      <c r="F155">
        <v>74</v>
      </c>
      <c r="G155" t="s">
        <v>1273</v>
      </c>
      <c r="H155" s="6" t="str">
        <f>VLOOKUP(G155,場所マスタ[],6,FALSE)</f>
        <v>ココヤシ村</v>
      </c>
      <c r="I155" t="s">
        <v>233</v>
      </c>
      <c r="J155" t="s">
        <v>1544</v>
      </c>
      <c r="K155" t="s">
        <v>1090</v>
      </c>
      <c r="L155" s="6" t="str">
        <f>IFERROR(VLOOKUP(K155,キャラマスタ[],2,FALSE),"")</f>
        <v>サンジ</v>
      </c>
    </row>
    <row r="156" spans="1:12">
      <c r="A156" t="s">
        <v>1538</v>
      </c>
      <c r="B156">
        <f t="shared" ref="B156:B166" si="22">1539+C156</f>
        <v>1539</v>
      </c>
      <c r="C156">
        <v>0</v>
      </c>
      <c r="D156">
        <v>8.4</v>
      </c>
      <c r="E156">
        <v>9</v>
      </c>
      <c r="F156">
        <v>74</v>
      </c>
      <c r="G156" t="s">
        <v>1273</v>
      </c>
      <c r="H156" s="6" t="str">
        <f>VLOOKUP(G156,場所マスタ[],6,FALSE)</f>
        <v>ココヤシ村</v>
      </c>
      <c r="I156" t="s">
        <v>233</v>
      </c>
      <c r="J156" t="s">
        <v>1544</v>
      </c>
      <c r="K156" t="s">
        <v>844</v>
      </c>
      <c r="L156" s="6" t="str">
        <f>IFERROR(VLOOKUP(K156,キャラマスタ[],2,FALSE),"")</f>
        <v>ヨサク</v>
      </c>
    </row>
    <row r="157" spans="1:12">
      <c r="A157" t="s">
        <v>1539</v>
      </c>
      <c r="B157">
        <f t="shared" si="22"/>
        <v>1539</v>
      </c>
      <c r="C157">
        <v>0</v>
      </c>
      <c r="D157">
        <v>8.4</v>
      </c>
      <c r="E157">
        <v>9</v>
      </c>
      <c r="F157">
        <v>74</v>
      </c>
      <c r="G157" t="s">
        <v>1273</v>
      </c>
      <c r="H157" s="6" t="str">
        <f>VLOOKUP(G157,場所マスタ[],6,FALSE)</f>
        <v>ココヤシ村</v>
      </c>
      <c r="I157" t="s">
        <v>233</v>
      </c>
      <c r="J157" t="s">
        <v>1546</v>
      </c>
      <c r="K157" t="s">
        <v>1545</v>
      </c>
      <c r="L157" s="6" t="str">
        <f>IFERROR(VLOOKUP(K157,キャラマスタ[],2,FALSE),"")</f>
        <v>ジョニー</v>
      </c>
    </row>
    <row r="158" spans="1:12">
      <c r="A158" t="s">
        <v>1540</v>
      </c>
      <c r="B158">
        <f>1539+C158</f>
        <v>1539</v>
      </c>
      <c r="C158">
        <v>0</v>
      </c>
      <c r="D158">
        <v>8.5</v>
      </c>
      <c r="E158">
        <v>9</v>
      </c>
      <c r="F158">
        <v>74</v>
      </c>
      <c r="G158" t="s">
        <v>1273</v>
      </c>
      <c r="H158" s="6" t="str">
        <f>VLOOKUP(G158,場所マスタ[],6,FALSE)</f>
        <v>ココヤシ村</v>
      </c>
      <c r="I158" t="s">
        <v>233</v>
      </c>
      <c r="J158" t="s">
        <v>1549</v>
      </c>
      <c r="K158" t="s">
        <v>718</v>
      </c>
      <c r="L158" s="6" t="str">
        <f>IFERROR(VLOOKUP(K158,キャラマスタ[],2,FALSE),"")</f>
        <v>ウソップ</v>
      </c>
    </row>
    <row r="159" spans="1:12">
      <c r="A159" t="s">
        <v>1541</v>
      </c>
      <c r="B159">
        <f t="shared" si="22"/>
        <v>1539</v>
      </c>
      <c r="C159">
        <v>0</v>
      </c>
      <c r="D159">
        <v>8.5</v>
      </c>
      <c r="E159">
        <v>9</v>
      </c>
      <c r="F159">
        <v>75</v>
      </c>
      <c r="G159" t="s">
        <v>1547</v>
      </c>
      <c r="H159" s="6" t="str">
        <f>VLOOKUP(G159,場所マスタ[],6,FALSE)</f>
        <v>アーロンパーク近海</v>
      </c>
      <c r="I159" t="s">
        <v>233</v>
      </c>
      <c r="J159" t="s">
        <v>1548</v>
      </c>
      <c r="K159" t="s">
        <v>1424</v>
      </c>
      <c r="L159" s="6" t="str">
        <f>IFERROR(VLOOKUP(K159,キャラマスタ[],2,FALSE),"")</f>
        <v>はっちゃん</v>
      </c>
    </row>
    <row r="160" spans="1:12">
      <c r="A160" t="s">
        <v>1542</v>
      </c>
      <c r="B160">
        <f t="shared" si="22"/>
        <v>1531</v>
      </c>
      <c r="C160">
        <v>-8</v>
      </c>
      <c r="D160">
        <v>-2920</v>
      </c>
      <c r="E160">
        <v>9</v>
      </c>
      <c r="F160">
        <v>77</v>
      </c>
      <c r="G160" t="s">
        <v>1273</v>
      </c>
      <c r="H160" s="6" t="str">
        <f>VLOOKUP(G160,場所マスタ[],6,FALSE)</f>
        <v>ココヤシ村</v>
      </c>
      <c r="I160" t="s">
        <v>233</v>
      </c>
      <c r="J160" t="s">
        <v>1550</v>
      </c>
      <c r="K160" t="s">
        <v>1310</v>
      </c>
      <c r="L160" s="6" t="str">
        <f>IFERROR(VLOOKUP(K160,キャラマスタ[],2,FALSE),"")</f>
        <v>アーロン</v>
      </c>
    </row>
    <row r="161" spans="1:12">
      <c r="A161" t="s">
        <v>1543</v>
      </c>
      <c r="B161">
        <f t="shared" si="22"/>
        <v>1531</v>
      </c>
      <c r="C161">
        <v>-8</v>
      </c>
      <c r="D161">
        <v>-2920</v>
      </c>
      <c r="E161">
        <v>9</v>
      </c>
      <c r="F161">
        <v>77</v>
      </c>
      <c r="G161" t="s">
        <v>1273</v>
      </c>
      <c r="H161" s="6" t="str">
        <f>VLOOKUP(G161,場所マスタ[],6,FALSE)</f>
        <v>ココヤシ村</v>
      </c>
      <c r="I161" t="s">
        <v>233</v>
      </c>
      <c r="J161" t="s">
        <v>1550</v>
      </c>
      <c r="K161" t="s">
        <v>1424</v>
      </c>
      <c r="L161" s="6" t="str">
        <f>IFERROR(VLOOKUP(K161,キャラマスタ[],2,FALSE),"")</f>
        <v>はっちゃん</v>
      </c>
    </row>
    <row r="162" spans="1:12">
      <c r="A162" t="s">
        <v>1734</v>
      </c>
      <c r="B162">
        <f t="shared" si="22"/>
        <v>1531</v>
      </c>
      <c r="C162">
        <v>-8</v>
      </c>
      <c r="D162">
        <v>-2920</v>
      </c>
      <c r="E162">
        <v>9</v>
      </c>
      <c r="F162">
        <v>77</v>
      </c>
      <c r="G162" t="s">
        <v>1273</v>
      </c>
      <c r="H162" s="6" t="str">
        <f>VLOOKUP(G162,場所マスタ[],6,FALSE)</f>
        <v>ココヤシ村</v>
      </c>
      <c r="I162" t="s">
        <v>233</v>
      </c>
      <c r="J162" t="s">
        <v>1551</v>
      </c>
      <c r="K162" t="s">
        <v>321</v>
      </c>
      <c r="L162" s="6" t="str">
        <f>IFERROR(VLOOKUP(K162,キャラマスタ[],2,FALSE),"")</f>
        <v>ナミ</v>
      </c>
    </row>
    <row r="163" spans="1:12">
      <c r="A163" t="s">
        <v>1735</v>
      </c>
      <c r="B163">
        <f t="shared" si="22"/>
        <v>1539</v>
      </c>
      <c r="C163">
        <v>0</v>
      </c>
      <c r="D163">
        <v>8.6999999999999993</v>
      </c>
      <c r="E163">
        <v>10</v>
      </c>
      <c r="F163">
        <v>82</v>
      </c>
      <c r="G163" t="s">
        <v>1274</v>
      </c>
      <c r="H163" s="6" t="str">
        <f>VLOOKUP(G163,場所マスタ[],6,FALSE)</f>
        <v>アーロンパーク</v>
      </c>
      <c r="I163" t="s">
        <v>233</v>
      </c>
      <c r="J163" t="s">
        <v>1738</v>
      </c>
      <c r="K163" t="s">
        <v>411</v>
      </c>
      <c r="L163" s="6" t="str">
        <f>IFERROR(VLOOKUP(K163,キャラマスタ[],2,FALSE),"")</f>
        <v>モンキー・D・ルフィ</v>
      </c>
    </row>
    <row r="164" spans="1:12">
      <c r="A164" t="s">
        <v>1872</v>
      </c>
      <c r="B164">
        <f t="shared" si="22"/>
        <v>1539</v>
      </c>
      <c r="C164">
        <v>0</v>
      </c>
      <c r="D164">
        <v>8.6999999999999993</v>
      </c>
      <c r="E164">
        <v>10</v>
      </c>
      <c r="F164">
        <v>82</v>
      </c>
      <c r="G164" t="s">
        <v>1274</v>
      </c>
      <c r="H164" s="6" t="str">
        <f>VLOOKUP(G164,場所マスタ[],6,FALSE)</f>
        <v>アーロンパーク</v>
      </c>
      <c r="I164" t="s">
        <v>233</v>
      </c>
      <c r="J164" t="s">
        <v>1738</v>
      </c>
      <c r="K164" t="s">
        <v>1090</v>
      </c>
      <c r="L164" s="6" t="str">
        <f>IFERROR(VLOOKUP(K164,キャラマスタ[],2,FALSE),"")</f>
        <v>サンジ</v>
      </c>
    </row>
    <row r="165" spans="1:12">
      <c r="A165" t="s">
        <v>1736</v>
      </c>
      <c r="B165">
        <f t="shared" si="22"/>
        <v>1539</v>
      </c>
      <c r="C165">
        <v>0</v>
      </c>
      <c r="D165">
        <v>8.6999999999999993</v>
      </c>
      <c r="E165">
        <v>10</v>
      </c>
      <c r="F165">
        <v>82</v>
      </c>
      <c r="G165" t="s">
        <v>1274</v>
      </c>
      <c r="H165" s="6" t="str">
        <f>VLOOKUP(G165,場所マスタ[],6,FALSE)</f>
        <v>アーロンパーク</v>
      </c>
      <c r="I165" t="s">
        <v>233</v>
      </c>
      <c r="J165" t="s">
        <v>1738</v>
      </c>
      <c r="K165" t="s">
        <v>718</v>
      </c>
      <c r="L165" s="6" t="str">
        <f>IFERROR(VLOOKUP(K165,キャラマスタ[],2,FALSE),"")</f>
        <v>ウソップ</v>
      </c>
    </row>
    <row r="166" spans="1:12">
      <c r="A166" t="s">
        <v>1737</v>
      </c>
      <c r="B166">
        <f t="shared" si="22"/>
        <v>1539</v>
      </c>
      <c r="C166">
        <v>0</v>
      </c>
      <c r="D166">
        <v>8.6999999999999993</v>
      </c>
      <c r="E166">
        <v>10</v>
      </c>
      <c r="F166">
        <v>82</v>
      </c>
      <c r="G166" t="s">
        <v>1274</v>
      </c>
      <c r="H166" s="6" t="str">
        <f>VLOOKUP(G166,場所マスタ[],6,FALSE)</f>
        <v>アーロンパーク</v>
      </c>
      <c r="I166" t="s">
        <v>233</v>
      </c>
      <c r="J166" t="s">
        <v>1738</v>
      </c>
      <c r="K166" t="s">
        <v>308</v>
      </c>
      <c r="L166" s="6" t="str">
        <f>IFERROR(VLOOKUP(K166,キャラマスタ[],2,FALSE),"")</f>
        <v>ロロノア・ゾロ</v>
      </c>
    </row>
    <row r="167" spans="1:12">
      <c r="A167" t="s">
        <v>1837</v>
      </c>
      <c r="B167">
        <f t="shared" ref="B167:B171" si="23">1539+C167</f>
        <v>1539</v>
      </c>
      <c r="C167">
        <v>0</v>
      </c>
      <c r="D167">
        <v>8.6999999999999993</v>
      </c>
      <c r="E167">
        <v>10</v>
      </c>
      <c r="F167">
        <v>82</v>
      </c>
      <c r="G167" t="s">
        <v>1274</v>
      </c>
      <c r="H167" s="6" t="str">
        <f>VLOOKUP(G167,場所マスタ[],6,FALSE)</f>
        <v>アーロンパーク</v>
      </c>
      <c r="I167" t="s">
        <v>233</v>
      </c>
      <c r="J167" t="s">
        <v>1739</v>
      </c>
      <c r="K167" t="s">
        <v>1310</v>
      </c>
      <c r="L167" s="6" t="str">
        <f>IFERROR(VLOOKUP(K167,キャラマスタ[],2,FALSE),"")</f>
        <v>アーロン</v>
      </c>
    </row>
    <row r="168" spans="1:12">
      <c r="A168" t="s">
        <v>1838</v>
      </c>
      <c r="B168">
        <f t="shared" si="23"/>
        <v>1539</v>
      </c>
      <c r="C168">
        <v>0</v>
      </c>
      <c r="D168">
        <v>8.6999999999999993</v>
      </c>
      <c r="E168">
        <v>10</v>
      </c>
      <c r="F168">
        <v>82</v>
      </c>
      <c r="G168" t="s">
        <v>1274</v>
      </c>
      <c r="H168" s="6" t="str">
        <f>VLOOKUP(G168,場所マスタ[],6,FALSE)</f>
        <v>アーロンパーク</v>
      </c>
      <c r="I168" t="s">
        <v>233</v>
      </c>
      <c r="J168" t="s">
        <v>1739</v>
      </c>
      <c r="K168" t="s">
        <v>1424</v>
      </c>
      <c r="L168" s="6" t="str">
        <f>IFERROR(VLOOKUP(K168,キャラマスタ[],2,FALSE),"")</f>
        <v>はっちゃん</v>
      </c>
    </row>
    <row r="169" spans="1:12">
      <c r="A169" t="s">
        <v>1839</v>
      </c>
      <c r="B169">
        <f t="shared" si="23"/>
        <v>1539</v>
      </c>
      <c r="C169">
        <v>0</v>
      </c>
      <c r="D169">
        <v>2</v>
      </c>
      <c r="E169">
        <v>10</v>
      </c>
      <c r="F169">
        <v>83</v>
      </c>
      <c r="G169" t="s">
        <v>388</v>
      </c>
      <c r="H169" s="6" t="str">
        <f>VLOOKUP(G169,場所マスタ[],6,FALSE)</f>
        <v>シェルズタウン</v>
      </c>
      <c r="I169" t="s">
        <v>233</v>
      </c>
      <c r="J169" t="s">
        <v>1740</v>
      </c>
      <c r="K169" t="s">
        <v>303</v>
      </c>
      <c r="L169" s="6" t="str">
        <f>IFERROR(VLOOKUP(K169,キャラマスタ[],2,FALSE),"")</f>
        <v>コビー</v>
      </c>
    </row>
    <row r="170" spans="1:12">
      <c r="A170" t="s">
        <v>1840</v>
      </c>
      <c r="B170">
        <f t="shared" si="23"/>
        <v>1539</v>
      </c>
      <c r="C170">
        <v>0</v>
      </c>
      <c r="D170">
        <v>2</v>
      </c>
      <c r="E170">
        <v>10</v>
      </c>
      <c r="F170">
        <v>83</v>
      </c>
      <c r="G170" t="s">
        <v>388</v>
      </c>
      <c r="H170" s="6" t="str">
        <f>VLOOKUP(G170,場所マスタ[],6,FALSE)</f>
        <v>シェルズタウン</v>
      </c>
      <c r="I170" t="s">
        <v>233</v>
      </c>
      <c r="J170" t="s">
        <v>1740</v>
      </c>
      <c r="K170" t="s">
        <v>310</v>
      </c>
      <c r="L170" s="6" t="str">
        <f>IFERROR(VLOOKUP(K170,キャラマスタ[],2,FALSE),"")</f>
        <v>ヘルメッポ</v>
      </c>
    </row>
    <row r="171" spans="1:12">
      <c r="A171" t="s">
        <v>1841</v>
      </c>
      <c r="B171">
        <f t="shared" si="23"/>
        <v>1539</v>
      </c>
      <c r="C171">
        <v>0</v>
      </c>
      <c r="D171">
        <v>3</v>
      </c>
      <c r="E171">
        <v>10</v>
      </c>
      <c r="F171">
        <v>88</v>
      </c>
      <c r="G171" t="s">
        <v>512</v>
      </c>
      <c r="H171" s="6" t="str">
        <f>VLOOKUP(G171,場所マスタ[],6,FALSE)</f>
        <v>シェルズタウン近海</v>
      </c>
      <c r="I171" t="s">
        <v>233</v>
      </c>
      <c r="J171" t="s">
        <v>1903</v>
      </c>
      <c r="K171" t="s">
        <v>1741</v>
      </c>
      <c r="L171" s="6" t="str">
        <f>IFERROR(VLOOKUP(K171,キャラマスタ[],2,FALSE),"")</f>
        <v>モーガン</v>
      </c>
    </row>
    <row r="172" spans="1:12">
      <c r="A172" t="s">
        <v>1842</v>
      </c>
      <c r="B172">
        <f t="shared" ref="B172:B175" si="24">1539+C172</f>
        <v>1539</v>
      </c>
      <c r="C172">
        <v>0</v>
      </c>
      <c r="D172">
        <v>11</v>
      </c>
      <c r="E172">
        <v>11</v>
      </c>
      <c r="F172">
        <v>95</v>
      </c>
      <c r="G172" t="s">
        <v>1809</v>
      </c>
      <c r="H172" s="6" t="str">
        <f>VLOOKUP(G172,場所マスタ[],6,FALSE)</f>
        <v>ローグタウン</v>
      </c>
      <c r="I172" t="s">
        <v>233</v>
      </c>
      <c r="J172" t="s">
        <v>1836</v>
      </c>
      <c r="K172" t="s">
        <v>411</v>
      </c>
      <c r="L172" s="6" t="str">
        <f>IFERROR(VLOOKUP(K172,キャラマスタ[],2,FALSE),"")</f>
        <v>モンキー・D・ルフィ</v>
      </c>
    </row>
    <row r="173" spans="1:12">
      <c r="A173" t="s">
        <v>1843</v>
      </c>
      <c r="B173">
        <f t="shared" si="24"/>
        <v>1539</v>
      </c>
      <c r="C173">
        <v>0</v>
      </c>
      <c r="D173">
        <v>11</v>
      </c>
      <c r="E173">
        <v>11</v>
      </c>
      <c r="F173">
        <v>95</v>
      </c>
      <c r="G173" t="s">
        <v>1809</v>
      </c>
      <c r="H173" s="6" t="str">
        <f>VLOOKUP(G173,場所マスタ[],6,FALSE)</f>
        <v>ローグタウン</v>
      </c>
      <c r="I173" t="s">
        <v>233</v>
      </c>
      <c r="J173" t="s">
        <v>1836</v>
      </c>
      <c r="K173" t="s">
        <v>308</v>
      </c>
      <c r="L173" s="6" t="str">
        <f>IFERROR(VLOOKUP(K173,キャラマスタ[],2,FALSE),"")</f>
        <v>ロロノア・ゾロ</v>
      </c>
    </row>
    <row r="174" spans="1:12">
      <c r="A174" t="s">
        <v>1844</v>
      </c>
      <c r="B174">
        <f t="shared" si="24"/>
        <v>1539</v>
      </c>
      <c r="C174">
        <v>0</v>
      </c>
      <c r="D174">
        <v>11</v>
      </c>
      <c r="E174">
        <v>11</v>
      </c>
      <c r="F174">
        <v>95</v>
      </c>
      <c r="G174" t="s">
        <v>1809</v>
      </c>
      <c r="H174" s="6" t="str">
        <f>VLOOKUP(G174,場所マスタ[],6,FALSE)</f>
        <v>ローグタウン</v>
      </c>
      <c r="I174" t="s">
        <v>233</v>
      </c>
      <c r="J174" t="s">
        <v>1836</v>
      </c>
      <c r="K174" t="s">
        <v>321</v>
      </c>
      <c r="L174" s="6" t="str">
        <f>IFERROR(VLOOKUP(K174,キャラマスタ[],2,FALSE),"")</f>
        <v>ナミ</v>
      </c>
    </row>
    <row r="175" spans="1:12">
      <c r="A175" t="s">
        <v>1845</v>
      </c>
      <c r="B175">
        <f t="shared" si="24"/>
        <v>1539</v>
      </c>
      <c r="C175">
        <v>0</v>
      </c>
      <c r="D175">
        <v>11</v>
      </c>
      <c r="E175">
        <v>11</v>
      </c>
      <c r="F175">
        <v>95</v>
      </c>
      <c r="G175" t="s">
        <v>1809</v>
      </c>
      <c r="H175" s="6" t="str">
        <f>VLOOKUP(G175,場所マスタ[],6,FALSE)</f>
        <v>ローグタウン</v>
      </c>
      <c r="I175" t="s">
        <v>233</v>
      </c>
      <c r="J175" t="s">
        <v>1836</v>
      </c>
      <c r="K175" t="s">
        <v>718</v>
      </c>
      <c r="L175" s="6" t="str">
        <f>IFERROR(VLOOKUP(K175,キャラマスタ[],2,FALSE),"")</f>
        <v>ウソップ</v>
      </c>
    </row>
    <row r="176" spans="1:12">
      <c r="A176" t="s">
        <v>1873</v>
      </c>
      <c r="B176">
        <f t="shared" ref="B176:B186" si="25">1539+C176</f>
        <v>1539</v>
      </c>
      <c r="C176">
        <v>0</v>
      </c>
      <c r="D176">
        <v>11</v>
      </c>
      <c r="E176">
        <v>11</v>
      </c>
      <c r="F176">
        <v>95</v>
      </c>
      <c r="G176" t="s">
        <v>1809</v>
      </c>
      <c r="H176" s="6" t="str">
        <f>VLOOKUP(G176,場所マスタ[],6,FALSE)</f>
        <v>ローグタウン</v>
      </c>
      <c r="I176" t="s">
        <v>233</v>
      </c>
      <c r="J176" t="s">
        <v>1836</v>
      </c>
      <c r="K176" t="s">
        <v>1090</v>
      </c>
      <c r="L176" s="6" t="str">
        <f>IFERROR(VLOOKUP(K176,キャラマスタ[],2,FALSE),"")</f>
        <v>サンジ</v>
      </c>
    </row>
    <row r="177" spans="1:12">
      <c r="A177" t="s">
        <v>1874</v>
      </c>
      <c r="B177">
        <f t="shared" si="25"/>
        <v>1539</v>
      </c>
      <c r="C177">
        <v>0</v>
      </c>
      <c r="D177">
        <v>11</v>
      </c>
      <c r="E177">
        <v>11</v>
      </c>
      <c r="F177">
        <v>95</v>
      </c>
      <c r="G177" t="s">
        <v>1847</v>
      </c>
      <c r="H177" s="6" t="str">
        <f>VLOOKUP(G177,場所マスタ[],6,FALSE)</f>
        <v>とある島</v>
      </c>
      <c r="I177" t="s">
        <v>233</v>
      </c>
      <c r="J177" t="s">
        <v>1848</v>
      </c>
      <c r="K177" t="s">
        <v>1169</v>
      </c>
      <c r="L177" s="6" t="str">
        <f>IFERROR(VLOOKUP(K177,キャラマスタ[],2,FALSE),"")</f>
        <v>ジュラキュール・ミホーク</v>
      </c>
    </row>
    <row r="178" spans="1:12">
      <c r="A178" t="s">
        <v>1875</v>
      </c>
      <c r="B178">
        <f t="shared" si="25"/>
        <v>1539</v>
      </c>
      <c r="C178">
        <v>0</v>
      </c>
      <c r="D178">
        <v>11</v>
      </c>
      <c r="E178">
        <v>11</v>
      </c>
      <c r="F178">
        <v>95</v>
      </c>
      <c r="G178" t="s">
        <v>1847</v>
      </c>
      <c r="H178" s="6" t="str">
        <f>VLOOKUP(G178,場所マスタ[],6,FALSE)</f>
        <v>とある島</v>
      </c>
      <c r="I178" t="s">
        <v>233</v>
      </c>
      <c r="J178" t="s">
        <v>1849</v>
      </c>
      <c r="K178" t="s">
        <v>292</v>
      </c>
      <c r="L178" s="6" t="str">
        <f>IFERROR(VLOOKUP(K178,キャラマスタ[],2,FALSE),"")</f>
        <v>シャンクス</v>
      </c>
    </row>
    <row r="179" spans="1:12">
      <c r="A179" t="s">
        <v>1876</v>
      </c>
      <c r="B179">
        <f t="shared" si="25"/>
        <v>1539</v>
      </c>
      <c r="C179">
        <v>0</v>
      </c>
      <c r="D179">
        <v>11</v>
      </c>
      <c r="E179">
        <v>11</v>
      </c>
      <c r="F179">
        <v>95</v>
      </c>
      <c r="G179" t="s">
        <v>1847</v>
      </c>
      <c r="H179" s="6" t="str">
        <f>VLOOKUP(G179,場所マスタ[],6,FALSE)</f>
        <v>とある島</v>
      </c>
      <c r="I179" t="s">
        <v>233</v>
      </c>
      <c r="J179" t="s">
        <v>1849</v>
      </c>
      <c r="K179" t="s">
        <v>293</v>
      </c>
      <c r="L179" s="6" t="str">
        <f>IFERROR(VLOOKUP(K179,キャラマスタ[],2,FALSE),"")</f>
        <v>ラッキー・ルウ</v>
      </c>
    </row>
    <row r="180" spans="1:12">
      <c r="A180" t="s">
        <v>1876</v>
      </c>
      <c r="B180">
        <f t="shared" si="25"/>
        <v>1539</v>
      </c>
      <c r="C180">
        <v>0</v>
      </c>
      <c r="D180">
        <v>11</v>
      </c>
      <c r="E180">
        <v>11</v>
      </c>
      <c r="F180">
        <v>95</v>
      </c>
      <c r="G180" t="s">
        <v>1847</v>
      </c>
      <c r="H180" s="6" t="str">
        <f>VLOOKUP(G180,場所マスタ[],6,FALSE)</f>
        <v>とある島</v>
      </c>
      <c r="I180" t="s">
        <v>233</v>
      </c>
      <c r="J180" t="s">
        <v>1849</v>
      </c>
      <c r="K180" t="s">
        <v>294</v>
      </c>
      <c r="L180" s="6" t="str">
        <f>IFERROR(VLOOKUP(K180,キャラマスタ[],2,FALSE),"")</f>
        <v>ヤソップ</v>
      </c>
    </row>
    <row r="181" spans="1:12">
      <c r="A181" t="s">
        <v>1876</v>
      </c>
      <c r="B181">
        <f t="shared" si="25"/>
        <v>1539</v>
      </c>
      <c r="C181">
        <v>0</v>
      </c>
      <c r="D181">
        <v>11</v>
      </c>
      <c r="E181">
        <v>11</v>
      </c>
      <c r="F181">
        <v>95</v>
      </c>
      <c r="G181" t="s">
        <v>1847</v>
      </c>
      <c r="H181" s="6" t="str">
        <f>VLOOKUP(G181,場所マスタ[],6,FALSE)</f>
        <v>とある島</v>
      </c>
      <c r="I181" t="s">
        <v>233</v>
      </c>
      <c r="J181" t="s">
        <v>1849</v>
      </c>
      <c r="K181" t="s">
        <v>295</v>
      </c>
      <c r="L181" s="6" t="str">
        <f>IFERROR(VLOOKUP(K181,キャラマスタ[],2,FALSE),"")</f>
        <v>ベン・ベックマン</v>
      </c>
    </row>
    <row r="182" spans="1:12">
      <c r="A182" t="s">
        <v>1877</v>
      </c>
      <c r="B182">
        <f t="shared" si="25"/>
        <v>1539</v>
      </c>
      <c r="C182">
        <v>0</v>
      </c>
      <c r="D182">
        <v>11.2</v>
      </c>
      <c r="E182">
        <v>11</v>
      </c>
      <c r="F182">
        <v>95</v>
      </c>
      <c r="G182" t="s">
        <v>1809</v>
      </c>
      <c r="H182" s="6" t="str">
        <f>VLOOKUP(G182,場所マスタ[],6,FALSE)</f>
        <v>ローグタウン</v>
      </c>
      <c r="I182" t="s">
        <v>233</v>
      </c>
      <c r="J182" t="s">
        <v>1868</v>
      </c>
      <c r="K182" t="s">
        <v>570</v>
      </c>
      <c r="L182" s="6" t="str">
        <f>IFERROR(VLOOKUP(K182,キャラマスタ[],2,FALSE),"")</f>
        <v>バギー</v>
      </c>
    </row>
    <row r="183" spans="1:12">
      <c r="A183" t="s">
        <v>1878</v>
      </c>
      <c r="B183">
        <f t="shared" si="25"/>
        <v>1539</v>
      </c>
      <c r="C183">
        <v>0</v>
      </c>
      <c r="D183">
        <v>11.2</v>
      </c>
      <c r="E183">
        <v>11</v>
      </c>
      <c r="F183">
        <v>95</v>
      </c>
      <c r="G183" t="s">
        <v>1809</v>
      </c>
      <c r="H183" s="6" t="str">
        <f>VLOOKUP(G183,場所マスタ[],6,FALSE)</f>
        <v>ローグタウン</v>
      </c>
      <c r="I183" t="s">
        <v>233</v>
      </c>
      <c r="J183" t="s">
        <v>1868</v>
      </c>
      <c r="K183" t="s">
        <v>661</v>
      </c>
      <c r="L183" s="6" t="str">
        <f>IFERROR(VLOOKUP(K183,キャラマスタ[],2,FALSE),"")</f>
        <v>モージ</v>
      </c>
    </row>
    <row r="184" spans="1:12">
      <c r="A184" t="s">
        <v>1879</v>
      </c>
      <c r="B184">
        <f t="shared" si="25"/>
        <v>1539</v>
      </c>
      <c r="C184">
        <v>0</v>
      </c>
      <c r="D184">
        <v>11.2</v>
      </c>
      <c r="E184">
        <v>11</v>
      </c>
      <c r="F184">
        <v>95</v>
      </c>
      <c r="G184" t="s">
        <v>1809</v>
      </c>
      <c r="H184" s="6" t="str">
        <f>VLOOKUP(G184,場所マスタ[],6,FALSE)</f>
        <v>ローグタウン</v>
      </c>
      <c r="I184" t="s">
        <v>233</v>
      </c>
      <c r="J184" t="s">
        <v>1868</v>
      </c>
      <c r="K184" t="s">
        <v>662</v>
      </c>
      <c r="L184" s="6" t="str">
        <f>IFERROR(VLOOKUP(K184,キャラマスタ[],2,FALSE),"")</f>
        <v>カバジ</v>
      </c>
    </row>
    <row r="185" spans="1:12">
      <c r="A185" t="s">
        <v>1880</v>
      </c>
      <c r="B185">
        <f t="shared" si="25"/>
        <v>1539</v>
      </c>
      <c r="C185">
        <v>0</v>
      </c>
      <c r="D185">
        <v>11.2</v>
      </c>
      <c r="E185">
        <v>11</v>
      </c>
      <c r="F185">
        <v>95</v>
      </c>
      <c r="G185" t="s">
        <v>1809</v>
      </c>
      <c r="H185" s="6" t="str">
        <f>VLOOKUP(G185,場所マスタ[],6,FALSE)</f>
        <v>ローグタウン</v>
      </c>
      <c r="I185" t="s">
        <v>233</v>
      </c>
      <c r="J185" t="s">
        <v>1868</v>
      </c>
      <c r="K185" t="s">
        <v>304</v>
      </c>
      <c r="L185" s="6" t="str">
        <f>IFERROR(VLOOKUP(K185,キャラマスタ[],2,FALSE),"")</f>
        <v>アルビダ</v>
      </c>
    </row>
    <row r="186" spans="1:12">
      <c r="A186" t="s">
        <v>1881</v>
      </c>
      <c r="B186">
        <f t="shared" si="25"/>
        <v>1539</v>
      </c>
      <c r="C186">
        <v>0</v>
      </c>
      <c r="D186">
        <v>11.2</v>
      </c>
      <c r="E186">
        <v>11</v>
      </c>
      <c r="F186">
        <v>95</v>
      </c>
      <c r="G186" t="s">
        <v>1809</v>
      </c>
      <c r="H186" s="6" t="str">
        <f>VLOOKUP(G186,場所マスタ[],6,FALSE)</f>
        <v>ローグタウン</v>
      </c>
      <c r="I186" t="s">
        <v>233</v>
      </c>
      <c r="J186" t="s">
        <v>1889</v>
      </c>
      <c r="K186" t="s">
        <v>411</v>
      </c>
      <c r="L186" s="6" t="str">
        <f>IFERROR(VLOOKUP(K186,キャラマスタ[],2,FALSE),"")</f>
        <v>モンキー・D・ルフィ</v>
      </c>
    </row>
    <row r="187" spans="1:12">
      <c r="A187" t="s">
        <v>1882</v>
      </c>
      <c r="B187">
        <f t="shared" ref="B187:B194" si="26">1539+C187</f>
        <v>1539</v>
      </c>
      <c r="C187">
        <v>0</v>
      </c>
      <c r="D187">
        <v>11.2</v>
      </c>
      <c r="E187">
        <v>11</v>
      </c>
      <c r="F187">
        <v>95</v>
      </c>
      <c r="G187" t="s">
        <v>1809</v>
      </c>
      <c r="H187" s="6" t="str">
        <f>VLOOKUP(G187,場所マスタ[],6,FALSE)</f>
        <v>ローグタウン</v>
      </c>
      <c r="I187" t="s">
        <v>233</v>
      </c>
      <c r="J187" t="s">
        <v>1890</v>
      </c>
      <c r="K187" t="s">
        <v>1806</v>
      </c>
      <c r="L187" s="6" t="str">
        <f>IFERROR(VLOOKUP(K187,キャラマスタ[],2,FALSE),"")</f>
        <v>スモーカー</v>
      </c>
    </row>
    <row r="188" spans="1:12">
      <c r="A188" t="s">
        <v>1883</v>
      </c>
      <c r="B188">
        <f t="shared" si="26"/>
        <v>1539</v>
      </c>
      <c r="C188">
        <v>0</v>
      </c>
      <c r="D188">
        <v>11.2</v>
      </c>
      <c r="E188">
        <v>11</v>
      </c>
      <c r="F188">
        <v>95</v>
      </c>
      <c r="G188" t="s">
        <v>1809</v>
      </c>
      <c r="H188" s="6" t="str">
        <f>VLOOKUP(G188,場所マスタ[],6,FALSE)</f>
        <v>ローグタウン</v>
      </c>
      <c r="I188" t="s">
        <v>233</v>
      </c>
      <c r="J188" t="s">
        <v>1890</v>
      </c>
      <c r="K188" t="s">
        <v>1869</v>
      </c>
      <c r="L188" s="6" t="str">
        <f>IFERROR(VLOOKUP(K188,キャラマスタ[],2,FALSE),"")</f>
        <v>たしぎ</v>
      </c>
    </row>
    <row r="189" spans="1:12">
      <c r="A189" t="s">
        <v>1883</v>
      </c>
      <c r="B189">
        <f>1539+C189</f>
        <v>1539</v>
      </c>
      <c r="C189">
        <v>0</v>
      </c>
      <c r="D189">
        <v>11.2</v>
      </c>
      <c r="E189">
        <v>11</v>
      </c>
      <c r="F189">
        <v>95</v>
      </c>
      <c r="G189" t="s">
        <v>1809</v>
      </c>
      <c r="H189" s="6" t="str">
        <f>VLOOKUP(G189,場所マスタ[],6,FALSE)</f>
        <v>ローグタウン</v>
      </c>
      <c r="I189" t="s">
        <v>233</v>
      </c>
      <c r="J189" t="s">
        <v>2018</v>
      </c>
      <c r="K189" t="s">
        <v>1907</v>
      </c>
      <c r="L189" s="6" t="str">
        <f>IFERROR(VLOOKUP(K189,キャラマスタ[],2,FALSE),"")</f>
        <v>モンキー・D・ドラゴン</v>
      </c>
    </row>
    <row r="190" spans="1:12">
      <c r="A190" t="s">
        <v>1884</v>
      </c>
      <c r="B190">
        <f t="shared" si="26"/>
        <v>1539</v>
      </c>
      <c r="C190">
        <v>0</v>
      </c>
      <c r="D190">
        <v>3</v>
      </c>
      <c r="E190">
        <v>11</v>
      </c>
      <c r="F190">
        <v>92</v>
      </c>
      <c r="G190" t="s">
        <v>512</v>
      </c>
      <c r="H190" s="6" t="str">
        <f>VLOOKUP(G190,場所マスタ[],6,FALSE)</f>
        <v>シェルズタウン近海</v>
      </c>
      <c r="I190" t="s">
        <v>233</v>
      </c>
      <c r="J190" t="s">
        <v>1904</v>
      </c>
      <c r="K190" t="s">
        <v>303</v>
      </c>
      <c r="L190" s="6" t="str">
        <f>IFERROR(VLOOKUP(K190,キャラマスタ[],2,FALSE),"")</f>
        <v>コビー</v>
      </c>
    </row>
    <row r="191" spans="1:12">
      <c r="A191" t="s">
        <v>1885</v>
      </c>
      <c r="B191">
        <f t="shared" si="26"/>
        <v>1539</v>
      </c>
      <c r="C191">
        <v>0</v>
      </c>
      <c r="D191">
        <v>3</v>
      </c>
      <c r="E191">
        <v>11</v>
      </c>
      <c r="F191">
        <v>92</v>
      </c>
      <c r="G191" t="s">
        <v>512</v>
      </c>
      <c r="H191" s="6" t="str">
        <f>VLOOKUP(G191,場所マスタ[],6,FALSE)</f>
        <v>シェルズタウン近海</v>
      </c>
      <c r="I191" t="s">
        <v>233</v>
      </c>
      <c r="J191" t="s">
        <v>1904</v>
      </c>
      <c r="K191" t="s">
        <v>310</v>
      </c>
      <c r="L191" s="6" t="str">
        <f>IFERROR(VLOOKUP(K191,キャラマスタ[],2,FALSE),"")</f>
        <v>ヘルメッポ</v>
      </c>
    </row>
    <row r="192" spans="1:12">
      <c r="A192" t="s">
        <v>1886</v>
      </c>
      <c r="B192">
        <f t="shared" si="26"/>
        <v>1539</v>
      </c>
      <c r="C192">
        <v>0</v>
      </c>
      <c r="D192">
        <v>3</v>
      </c>
      <c r="E192">
        <v>11</v>
      </c>
      <c r="F192">
        <v>92</v>
      </c>
      <c r="G192" t="s">
        <v>512</v>
      </c>
      <c r="H192" s="6" t="str">
        <f>VLOOKUP(G192,場所マスタ[],6,FALSE)</f>
        <v>シェルズタウン近海</v>
      </c>
      <c r="I192" t="s">
        <v>233</v>
      </c>
      <c r="J192" t="s">
        <v>1904</v>
      </c>
      <c r="K192" t="s">
        <v>1891</v>
      </c>
      <c r="L192" s="6" t="str">
        <f>IFERROR(VLOOKUP(K192,キャラマスタ[],2,FALSE),"")</f>
        <v>モンキー・D・ガープ</v>
      </c>
    </row>
    <row r="193" spans="1:12">
      <c r="A193" t="s">
        <v>1887</v>
      </c>
      <c r="B193">
        <f t="shared" si="26"/>
        <v>1539</v>
      </c>
      <c r="C193">
        <v>0</v>
      </c>
      <c r="D193">
        <v>11.3</v>
      </c>
      <c r="E193">
        <v>12</v>
      </c>
      <c r="F193">
        <v>101</v>
      </c>
      <c r="G193" t="s">
        <v>1811</v>
      </c>
      <c r="H193" s="6" t="str">
        <f>VLOOKUP(G193,場所マスタ[],6,FALSE)</f>
        <v>東の海付近凪の帯</v>
      </c>
      <c r="I193" t="s">
        <v>233</v>
      </c>
      <c r="J193" t="s">
        <v>2010</v>
      </c>
      <c r="K193" t="s">
        <v>411</v>
      </c>
      <c r="L193" s="6" t="str">
        <f>IFERROR(VLOOKUP(K193,キャラマスタ[],2,FALSE),"")</f>
        <v>モンキー・D・ルフィ</v>
      </c>
    </row>
    <row r="194" spans="1:12">
      <c r="A194" t="s">
        <v>1888</v>
      </c>
      <c r="B194">
        <f t="shared" si="26"/>
        <v>1539</v>
      </c>
      <c r="C194">
        <v>0</v>
      </c>
      <c r="D194">
        <v>11.3</v>
      </c>
      <c r="E194">
        <v>12</v>
      </c>
      <c r="F194">
        <v>101</v>
      </c>
      <c r="G194" t="s">
        <v>1811</v>
      </c>
      <c r="H194" s="6" t="str">
        <f>VLOOKUP(G194,場所マスタ[],6,FALSE)</f>
        <v>東の海付近凪の帯</v>
      </c>
      <c r="I194" t="s">
        <v>233</v>
      </c>
      <c r="J194" t="s">
        <v>2010</v>
      </c>
      <c r="K194" t="s">
        <v>308</v>
      </c>
      <c r="L194" s="6" t="str">
        <f>IFERROR(VLOOKUP(K194,キャラマスタ[],2,FALSE),"")</f>
        <v>ロロノア・ゾロ</v>
      </c>
    </row>
    <row r="195" spans="1:12">
      <c r="A195" t="s">
        <v>1998</v>
      </c>
      <c r="B195">
        <f t="shared" ref="B195:B204" si="27">1539+C195</f>
        <v>1539</v>
      </c>
      <c r="C195">
        <v>0</v>
      </c>
      <c r="D195">
        <v>11.3</v>
      </c>
      <c r="E195">
        <v>12</v>
      </c>
      <c r="F195">
        <v>101</v>
      </c>
      <c r="G195" t="s">
        <v>1811</v>
      </c>
      <c r="H195" s="6" t="str">
        <f>VLOOKUP(G195,場所マスタ[],6,FALSE)</f>
        <v>東の海付近凪の帯</v>
      </c>
      <c r="I195" t="s">
        <v>233</v>
      </c>
      <c r="J195" t="s">
        <v>2010</v>
      </c>
      <c r="K195" t="s">
        <v>321</v>
      </c>
      <c r="L195" s="6" t="str">
        <f>IFERROR(VLOOKUP(K195,キャラマスタ[],2,FALSE),"")</f>
        <v>ナミ</v>
      </c>
    </row>
    <row r="196" spans="1:12">
      <c r="A196" t="s">
        <v>1999</v>
      </c>
      <c r="B196">
        <f t="shared" si="27"/>
        <v>1539</v>
      </c>
      <c r="C196">
        <v>0</v>
      </c>
      <c r="D196">
        <v>11.3</v>
      </c>
      <c r="E196">
        <v>12</v>
      </c>
      <c r="F196">
        <v>101</v>
      </c>
      <c r="G196" t="s">
        <v>1811</v>
      </c>
      <c r="H196" s="6" t="str">
        <f>VLOOKUP(G196,場所マスタ[],6,FALSE)</f>
        <v>東の海付近凪の帯</v>
      </c>
      <c r="I196" t="s">
        <v>233</v>
      </c>
      <c r="J196" t="s">
        <v>2010</v>
      </c>
      <c r="K196" t="s">
        <v>718</v>
      </c>
      <c r="L196" s="6" t="str">
        <f>IFERROR(VLOOKUP(K196,キャラマスタ[],2,FALSE),"")</f>
        <v>ウソップ</v>
      </c>
    </row>
    <row r="197" spans="1:12">
      <c r="A197" t="s">
        <v>2000</v>
      </c>
      <c r="B197">
        <f t="shared" si="27"/>
        <v>1539</v>
      </c>
      <c r="C197">
        <v>0</v>
      </c>
      <c r="D197">
        <v>11.3</v>
      </c>
      <c r="E197">
        <v>12</v>
      </c>
      <c r="F197">
        <v>101</v>
      </c>
      <c r="G197" t="s">
        <v>1811</v>
      </c>
      <c r="H197" s="6" t="str">
        <f>VLOOKUP(G197,場所マスタ[],6,FALSE)</f>
        <v>東の海付近凪の帯</v>
      </c>
      <c r="I197" t="s">
        <v>233</v>
      </c>
      <c r="J197" t="s">
        <v>2010</v>
      </c>
      <c r="K197" t="s">
        <v>1090</v>
      </c>
      <c r="L197" s="6" t="str">
        <f>IFERROR(VLOOKUP(K197,キャラマスタ[],2,FALSE),"")</f>
        <v>サンジ</v>
      </c>
    </row>
    <row r="198" spans="1:12">
      <c r="A198" t="s">
        <v>2001</v>
      </c>
      <c r="B198">
        <f t="shared" si="27"/>
        <v>1539</v>
      </c>
      <c r="C198">
        <v>0</v>
      </c>
      <c r="D198">
        <v>11.4</v>
      </c>
      <c r="E198">
        <v>12</v>
      </c>
      <c r="F198">
        <v>101</v>
      </c>
      <c r="G198" t="s">
        <v>2013</v>
      </c>
      <c r="H198" s="6" t="str">
        <f>VLOOKUP(G198,場所マスタ[],6,FALSE)</f>
        <v>リヴァース・マウンテン</v>
      </c>
      <c r="I198" t="s">
        <v>233</v>
      </c>
      <c r="J198" t="s">
        <v>1187</v>
      </c>
      <c r="K198" t="s">
        <v>411</v>
      </c>
      <c r="L198" s="6" t="str">
        <f>IFERROR(VLOOKUP(K198,キャラマスタ[],2,FALSE),"")</f>
        <v>モンキー・D・ルフィ</v>
      </c>
    </row>
    <row r="199" spans="1:12">
      <c r="A199" t="s">
        <v>2002</v>
      </c>
      <c r="B199">
        <f t="shared" si="27"/>
        <v>1539</v>
      </c>
      <c r="C199">
        <v>0</v>
      </c>
      <c r="D199">
        <v>11.4</v>
      </c>
      <c r="E199">
        <v>12</v>
      </c>
      <c r="F199">
        <v>101</v>
      </c>
      <c r="G199" t="s">
        <v>2013</v>
      </c>
      <c r="H199" s="6" t="str">
        <f>VLOOKUP(G199,場所マスタ[],6,FALSE)</f>
        <v>リヴァース・マウンテン</v>
      </c>
      <c r="I199" t="s">
        <v>233</v>
      </c>
      <c r="J199" t="s">
        <v>1187</v>
      </c>
      <c r="K199" t="s">
        <v>308</v>
      </c>
      <c r="L199" s="6" t="str">
        <f>IFERROR(VLOOKUP(K199,キャラマスタ[],2,FALSE),"")</f>
        <v>ロロノア・ゾロ</v>
      </c>
    </row>
    <row r="200" spans="1:12">
      <c r="A200" t="s">
        <v>2003</v>
      </c>
      <c r="B200">
        <f t="shared" si="27"/>
        <v>1539</v>
      </c>
      <c r="C200">
        <v>0</v>
      </c>
      <c r="D200">
        <v>11.4</v>
      </c>
      <c r="E200">
        <v>12</v>
      </c>
      <c r="F200">
        <v>101</v>
      </c>
      <c r="G200" t="s">
        <v>2013</v>
      </c>
      <c r="H200" s="6" t="str">
        <f>VLOOKUP(G200,場所マスタ[],6,FALSE)</f>
        <v>リヴァース・マウンテン</v>
      </c>
      <c r="I200" t="s">
        <v>233</v>
      </c>
      <c r="J200" t="s">
        <v>1187</v>
      </c>
      <c r="K200" t="s">
        <v>321</v>
      </c>
      <c r="L200" s="6" t="str">
        <f>IFERROR(VLOOKUP(K200,キャラマスタ[],2,FALSE),"")</f>
        <v>ナミ</v>
      </c>
    </row>
    <row r="201" spans="1:12">
      <c r="A201" t="s">
        <v>2004</v>
      </c>
      <c r="B201">
        <f t="shared" si="27"/>
        <v>1539</v>
      </c>
      <c r="C201">
        <v>0</v>
      </c>
      <c r="D201">
        <v>11.4</v>
      </c>
      <c r="E201">
        <v>12</v>
      </c>
      <c r="F201">
        <v>101</v>
      </c>
      <c r="G201" t="s">
        <v>2013</v>
      </c>
      <c r="H201" s="6" t="str">
        <f>VLOOKUP(G201,場所マスタ[],6,FALSE)</f>
        <v>リヴァース・マウンテン</v>
      </c>
      <c r="I201" t="s">
        <v>233</v>
      </c>
      <c r="J201" t="s">
        <v>1187</v>
      </c>
      <c r="K201" t="s">
        <v>718</v>
      </c>
      <c r="L201" s="6" t="str">
        <f>IFERROR(VLOOKUP(K201,キャラマスタ[],2,FALSE),"")</f>
        <v>ウソップ</v>
      </c>
    </row>
    <row r="202" spans="1:12">
      <c r="A202" t="s">
        <v>2005</v>
      </c>
      <c r="B202">
        <f t="shared" si="27"/>
        <v>1539</v>
      </c>
      <c r="C202">
        <v>0</v>
      </c>
      <c r="D202">
        <v>11.4</v>
      </c>
      <c r="E202">
        <v>12</v>
      </c>
      <c r="F202">
        <v>101</v>
      </c>
      <c r="G202" t="s">
        <v>2013</v>
      </c>
      <c r="H202" s="6" t="str">
        <f>VLOOKUP(G202,場所マスタ[],6,FALSE)</f>
        <v>リヴァース・マウンテン</v>
      </c>
      <c r="I202" t="s">
        <v>233</v>
      </c>
      <c r="J202" t="s">
        <v>1187</v>
      </c>
      <c r="K202" t="s">
        <v>1090</v>
      </c>
      <c r="L202" s="6" t="str">
        <f>IFERROR(VLOOKUP(K202,キャラマスタ[],2,FALSE),"")</f>
        <v>サンジ</v>
      </c>
    </row>
    <row r="203" spans="1:12">
      <c r="A203" t="s">
        <v>2006</v>
      </c>
      <c r="B203">
        <f t="shared" si="27"/>
        <v>1539</v>
      </c>
      <c r="C203">
        <v>0</v>
      </c>
      <c r="D203">
        <v>11.5</v>
      </c>
      <c r="E203">
        <v>12</v>
      </c>
      <c r="F203">
        <v>103</v>
      </c>
      <c r="G203" t="s">
        <v>2035</v>
      </c>
      <c r="H203" s="6" t="str">
        <f>VLOOKUP(G203,場所マスタ[],6,FALSE)</f>
        <v>双子岬</v>
      </c>
      <c r="I203" t="s">
        <v>527</v>
      </c>
      <c r="J203" t="s">
        <v>2039</v>
      </c>
      <c r="K203" t="s">
        <v>411</v>
      </c>
      <c r="L203" s="6" t="str">
        <f>IFERROR(VLOOKUP(K203,キャラマスタ[],2,FALSE),"")</f>
        <v>モンキー・D・ルフィ</v>
      </c>
    </row>
    <row r="204" spans="1:12">
      <c r="A204" t="s">
        <v>2007</v>
      </c>
      <c r="B204">
        <f t="shared" si="27"/>
        <v>1539</v>
      </c>
      <c r="C204">
        <v>0</v>
      </c>
      <c r="D204">
        <v>11.5</v>
      </c>
      <c r="E204">
        <v>12</v>
      </c>
      <c r="F204">
        <v>103</v>
      </c>
      <c r="G204" t="s">
        <v>2035</v>
      </c>
      <c r="H204" s="6" t="str">
        <f>VLOOKUP(G204,場所マスタ[],6,FALSE)</f>
        <v>双子岬</v>
      </c>
      <c r="I204" t="s">
        <v>527</v>
      </c>
      <c r="J204" t="s">
        <v>2039</v>
      </c>
      <c r="K204" t="s">
        <v>308</v>
      </c>
      <c r="L204" s="6" t="str">
        <f>IFERROR(VLOOKUP(K204,キャラマスタ[],2,FALSE),"")</f>
        <v>ロロノア・ゾロ</v>
      </c>
    </row>
    <row r="205" spans="1:12">
      <c r="A205" t="s">
        <v>2019</v>
      </c>
      <c r="B205">
        <f t="shared" ref="B205:B214" si="28">1539+C205</f>
        <v>1539</v>
      </c>
      <c r="C205">
        <v>0</v>
      </c>
      <c r="D205">
        <v>11.5</v>
      </c>
      <c r="E205">
        <v>12</v>
      </c>
      <c r="F205">
        <v>103</v>
      </c>
      <c r="G205" t="s">
        <v>2035</v>
      </c>
      <c r="H205" s="6" t="str">
        <f>VLOOKUP(G205,場所マスタ[],6,FALSE)</f>
        <v>双子岬</v>
      </c>
      <c r="I205" t="s">
        <v>527</v>
      </c>
      <c r="J205" t="s">
        <v>2039</v>
      </c>
      <c r="K205" t="s">
        <v>321</v>
      </c>
      <c r="L205" s="6" t="str">
        <f>IFERROR(VLOOKUP(K205,キャラマスタ[],2,FALSE),"")</f>
        <v>ナミ</v>
      </c>
    </row>
    <row r="206" spans="1:12">
      <c r="A206" t="s">
        <v>2020</v>
      </c>
      <c r="B206">
        <f t="shared" si="28"/>
        <v>1539</v>
      </c>
      <c r="C206">
        <v>0</v>
      </c>
      <c r="D206">
        <v>11.5</v>
      </c>
      <c r="E206">
        <v>12</v>
      </c>
      <c r="F206">
        <v>103</v>
      </c>
      <c r="G206" t="s">
        <v>2035</v>
      </c>
      <c r="H206" s="6" t="str">
        <f>VLOOKUP(G206,場所マスタ[],6,FALSE)</f>
        <v>双子岬</v>
      </c>
      <c r="I206" t="s">
        <v>527</v>
      </c>
      <c r="J206" t="s">
        <v>2039</v>
      </c>
      <c r="K206" t="s">
        <v>718</v>
      </c>
      <c r="L206" s="6" t="str">
        <f>IFERROR(VLOOKUP(K206,キャラマスタ[],2,FALSE),"")</f>
        <v>ウソップ</v>
      </c>
    </row>
    <row r="207" spans="1:12">
      <c r="A207" t="s">
        <v>2021</v>
      </c>
      <c r="B207">
        <f t="shared" si="28"/>
        <v>1539</v>
      </c>
      <c r="C207">
        <v>0</v>
      </c>
      <c r="D207">
        <v>11.5</v>
      </c>
      <c r="E207">
        <v>12</v>
      </c>
      <c r="F207">
        <v>103</v>
      </c>
      <c r="G207" t="s">
        <v>2035</v>
      </c>
      <c r="H207" s="6" t="str">
        <f>VLOOKUP(G207,場所マスタ[],6,FALSE)</f>
        <v>双子岬</v>
      </c>
      <c r="I207" t="s">
        <v>527</v>
      </c>
      <c r="J207" t="s">
        <v>2039</v>
      </c>
      <c r="K207" t="s">
        <v>1090</v>
      </c>
      <c r="L207" s="6" t="str">
        <f>IFERROR(VLOOKUP(K207,キャラマスタ[],2,FALSE),"")</f>
        <v>サンジ</v>
      </c>
    </row>
    <row r="208" spans="1:12">
      <c r="A208" t="s">
        <v>2022</v>
      </c>
      <c r="B208">
        <f t="shared" si="28"/>
        <v>1539</v>
      </c>
      <c r="C208">
        <v>0</v>
      </c>
      <c r="D208">
        <v>11.5</v>
      </c>
      <c r="E208">
        <v>12</v>
      </c>
      <c r="F208">
        <v>103</v>
      </c>
      <c r="G208" t="s">
        <v>2035</v>
      </c>
      <c r="H208" s="6" t="str">
        <f>VLOOKUP(G208,場所マスタ[],6,FALSE)</f>
        <v>双子岬</v>
      </c>
      <c r="I208" t="s">
        <v>527</v>
      </c>
      <c r="J208" t="s">
        <v>2040</v>
      </c>
      <c r="K208" t="s">
        <v>1910</v>
      </c>
      <c r="L208" s="6" t="str">
        <f>IFERROR(VLOOKUP(K208,キャラマスタ[],2,FALSE),"")</f>
        <v>ミス・ウェンズデー</v>
      </c>
    </row>
    <row r="209" spans="1:12">
      <c r="A209" t="s">
        <v>2023</v>
      </c>
      <c r="B209">
        <f t="shared" si="28"/>
        <v>1539</v>
      </c>
      <c r="C209">
        <v>0</v>
      </c>
      <c r="D209">
        <v>11.5</v>
      </c>
      <c r="E209">
        <v>12</v>
      </c>
      <c r="F209">
        <v>103</v>
      </c>
      <c r="G209" t="s">
        <v>2035</v>
      </c>
      <c r="H209" s="6" t="str">
        <f>VLOOKUP(G209,場所マスタ[],6,FALSE)</f>
        <v>双子岬</v>
      </c>
      <c r="I209" t="s">
        <v>527</v>
      </c>
      <c r="J209" t="s">
        <v>2047</v>
      </c>
      <c r="K209" t="s">
        <v>2048</v>
      </c>
      <c r="L209" s="6" t="str">
        <f>IFERROR(VLOOKUP(K209,キャラマスタ[],2,FALSE),"")</f>
        <v>クロッカス</v>
      </c>
    </row>
    <row r="210" spans="1:12">
      <c r="A210" t="s">
        <v>2024</v>
      </c>
      <c r="B210">
        <f t="shared" si="28"/>
        <v>1489</v>
      </c>
      <c r="C210">
        <v>-50</v>
      </c>
      <c r="D210">
        <v>-18250</v>
      </c>
      <c r="E210">
        <v>12</v>
      </c>
      <c r="F210">
        <v>104</v>
      </c>
      <c r="G210" t="s">
        <v>2035</v>
      </c>
      <c r="H210" s="6" t="str">
        <f>VLOOKUP(G210,場所マスタ[],6,FALSE)</f>
        <v>双子岬</v>
      </c>
      <c r="I210" t="s">
        <v>527</v>
      </c>
      <c r="J210" t="s">
        <v>2049</v>
      </c>
      <c r="K210" t="s">
        <v>2048</v>
      </c>
      <c r="L210" s="6" t="str">
        <f>IFERROR(VLOOKUP(K210,キャラマスタ[],2,FALSE),"")</f>
        <v>クロッカス</v>
      </c>
    </row>
    <row r="211" spans="1:12">
      <c r="A211" t="s">
        <v>2025</v>
      </c>
      <c r="B211">
        <f t="shared" si="28"/>
        <v>1539</v>
      </c>
      <c r="C211">
        <v>0</v>
      </c>
      <c r="D211">
        <v>11.7</v>
      </c>
      <c r="E211">
        <v>12</v>
      </c>
      <c r="F211">
        <v>106</v>
      </c>
      <c r="G211" t="s">
        <v>2053</v>
      </c>
      <c r="H211" s="6" t="str">
        <f>VLOOKUP(G211,場所マスタ[],6,FALSE)</f>
        <v>ウイスキーピーク</v>
      </c>
      <c r="I211" t="s">
        <v>527</v>
      </c>
      <c r="J211" t="s">
        <v>2054</v>
      </c>
      <c r="K211" t="s">
        <v>411</v>
      </c>
      <c r="L211" s="6" t="str">
        <f>IFERROR(VLOOKUP(K211,キャラマスタ[],2,FALSE),"")</f>
        <v>モンキー・D・ルフィ</v>
      </c>
    </row>
    <row r="212" spans="1:12">
      <c r="A212" t="s">
        <v>2026</v>
      </c>
      <c r="B212">
        <f t="shared" si="28"/>
        <v>1539</v>
      </c>
      <c r="C212">
        <v>0</v>
      </c>
      <c r="D212">
        <v>11.7</v>
      </c>
      <c r="E212">
        <v>12</v>
      </c>
      <c r="F212">
        <v>106</v>
      </c>
      <c r="G212" t="s">
        <v>2053</v>
      </c>
      <c r="H212" s="6" t="str">
        <f>VLOOKUP(G212,場所マスタ[],6,FALSE)</f>
        <v>ウイスキーピーク</v>
      </c>
      <c r="I212" t="s">
        <v>527</v>
      </c>
      <c r="J212" t="s">
        <v>2054</v>
      </c>
      <c r="K212" t="s">
        <v>308</v>
      </c>
      <c r="L212" s="6" t="str">
        <f>IFERROR(VLOOKUP(K212,キャラマスタ[],2,FALSE),"")</f>
        <v>ロロノア・ゾロ</v>
      </c>
    </row>
    <row r="213" spans="1:12">
      <c r="A213" t="s">
        <v>2027</v>
      </c>
      <c r="B213">
        <f t="shared" si="28"/>
        <v>1539</v>
      </c>
      <c r="C213">
        <v>0</v>
      </c>
      <c r="D213">
        <v>11.7</v>
      </c>
      <c r="E213">
        <v>12</v>
      </c>
      <c r="F213">
        <v>106</v>
      </c>
      <c r="G213" t="s">
        <v>2053</v>
      </c>
      <c r="H213" s="6" t="str">
        <f>VLOOKUP(G213,場所マスタ[],6,FALSE)</f>
        <v>ウイスキーピーク</v>
      </c>
      <c r="I213" t="s">
        <v>527</v>
      </c>
      <c r="J213" t="s">
        <v>2054</v>
      </c>
      <c r="K213" t="s">
        <v>321</v>
      </c>
      <c r="L213" s="6" t="str">
        <f>IFERROR(VLOOKUP(K213,キャラマスタ[],2,FALSE),"")</f>
        <v>ナミ</v>
      </c>
    </row>
    <row r="214" spans="1:12">
      <c r="A214" t="s">
        <v>2028</v>
      </c>
      <c r="B214">
        <f t="shared" si="28"/>
        <v>1539</v>
      </c>
      <c r="C214">
        <v>0</v>
      </c>
      <c r="D214">
        <v>11.7</v>
      </c>
      <c r="E214">
        <v>12</v>
      </c>
      <c r="F214">
        <v>106</v>
      </c>
      <c r="G214" t="s">
        <v>2053</v>
      </c>
      <c r="H214" s="6" t="str">
        <f>VLOOKUP(G214,場所マスタ[],6,FALSE)</f>
        <v>ウイスキーピーク</v>
      </c>
      <c r="I214" t="s">
        <v>527</v>
      </c>
      <c r="J214" t="s">
        <v>2054</v>
      </c>
      <c r="K214" t="s">
        <v>718</v>
      </c>
      <c r="L214" s="6" t="str">
        <f>IFERROR(VLOOKUP(K214,キャラマスタ[],2,FALSE),"")</f>
        <v>ウソップ</v>
      </c>
    </row>
    <row r="215" spans="1:12">
      <c r="A215" t="s">
        <v>2055</v>
      </c>
      <c r="B215">
        <f t="shared" ref="B215:B216" si="29">1539+C215</f>
        <v>1539</v>
      </c>
      <c r="C215">
        <v>0</v>
      </c>
      <c r="D215">
        <v>11.7</v>
      </c>
      <c r="E215">
        <v>12</v>
      </c>
      <c r="F215">
        <v>106</v>
      </c>
      <c r="G215" t="s">
        <v>2053</v>
      </c>
      <c r="H215" s="6" t="str">
        <f>VLOOKUP(G215,場所マスタ[],6,FALSE)</f>
        <v>ウイスキーピーク</v>
      </c>
      <c r="I215" t="s">
        <v>527</v>
      </c>
      <c r="J215" t="s">
        <v>2054</v>
      </c>
      <c r="K215" t="s">
        <v>1090</v>
      </c>
      <c r="L215" s="6" t="str">
        <f>IFERROR(VLOOKUP(K215,キャラマスタ[],2,FALSE),"")</f>
        <v>サンジ</v>
      </c>
    </row>
    <row r="216" spans="1:12">
      <c r="A216" t="s">
        <v>2056</v>
      </c>
      <c r="B216">
        <f t="shared" si="29"/>
        <v>1539</v>
      </c>
      <c r="C216">
        <v>0</v>
      </c>
      <c r="D216">
        <v>11.7</v>
      </c>
      <c r="E216">
        <v>12</v>
      </c>
      <c r="F216">
        <v>106</v>
      </c>
      <c r="G216" t="s">
        <v>2053</v>
      </c>
      <c r="H216" s="6" t="str">
        <f>VLOOKUP(G216,場所マスタ[],6,FALSE)</f>
        <v>ウイスキーピーク</v>
      </c>
      <c r="I216" t="s">
        <v>527</v>
      </c>
      <c r="J216" t="s">
        <v>2054</v>
      </c>
      <c r="K216" t="s">
        <v>1910</v>
      </c>
      <c r="L216" s="6" t="str">
        <f>IFERROR(VLOOKUP(K216,キャラマスタ[],2,FALSE),"")</f>
        <v>ミス・ウェンズデー</v>
      </c>
    </row>
    <row r="217" spans="1:12">
      <c r="A217" t="s">
        <v>2057</v>
      </c>
      <c r="B217">
        <f t="shared" ref="B217:B224" si="30">1539+C217</f>
        <v>1539</v>
      </c>
      <c r="C217">
        <v>0</v>
      </c>
      <c r="D217">
        <v>11.8</v>
      </c>
      <c r="E217">
        <v>12</v>
      </c>
      <c r="F217">
        <v>108</v>
      </c>
      <c r="G217" t="s">
        <v>2053</v>
      </c>
      <c r="H217" s="6" t="str">
        <f>VLOOKUP(G217,場所マスタ[],6,FALSE)</f>
        <v>ウイスキーピーク</v>
      </c>
      <c r="I217" t="s">
        <v>527</v>
      </c>
      <c r="J217" t="s">
        <v>2065</v>
      </c>
      <c r="K217" t="s">
        <v>308</v>
      </c>
      <c r="L217" s="6" t="str">
        <f>IFERROR(VLOOKUP(K217,キャラマスタ[],2,FALSE),"")</f>
        <v>ロロノア・ゾロ</v>
      </c>
    </row>
    <row r="218" spans="1:12">
      <c r="A218" t="s">
        <v>2058</v>
      </c>
      <c r="B218">
        <f t="shared" si="30"/>
        <v>1539</v>
      </c>
      <c r="C218">
        <v>0</v>
      </c>
      <c r="D218">
        <v>3.5</v>
      </c>
      <c r="E218">
        <v>12</v>
      </c>
      <c r="F218">
        <v>105</v>
      </c>
      <c r="G218" t="s">
        <v>512</v>
      </c>
      <c r="H218" s="6" t="str">
        <f>VLOOKUP(G218,場所マスタ[],6,FALSE)</f>
        <v>シェルズタウン近海</v>
      </c>
      <c r="I218" t="s">
        <v>233</v>
      </c>
      <c r="J218" t="s">
        <v>2066</v>
      </c>
      <c r="K218" t="s">
        <v>408</v>
      </c>
      <c r="L218" s="6" t="str">
        <f>IFERROR(VLOOKUP(K218,キャラマスタ[],2,FALSE),"")</f>
        <v>モーガン</v>
      </c>
    </row>
    <row r="219" spans="1:12">
      <c r="A219" t="s">
        <v>2059</v>
      </c>
      <c r="B219">
        <f t="shared" si="30"/>
        <v>1539</v>
      </c>
      <c r="H219" s="6" t="e">
        <f>VLOOKUP(G219,場所マスタ[],6,FALSE)</f>
        <v>#N/A</v>
      </c>
      <c r="L219" s="6" t="str">
        <f>IFERROR(VLOOKUP(K219,キャラマスタ[],2,FALSE),"")</f>
        <v/>
      </c>
    </row>
    <row r="220" spans="1:12">
      <c r="A220" t="s">
        <v>2060</v>
      </c>
      <c r="B220">
        <f t="shared" si="30"/>
        <v>1539</v>
      </c>
      <c r="H220" s="6" t="e">
        <f>VLOOKUP(G220,場所マスタ[],6,FALSE)</f>
        <v>#N/A</v>
      </c>
      <c r="L220" s="6" t="str">
        <f>IFERROR(VLOOKUP(K220,キャラマスタ[],2,FALSE),"")</f>
        <v/>
      </c>
    </row>
    <row r="221" spans="1:12">
      <c r="A221" t="s">
        <v>2061</v>
      </c>
      <c r="B221">
        <f t="shared" si="30"/>
        <v>1539</v>
      </c>
      <c r="H221" s="6" t="e">
        <f>VLOOKUP(G221,場所マスタ[],6,FALSE)</f>
        <v>#N/A</v>
      </c>
      <c r="L221" s="6" t="str">
        <f>IFERROR(VLOOKUP(K221,キャラマスタ[],2,FALSE),"")</f>
        <v/>
      </c>
    </row>
    <row r="222" spans="1:12">
      <c r="A222" t="s">
        <v>2062</v>
      </c>
      <c r="B222">
        <f t="shared" si="30"/>
        <v>1539</v>
      </c>
      <c r="H222" s="6" t="e">
        <f>VLOOKUP(G222,場所マスタ[],6,FALSE)</f>
        <v>#N/A</v>
      </c>
      <c r="L222" s="6" t="str">
        <f>IFERROR(VLOOKUP(K222,キャラマスタ[],2,FALSE),"")</f>
        <v/>
      </c>
    </row>
    <row r="223" spans="1:12">
      <c r="A223" t="s">
        <v>2063</v>
      </c>
      <c r="B223">
        <f t="shared" si="30"/>
        <v>1539</v>
      </c>
      <c r="H223" s="6" t="e">
        <f>VLOOKUP(G223,場所マスタ[],6,FALSE)</f>
        <v>#N/A</v>
      </c>
      <c r="L223" s="6" t="str">
        <f>IFERROR(VLOOKUP(K223,キャラマスタ[],2,FALSE),"")</f>
        <v/>
      </c>
    </row>
    <row r="224" spans="1:12">
      <c r="A224" t="s">
        <v>2064</v>
      </c>
      <c r="B224">
        <f t="shared" si="30"/>
        <v>1539</v>
      </c>
      <c r="H224" s="6" t="e">
        <f>VLOOKUP(G224,場所マスタ[],6,FALSE)</f>
        <v>#N/A</v>
      </c>
      <c r="L224" s="6" t="str">
        <f>IFERROR(VLOOKUP(K224,キャラマスタ[],2,FALSE),"")</f>
        <v/>
      </c>
    </row>
  </sheetData>
  <phoneticPr fontId="1"/>
  <pageMargins left="0.7" right="0.7" top="0.75" bottom="0.75" header="0.3" footer="0.3"/>
  <pageSetup paperSize="9" orientation="portrait" verticalDpi="0"/>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CDBEE861-D08D-47A3-86AB-671A1D0170CD}">
          <x14:formula1>
            <xm:f>場所マスタ!$A$2:$A$124</xm:f>
          </x14:formula1>
          <xm:sqref>G2:G224</xm:sqref>
        </x14:dataValidation>
        <x14:dataValidation type="list" allowBlank="1" showInputMessage="1" showErrorMessage="1" xr:uid="{B8023FD7-E659-5B49-AB5C-0BB29092FAF0}">
          <x14:formula1>
            <xm:f>キャラクターマスタ!$A:$A</xm:f>
          </x14:formula1>
          <xm:sqref>K75:K95 K97:K98 K103:K104 K107:K110 K114:K115 K120:K122 K126:K127 K129 K136:K141 K147 K152 K144 K154 K158 K163 K165 K169:K172 K175 K182:K185 K2:K73 K190:K191 K193 K196 K198 K201 K203 K206 K211 K214 K218</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44691-ABFD-4559-962A-664D8ED3E1F0}">
  <sheetPr>
    <tabColor theme="4" tint="0.59999389629810485"/>
  </sheetPr>
  <dimension ref="A1:W31"/>
  <sheetViews>
    <sheetView topLeftCell="A17" workbookViewId="0">
      <selection activeCell="L31" sqref="L31"/>
    </sheetView>
  </sheetViews>
  <sheetFormatPr baseColWidth="10" defaultColWidth="8.83203125" defaultRowHeight="18"/>
  <cols>
    <col min="1" max="1" width="10.5" customWidth="1"/>
    <col min="2" max="3" width="6.5" customWidth="1"/>
    <col min="7" max="7" width="13" bestFit="1" customWidth="1"/>
    <col min="8" max="8" width="9.6640625" customWidth="1"/>
    <col min="9" max="9" width="13" customWidth="1"/>
    <col min="10" max="11" width="9.6640625" customWidth="1"/>
    <col min="12" max="12" width="20.6640625" bestFit="1" customWidth="1"/>
    <col min="13" max="13" width="15" bestFit="1" customWidth="1"/>
    <col min="14" max="14" width="9.6640625" customWidth="1"/>
    <col min="15" max="15" width="13" bestFit="1" customWidth="1"/>
    <col min="16" max="17" width="9.6640625" customWidth="1"/>
    <col min="18" max="18" width="15" bestFit="1" customWidth="1"/>
    <col min="19" max="19" width="11.1640625" bestFit="1" customWidth="1"/>
    <col min="20" max="20" width="11.1640625" customWidth="1"/>
    <col min="21" max="21" width="25.5" bestFit="1" customWidth="1"/>
    <col min="22" max="23" width="14" customWidth="1"/>
  </cols>
  <sheetData>
    <row r="1" spans="1:23" s="1" customFormat="1" ht="34.5" customHeight="1">
      <c r="A1" s="1" t="s">
        <v>251</v>
      </c>
      <c r="B1" s="1" t="s">
        <v>92</v>
      </c>
      <c r="C1" s="1" t="s">
        <v>105</v>
      </c>
      <c r="D1" s="1" t="s">
        <v>252</v>
      </c>
      <c r="E1" s="1" t="s">
        <v>648</v>
      </c>
      <c r="F1" s="1" t="s">
        <v>401</v>
      </c>
      <c r="G1" s="7" t="s">
        <v>147</v>
      </c>
      <c r="H1" s="1" t="s">
        <v>457</v>
      </c>
      <c r="I1" s="7" t="s">
        <v>456</v>
      </c>
      <c r="J1" s="1" t="s">
        <v>461</v>
      </c>
      <c r="K1" s="1" t="s">
        <v>462</v>
      </c>
      <c r="L1" s="7" t="s">
        <v>463</v>
      </c>
      <c r="M1" s="7" t="s">
        <v>464</v>
      </c>
      <c r="N1" s="1" t="s">
        <v>458</v>
      </c>
      <c r="O1" s="7" t="s">
        <v>459</v>
      </c>
      <c r="P1" s="1" t="s">
        <v>465</v>
      </c>
      <c r="Q1" s="1" t="s">
        <v>466</v>
      </c>
      <c r="R1" s="7" t="s">
        <v>467</v>
      </c>
      <c r="S1" s="7" t="s">
        <v>468</v>
      </c>
      <c r="T1" s="1" t="s">
        <v>652</v>
      </c>
      <c r="U1" s="1" t="s">
        <v>253</v>
      </c>
      <c r="V1" s="1" t="s">
        <v>254</v>
      </c>
      <c r="W1" s="1" t="s">
        <v>460</v>
      </c>
    </row>
    <row r="2" spans="1:23">
      <c r="A2" t="s">
        <v>263</v>
      </c>
      <c r="B2">
        <v>1</v>
      </c>
      <c r="C2">
        <v>1</v>
      </c>
      <c r="D2">
        <v>-10</v>
      </c>
      <c r="E2">
        <v>-3645</v>
      </c>
      <c r="F2" t="s">
        <v>384</v>
      </c>
      <c r="G2" s="6" t="str">
        <f>VLOOKUP(F2,場所マスタ!$A$1:$I$125,5,FALSE)</f>
        <v>フーシャ村</v>
      </c>
      <c r="H2" t="s">
        <v>441</v>
      </c>
      <c r="I2" s="6" t="str">
        <f>IFERROR(VLOOKUP(H2,勢力マスタ[],2,FALSE),"")</f>
        <v>赤髪海賊団</v>
      </c>
      <c r="L2" s="6" t="str">
        <f>IFERROR(VLOOKUP(J2,キャラマスタ[],2,FALSE),"")</f>
        <v/>
      </c>
      <c r="M2" s="6" t="str">
        <f>IFERROR(VLOOKUP(K2,キャラマスタ[],2,FALSE),"")</f>
        <v/>
      </c>
      <c r="N2" t="s">
        <v>442</v>
      </c>
      <c r="O2" s="6" t="str">
        <f>IFERROR(VLOOKUP(N2,勢力マスタ[],2,FALSE),"")</f>
        <v>ヒグマ山賊団</v>
      </c>
      <c r="R2" s="6" t="str">
        <f>IFERROR(VLOOKUP(P2,キャラマスタ[],2,FALSE),"")</f>
        <v/>
      </c>
      <c r="S2" s="6" t="str">
        <f>IFERROR(VLOOKUP(Q2,キャラマスタ[],2,FALSE),"")</f>
        <v/>
      </c>
      <c r="U2" t="str">
        <f>+IFERROR(VLOOKUP(テーブル10[[#This Row],[技ID]],技マスタ[],2,FALSE),"")</f>
        <v/>
      </c>
      <c r="V2" t="s">
        <v>265</v>
      </c>
      <c r="W2">
        <v>1</v>
      </c>
    </row>
    <row r="3" spans="1:23">
      <c r="A3" t="s">
        <v>284</v>
      </c>
      <c r="B3">
        <v>1</v>
      </c>
      <c r="C3">
        <v>1</v>
      </c>
      <c r="D3">
        <v>-10</v>
      </c>
      <c r="E3">
        <v>1</v>
      </c>
      <c r="F3" t="s">
        <v>386</v>
      </c>
      <c r="G3" s="6" t="str">
        <f>VLOOKUP(F3,場所マスタ!$A$1:$I$125,5,FALSE)</f>
        <v>フーシャ村近海</v>
      </c>
      <c r="I3" s="6" t="str">
        <f>IFERROR(VLOOKUP(H3,勢力マスタ[],2,FALSE),"")</f>
        <v/>
      </c>
      <c r="J3" t="s">
        <v>288</v>
      </c>
      <c r="L3" s="6" t="str">
        <f>IFERROR(VLOOKUP(J3,キャラマスタ[],2,FALSE),"")</f>
        <v>モンキー・D・ルフィ</v>
      </c>
      <c r="M3" s="6" t="str">
        <f>IFERROR(VLOOKUP(K3,キャラマスタ[],2,FALSE),"")</f>
        <v/>
      </c>
      <c r="O3" s="6" t="str">
        <f>IFERROR(VLOOKUP(N3,勢力マスタ[],2,FALSE),"")</f>
        <v/>
      </c>
      <c r="P3" t="s">
        <v>302</v>
      </c>
      <c r="R3" s="6" t="str">
        <f>IFERROR(VLOOKUP(P3,キャラマスタ[],2,FALSE),"")</f>
        <v>近海の主</v>
      </c>
      <c r="S3" s="6" t="str">
        <f>IFERROR(VLOOKUP(Q3,キャラマスタ[],2,FALSE),"")</f>
        <v/>
      </c>
      <c r="T3" t="s">
        <v>419</v>
      </c>
      <c r="U3" t="str">
        <f>+IFERROR(VLOOKUP(テーブル10[[#This Row],[技ID]],技マスタ[],2,FALSE),"")</f>
        <v>ゴムゴムの銃（ピストル）</v>
      </c>
      <c r="V3" t="s">
        <v>285</v>
      </c>
    </row>
    <row r="4" spans="1:23">
      <c r="A4" t="s">
        <v>338</v>
      </c>
      <c r="B4">
        <v>1</v>
      </c>
      <c r="C4">
        <v>2</v>
      </c>
      <c r="D4">
        <v>0</v>
      </c>
      <c r="E4">
        <v>1.2</v>
      </c>
      <c r="F4" t="s">
        <v>387</v>
      </c>
      <c r="G4" s="6" t="str">
        <f>VLOOKUP(F4,場所マスタ!$A$1:$I$125,5,FALSE)</f>
        <v>（不明）</v>
      </c>
      <c r="I4" s="6" t="str">
        <f>IFERROR(VLOOKUP(H4,勢力マスタ[],2,FALSE),"")</f>
        <v/>
      </c>
      <c r="J4" t="s">
        <v>288</v>
      </c>
      <c r="L4" s="6" t="str">
        <f>IFERROR(VLOOKUP(J4,キャラマスタ[],2,FALSE),"")</f>
        <v>モンキー・D・ルフィ</v>
      </c>
      <c r="M4" s="6" t="str">
        <f>IFERROR(VLOOKUP(K4,キャラマスタ[],2,FALSE),"")</f>
        <v/>
      </c>
      <c r="O4" s="6" t="str">
        <f>IFERROR(VLOOKUP(N4,勢力マスタ[],2,FALSE),"")</f>
        <v/>
      </c>
      <c r="P4" t="s">
        <v>304</v>
      </c>
      <c r="R4" s="6" t="str">
        <f>IFERROR(VLOOKUP(P4,キャラマスタ[],2,FALSE),"")</f>
        <v>アルビダ</v>
      </c>
      <c r="S4" s="6" t="str">
        <f>IFERROR(VLOOKUP(Q4,キャラマスタ[],2,FALSE),"")</f>
        <v/>
      </c>
      <c r="T4" t="s">
        <v>419</v>
      </c>
      <c r="U4" t="str">
        <f>+IFERROR(VLOOKUP(テーブル10[[#This Row],[技ID]],技マスタ[],2,FALSE),"")</f>
        <v>ゴムゴムの銃（ピストル）</v>
      </c>
      <c r="V4" t="s">
        <v>285</v>
      </c>
    </row>
    <row r="5" spans="1:23">
      <c r="A5" t="s">
        <v>339</v>
      </c>
      <c r="B5">
        <v>1</v>
      </c>
      <c r="C5">
        <v>5</v>
      </c>
      <c r="D5">
        <v>-9</v>
      </c>
      <c r="E5">
        <v>-4000</v>
      </c>
      <c r="F5" t="s">
        <v>402</v>
      </c>
      <c r="G5" s="6" t="str">
        <f>VLOOKUP(F5,場所マスタ!$A$1:$I$125,5,FALSE)</f>
        <v>シモツキ村</v>
      </c>
      <c r="I5" s="6" t="str">
        <f>IFERROR(VLOOKUP(H5,勢力マスタ[],2,FALSE),"")</f>
        <v/>
      </c>
      <c r="J5" t="s">
        <v>316</v>
      </c>
      <c r="L5" s="6" t="str">
        <f>IFERROR(VLOOKUP(J5,キャラマスタ[],2,FALSE),"")</f>
        <v>くいな</v>
      </c>
      <c r="M5" s="6" t="str">
        <f>IFERROR(VLOOKUP(K5,キャラマスタ[],2,FALSE),"")</f>
        <v/>
      </c>
      <c r="O5" s="6" t="str">
        <f>IFERROR(VLOOKUP(N5,勢力マスタ[],2,FALSE),"")</f>
        <v/>
      </c>
      <c r="P5" t="s">
        <v>308</v>
      </c>
      <c r="R5" s="6" t="str">
        <f>IFERROR(VLOOKUP(P5,キャラマスタ[],2,FALSE),"")</f>
        <v>ロロノア・ゾロ</v>
      </c>
      <c r="S5" s="6" t="str">
        <f>IFERROR(VLOOKUP(Q5,キャラマスタ[],2,FALSE),"")</f>
        <v/>
      </c>
      <c r="U5" t="str">
        <f>+IFERROR(VLOOKUP(テーブル10[[#This Row],[技ID]],技マスタ[],2,FALSE),"")</f>
        <v/>
      </c>
      <c r="V5" t="s">
        <v>285</v>
      </c>
    </row>
    <row r="6" spans="1:23">
      <c r="A6" t="s">
        <v>340</v>
      </c>
      <c r="B6">
        <v>1</v>
      </c>
      <c r="C6">
        <v>6</v>
      </c>
      <c r="D6">
        <v>0</v>
      </c>
      <c r="E6">
        <v>1.4</v>
      </c>
      <c r="F6" t="s">
        <v>388</v>
      </c>
      <c r="G6" s="6" t="str">
        <f>VLOOKUP(F6,場所マスタ!$A$1:$I$125,5,FALSE)</f>
        <v>シェルズタウン</v>
      </c>
      <c r="I6" s="6" t="str">
        <f>IFERROR(VLOOKUP(H6,勢力マスタ[],2,FALSE),"")</f>
        <v/>
      </c>
      <c r="J6" t="s">
        <v>288</v>
      </c>
      <c r="K6" t="s">
        <v>308</v>
      </c>
      <c r="L6" s="6" t="str">
        <f>IFERROR(VLOOKUP(J6,キャラマスタ[],2,FALSE),"")</f>
        <v>モンキー・D・ルフィ</v>
      </c>
      <c r="M6" s="6" t="str">
        <f>IFERROR(VLOOKUP(K6,キャラマスタ[],2,FALSE),"")</f>
        <v>ロロノア・ゾロ</v>
      </c>
      <c r="O6" s="6" t="str">
        <f>IFERROR(VLOOKUP(N6,勢力マスタ[],2,FALSE),"")</f>
        <v/>
      </c>
      <c r="P6" t="s">
        <v>313</v>
      </c>
      <c r="Q6" t="s">
        <v>310</v>
      </c>
      <c r="R6" s="6" t="str">
        <f>IFERROR(VLOOKUP(P6,キャラマスタ[],2,FALSE),"")</f>
        <v>モーガン</v>
      </c>
      <c r="S6" s="6" t="str">
        <f>IFERROR(VLOOKUP(Q6,キャラマスタ[],2,FALSE),"")</f>
        <v>ヘルメッポ</v>
      </c>
      <c r="T6" t="s">
        <v>419</v>
      </c>
      <c r="U6" t="str">
        <f>+IFERROR(VLOOKUP(テーブル10[[#This Row],[技ID]],技マスタ[],2,FALSE),"")</f>
        <v>ゴムゴムの銃（ピストル）</v>
      </c>
      <c r="V6" t="s">
        <v>341</v>
      </c>
    </row>
    <row r="7" spans="1:23">
      <c r="A7" t="s">
        <v>650</v>
      </c>
      <c r="B7">
        <v>2</v>
      </c>
      <c r="C7">
        <v>10</v>
      </c>
      <c r="D7">
        <v>0</v>
      </c>
      <c r="E7">
        <v>1.7</v>
      </c>
      <c r="F7" t="s">
        <v>649</v>
      </c>
      <c r="G7" s="6" t="str">
        <f>VLOOKUP(F7,場所マスタ!$A$1:$I$125,5,FALSE)</f>
        <v>オレンジの町</v>
      </c>
      <c r="I7" s="6" t="str">
        <f>IFERROR(VLOOKUP(H7,勢力マスタ[],2,FALSE),"")</f>
        <v/>
      </c>
      <c r="J7" s="10" t="s">
        <v>570</v>
      </c>
      <c r="L7" s="6" t="str">
        <f>IFERROR(VLOOKUP(J7,キャラマスタ[],2,FALSE),"")</f>
        <v>バギー</v>
      </c>
      <c r="M7" s="6" t="str">
        <f>IFERROR(VLOOKUP(K7,キャラマスタ[],2,FALSE),"")</f>
        <v/>
      </c>
      <c r="O7" s="6" t="str">
        <f>IFERROR(VLOOKUP(N7,勢力マスタ[],2,FALSE),"")</f>
        <v/>
      </c>
      <c r="P7" t="s">
        <v>308</v>
      </c>
      <c r="R7" s="6" t="str">
        <f>IFERROR(VLOOKUP(P7,キャラマスタ[],2,FALSE),"")</f>
        <v>ロロノア・ゾロ</v>
      </c>
      <c r="S7" s="6" t="str">
        <f>IFERROR(VLOOKUP(Q7,キャラマスタ[],2,FALSE),"")</f>
        <v/>
      </c>
      <c r="U7" t="str">
        <f>+IFERROR(VLOOKUP(テーブル10[[#This Row],[技ID]],技マスタ[],2,FALSE),"")</f>
        <v/>
      </c>
      <c r="V7" t="s">
        <v>285</v>
      </c>
    </row>
    <row r="8" spans="1:23">
      <c r="A8" t="s">
        <v>651</v>
      </c>
      <c r="B8">
        <v>2</v>
      </c>
      <c r="C8">
        <v>12</v>
      </c>
      <c r="D8">
        <v>0</v>
      </c>
      <c r="E8">
        <v>1.8</v>
      </c>
      <c r="F8" t="s">
        <v>649</v>
      </c>
      <c r="G8" s="6" t="str">
        <f>VLOOKUP(F8,場所マスタ!$A$1:$I$125,5,FALSE)</f>
        <v>オレンジの町</v>
      </c>
      <c r="H8" t="s">
        <v>507</v>
      </c>
      <c r="I8" s="6" t="str">
        <f>IFERROR(VLOOKUP(H8,勢力マスタ[],2,FALSE),"")</f>
        <v>麦わらの一味</v>
      </c>
      <c r="J8" s="10" t="s">
        <v>288</v>
      </c>
      <c r="L8" s="6" t="str">
        <f>IFERROR(VLOOKUP(J8,キャラマスタ[],2,FALSE),"")</f>
        <v>モンキー・D・ルフィ</v>
      </c>
      <c r="M8" s="6" t="str">
        <f>IFERROR(VLOOKUP(K8,キャラマスタ[],2,FALSE),"")</f>
        <v/>
      </c>
      <c r="N8" t="s">
        <v>449</v>
      </c>
      <c r="O8" s="6" t="str">
        <f>IFERROR(VLOOKUP(N8,勢力マスタ[],2,FALSE),"")</f>
        <v>バギー海賊団</v>
      </c>
      <c r="P8" t="s">
        <v>574</v>
      </c>
      <c r="Q8" t="s">
        <v>575</v>
      </c>
      <c r="R8" s="6" t="str">
        <f>IFERROR(VLOOKUP(P8,キャラマスタ[],2,FALSE),"")</f>
        <v>モージ</v>
      </c>
      <c r="S8" s="6" t="str">
        <f>IFERROR(VLOOKUP(Q8,キャラマスタ[],2,FALSE),"")</f>
        <v>リッチー</v>
      </c>
      <c r="T8" t="s">
        <v>627</v>
      </c>
      <c r="U8" t="str">
        <f>+IFERROR(VLOOKUP(テーブル10[[#This Row],[技ID]],技マスタ[],2,FALSE),"")</f>
        <v>ゴムゴムの槌（ツチ）</v>
      </c>
      <c r="V8" t="s">
        <v>285</v>
      </c>
    </row>
    <row r="9" spans="1:23">
      <c r="A9" t="s">
        <v>880</v>
      </c>
      <c r="B9">
        <v>2</v>
      </c>
      <c r="C9">
        <v>16</v>
      </c>
      <c r="D9">
        <v>0</v>
      </c>
      <c r="E9">
        <v>1.8</v>
      </c>
      <c r="F9" t="s">
        <v>649</v>
      </c>
      <c r="G9" s="6" t="str">
        <f>VLOOKUP(F9,場所マスタ!$A$1:$I$125,5,FALSE)</f>
        <v>オレンジの町</v>
      </c>
      <c r="H9" t="s">
        <v>507</v>
      </c>
      <c r="I9" s="6" t="str">
        <f>IFERROR(VLOOKUP(H9,勢力マスタ[],2,FALSE),"")</f>
        <v>麦わらの一味</v>
      </c>
      <c r="J9" s="10" t="s">
        <v>308</v>
      </c>
      <c r="L9" s="6" t="str">
        <f>IFERROR(VLOOKUP(J9,キャラマスタ[],2,FALSE),"")</f>
        <v>ロロノア・ゾロ</v>
      </c>
      <c r="M9" s="6" t="str">
        <f>IFERROR(VLOOKUP(K9,キャラマスタ[],2,FALSE),"")</f>
        <v/>
      </c>
      <c r="N9" t="s">
        <v>449</v>
      </c>
      <c r="O9" s="6" t="str">
        <f>IFERROR(VLOOKUP(N9,勢力マスタ[],2,FALSE),"")</f>
        <v>バギー海賊団</v>
      </c>
      <c r="P9" t="s">
        <v>580</v>
      </c>
      <c r="R9" s="6" t="str">
        <f>IFERROR(VLOOKUP(P9,キャラマスタ[],2,FALSE),"")</f>
        <v>カバジ</v>
      </c>
      <c r="S9" s="6" t="str">
        <f>IFERROR(VLOOKUP(Q9,キャラマスタ[],2,FALSE),"")</f>
        <v/>
      </c>
      <c r="T9" t="s">
        <v>636</v>
      </c>
      <c r="U9" t="str">
        <f>+IFERROR(VLOOKUP(テーブル10[[#This Row],[技ID]],技マスタ[],2,FALSE),"")</f>
        <v>鬼斬り</v>
      </c>
      <c r="V9" t="s">
        <v>285</v>
      </c>
    </row>
    <row r="10" spans="1:23">
      <c r="A10" t="s">
        <v>881</v>
      </c>
      <c r="B10">
        <v>3</v>
      </c>
      <c r="C10">
        <v>18</v>
      </c>
      <c r="D10">
        <v>0</v>
      </c>
      <c r="E10">
        <v>1.8</v>
      </c>
      <c r="F10" t="s">
        <v>649</v>
      </c>
      <c r="G10" s="6" t="str">
        <f>VLOOKUP(F10,場所マスタ!$A$1:$I$125,5,FALSE)</f>
        <v>オレンジの町</v>
      </c>
      <c r="H10" t="s">
        <v>507</v>
      </c>
      <c r="I10" s="6" t="str">
        <f>IFERROR(VLOOKUP(H10,勢力マスタ[],2,FALSE),"")</f>
        <v>麦わらの一味</v>
      </c>
      <c r="J10" s="10" t="s">
        <v>288</v>
      </c>
      <c r="L10" s="6" t="str">
        <f>IFERROR(VLOOKUP(J10,キャラマスタ[],2,FALSE),"")</f>
        <v>モンキー・D・ルフィ</v>
      </c>
      <c r="M10" s="6" t="str">
        <f>IFERROR(VLOOKUP(K10,キャラマスタ[],2,FALSE),"")</f>
        <v/>
      </c>
      <c r="N10" t="s">
        <v>449</v>
      </c>
      <c r="O10" s="6" t="str">
        <f>IFERROR(VLOOKUP(N10,勢力マスタ[],2,FALSE),"")</f>
        <v>バギー海賊団</v>
      </c>
      <c r="P10" t="s">
        <v>570</v>
      </c>
      <c r="R10" s="6" t="str">
        <f>IFERROR(VLOOKUP(P10,キャラマスタ[],2,FALSE),"")</f>
        <v>バギー</v>
      </c>
      <c r="S10" s="6" t="str">
        <f>IFERROR(VLOOKUP(Q10,キャラマスタ[],2,FALSE),"")</f>
        <v/>
      </c>
      <c r="T10" t="s">
        <v>766</v>
      </c>
      <c r="U10" t="str">
        <f>+IFERROR(VLOOKUP(テーブル10[[#This Row],[技ID]],技マスタ[],2,FALSE),"")</f>
        <v>ゴムゴムのバズーカ</v>
      </c>
      <c r="V10" t="s">
        <v>285</v>
      </c>
    </row>
    <row r="11" spans="1:23">
      <c r="A11" t="s">
        <v>882</v>
      </c>
      <c r="B11">
        <v>4</v>
      </c>
      <c r="C11">
        <v>31</v>
      </c>
      <c r="D11">
        <v>0</v>
      </c>
      <c r="E11">
        <v>3</v>
      </c>
      <c r="F11" t="s">
        <v>1013</v>
      </c>
      <c r="G11" s="6" t="str">
        <f>VLOOKUP(F11,場所マスタ!$A$1:$I$125,5,FALSE)</f>
        <v>シロップ村</v>
      </c>
      <c r="H11" t="s">
        <v>507</v>
      </c>
      <c r="I11" s="6" t="str">
        <f>IFERROR(VLOOKUP(H11,勢力マスタ[],2,FALSE),"")</f>
        <v>麦わらの一味</v>
      </c>
      <c r="J11" s="10" t="s">
        <v>308</v>
      </c>
      <c r="L11" s="6" t="str">
        <f>IFERROR(VLOOKUP(J11,キャラマスタ[],2,FALSE),"")</f>
        <v>ロロノア・ゾロ</v>
      </c>
      <c r="M11" s="6" t="str">
        <f>IFERROR(VLOOKUP(K11,キャラマスタ[],2,FALSE),"")</f>
        <v/>
      </c>
      <c r="N11" t="s">
        <v>737</v>
      </c>
      <c r="O11" s="6" t="str">
        <f>IFERROR(VLOOKUP(N11,勢力マスタ[],2,FALSE),"")</f>
        <v>クロネコ海賊団</v>
      </c>
      <c r="P11" t="s">
        <v>819</v>
      </c>
      <c r="Q11" t="s">
        <v>821</v>
      </c>
      <c r="R11" s="6" t="str">
        <f>IFERROR(VLOOKUP(P11,キャラマスタ[],2,FALSE),"")</f>
        <v>シャム</v>
      </c>
      <c r="S11" s="6" t="str">
        <f>IFERROR(VLOOKUP(Q11,キャラマスタ[],2,FALSE),"")</f>
        <v>ブチ</v>
      </c>
      <c r="T11" t="s">
        <v>1011</v>
      </c>
      <c r="U11" t="str">
        <f>+IFERROR(VLOOKUP(テーブル10[[#This Row],[技ID]],技マスタ[],2,FALSE),"")</f>
        <v>虎狩り</v>
      </c>
      <c r="V11" t="s">
        <v>285</v>
      </c>
    </row>
    <row r="12" spans="1:23">
      <c r="A12" t="s">
        <v>883</v>
      </c>
      <c r="B12">
        <v>4</v>
      </c>
      <c r="C12">
        <v>34</v>
      </c>
      <c r="D12">
        <v>0</v>
      </c>
      <c r="E12">
        <v>3</v>
      </c>
      <c r="F12" t="s">
        <v>1013</v>
      </c>
      <c r="G12" s="6" t="str">
        <f>VLOOKUP(F12,場所マスタ!$A$1:$I$125,5,FALSE)</f>
        <v>シロップ村</v>
      </c>
      <c r="H12" t="s">
        <v>507</v>
      </c>
      <c r="I12" s="6" t="str">
        <f>IFERROR(VLOOKUP(H12,勢力マスタ[],2,FALSE),"")</f>
        <v>麦わらの一味</v>
      </c>
      <c r="J12" s="10" t="s">
        <v>288</v>
      </c>
      <c r="L12" s="6" t="str">
        <f>IFERROR(VLOOKUP(J12,キャラマスタ[],2,FALSE),"")</f>
        <v>モンキー・D・ルフィ</v>
      </c>
      <c r="M12" s="6" t="str">
        <f>IFERROR(VLOOKUP(K12,キャラマスタ[],2,FALSE),"")</f>
        <v/>
      </c>
      <c r="N12" t="s">
        <v>737</v>
      </c>
      <c r="O12" s="6" t="str">
        <f>IFERROR(VLOOKUP(N12,勢力マスタ[],2,FALSE),"")</f>
        <v>クロネコ海賊団</v>
      </c>
      <c r="P12" t="s">
        <v>723</v>
      </c>
      <c r="R12" s="6" t="str">
        <f>IFERROR(VLOOKUP(P12,キャラマスタ[],2,FALSE),"")</f>
        <v>クロ</v>
      </c>
      <c r="S12" s="6" t="str">
        <f>IFERROR(VLOOKUP(Q12,キャラマスタ[],2,FALSE),"")</f>
        <v/>
      </c>
      <c r="T12" t="s">
        <v>1018</v>
      </c>
      <c r="U12" t="str">
        <f>+IFERROR(VLOOKUP(テーブル10[[#This Row],[技ID]],技マスタ[],2,FALSE),"")</f>
        <v>ゴムゴムの鐘（カネ）</v>
      </c>
      <c r="V12" t="s">
        <v>285</v>
      </c>
    </row>
    <row r="13" spans="1:23">
      <c r="A13" t="s">
        <v>1014</v>
      </c>
      <c r="B13">
        <v>5</v>
      </c>
      <c r="C13">
        <v>38</v>
      </c>
      <c r="D13">
        <v>0</v>
      </c>
      <c r="E13">
        <v>3</v>
      </c>
      <c r="F13" t="s">
        <v>1013</v>
      </c>
      <c r="G13" s="6" t="str">
        <f>VLOOKUP(F13,場所マスタ!$A$1:$I$125,5,FALSE)</f>
        <v>シロップ村</v>
      </c>
      <c r="H13" t="s">
        <v>507</v>
      </c>
      <c r="I13" s="6" t="str">
        <f>IFERROR(VLOOKUP(H13,勢力マスタ[],2,FALSE),"")</f>
        <v>麦わらの一味</v>
      </c>
      <c r="J13" s="10" t="s">
        <v>308</v>
      </c>
      <c r="K13" t="s">
        <v>718</v>
      </c>
      <c r="L13" s="6" t="str">
        <f>IFERROR(VLOOKUP(J13,キャラマスタ[],2,FALSE),"")</f>
        <v>ロロノア・ゾロ</v>
      </c>
      <c r="M13" s="6" t="str">
        <f>IFERROR(VLOOKUP(K13,キャラマスタ[],2,FALSE),"")</f>
        <v>ウソップ</v>
      </c>
      <c r="N13" t="s">
        <v>737</v>
      </c>
      <c r="O13" s="6" t="str">
        <f>IFERROR(VLOOKUP(N13,勢力マスタ[],2,FALSE),"")</f>
        <v>クロネコ海賊団</v>
      </c>
      <c r="P13" t="s">
        <v>727</v>
      </c>
      <c r="R13" s="6" t="str">
        <f>IFERROR(VLOOKUP(P13,キャラマスタ[],2,FALSE),"")</f>
        <v>ジャンゴ</v>
      </c>
      <c r="S13" s="6" t="str">
        <f>IFERROR(VLOOKUP(Q13,キャラマスタ[],2,FALSE),"")</f>
        <v/>
      </c>
      <c r="T13" t="s">
        <v>972</v>
      </c>
      <c r="U13" t="str">
        <f>+IFERROR(VLOOKUP(テーブル10[[#This Row],[技ID]],技マスタ[],2,FALSE),"")</f>
        <v>火薬星</v>
      </c>
      <c r="V13" t="s">
        <v>341</v>
      </c>
    </row>
    <row r="14" spans="1:23">
      <c r="A14" t="s">
        <v>1015</v>
      </c>
      <c r="B14">
        <v>5</v>
      </c>
      <c r="C14">
        <v>43</v>
      </c>
      <c r="D14">
        <v>0</v>
      </c>
      <c r="E14">
        <v>5</v>
      </c>
      <c r="F14" t="s">
        <v>1076</v>
      </c>
      <c r="G14" s="6" t="str">
        <f>VLOOKUP(F14,場所マスタ!$A$1:$I$125,5,FALSE)</f>
        <v>バラティエ</v>
      </c>
      <c r="I14" s="6" t="str">
        <f>IFERROR(VLOOKUP(H14,勢力マスタ[],2,FALSE),"")</f>
        <v/>
      </c>
      <c r="J14" t="s">
        <v>1087</v>
      </c>
      <c r="L14" s="6" t="str">
        <f>IFERROR(VLOOKUP(J14,キャラマスタ[],2,FALSE),"")</f>
        <v>フルボディ</v>
      </c>
      <c r="M14" s="6" t="str">
        <f>IFERROR(VLOOKUP(K14,キャラマスタ[],2,FALSE),"")</f>
        <v/>
      </c>
      <c r="O14" s="6" t="str">
        <f>IFERROR(VLOOKUP(N14,勢力マスタ[],2,FALSE),"")</f>
        <v/>
      </c>
      <c r="P14" t="s">
        <v>1088</v>
      </c>
      <c r="Q14" t="s">
        <v>1089</v>
      </c>
      <c r="R14" s="6" t="str">
        <f>IFERROR(VLOOKUP(P14,キャラマスタ[],2,FALSE),"")</f>
        <v>ヨサク</v>
      </c>
      <c r="S14" s="6" t="str">
        <f>IFERROR(VLOOKUP(Q14,キャラマスタ[],2,FALSE),"")</f>
        <v>ジョニー</v>
      </c>
      <c r="U14" t="str">
        <f>+IFERROR(VLOOKUP(テーブル10[[#This Row],[技ID]],技マスタ[],2,FALSE),"")</f>
        <v/>
      </c>
      <c r="V14" t="s">
        <v>285</v>
      </c>
    </row>
    <row r="15" spans="1:23">
      <c r="A15" t="s">
        <v>1016</v>
      </c>
      <c r="B15">
        <v>5</v>
      </c>
      <c r="C15">
        <v>43</v>
      </c>
      <c r="D15">
        <v>0</v>
      </c>
      <c r="E15">
        <v>5</v>
      </c>
      <c r="F15" t="s">
        <v>1076</v>
      </c>
      <c r="G15" s="6" t="str">
        <f>VLOOKUP(F15,場所マスタ!$A$1:$I$125,5,FALSE)</f>
        <v>バラティエ</v>
      </c>
      <c r="H15" t="s">
        <v>959</v>
      </c>
      <c r="I15" s="6" t="str">
        <f>IFERROR(VLOOKUP(H15,勢力マスタ[],2,FALSE),"")</f>
        <v>海上レストランバラティエ</v>
      </c>
      <c r="J15" t="s">
        <v>1092</v>
      </c>
      <c r="L15" s="6" t="str">
        <f>IFERROR(VLOOKUP(J15,キャラマスタ[],2,FALSE),"")</f>
        <v>サンジ</v>
      </c>
      <c r="M15" s="6" t="str">
        <f>IFERROR(VLOOKUP(K15,キャラマスタ[],2,FALSE),"")</f>
        <v/>
      </c>
      <c r="O15" s="6" t="str">
        <f>IFERROR(VLOOKUP(N15,勢力マスタ[],2,FALSE),"")</f>
        <v/>
      </c>
      <c r="P15" t="s">
        <v>1096</v>
      </c>
      <c r="R15" s="6" t="str">
        <f>IFERROR(VLOOKUP(P15,キャラマスタ[],2,FALSE),"")</f>
        <v>フルボディ</v>
      </c>
      <c r="S15" s="6" t="str">
        <f>IFERROR(VLOOKUP(Q15,キャラマスタ[],2,FALSE),"")</f>
        <v/>
      </c>
      <c r="U15" t="str">
        <f>+IFERROR(VLOOKUP(テーブル10[[#This Row],[技ID]],技マスタ[],2,FALSE),"")</f>
        <v/>
      </c>
      <c r="V15" t="s">
        <v>285</v>
      </c>
    </row>
    <row r="16" spans="1:23">
      <c r="A16" t="s">
        <v>1017</v>
      </c>
      <c r="B16">
        <v>5</v>
      </c>
      <c r="C16">
        <v>44</v>
      </c>
      <c r="D16">
        <v>0</v>
      </c>
      <c r="E16">
        <v>5</v>
      </c>
      <c r="F16" t="s">
        <v>1076</v>
      </c>
      <c r="G16" s="6" t="str">
        <f>VLOOKUP(F16,場所マスタ!$A$1:$I$125,5,FALSE)</f>
        <v>バラティエ</v>
      </c>
      <c r="H16" t="s">
        <v>959</v>
      </c>
      <c r="I16" s="6" t="str">
        <f>IFERROR(VLOOKUP(H16,勢力マスタ[],2,FALSE),"")</f>
        <v>海上レストランバラティエ</v>
      </c>
      <c r="J16" t="s">
        <v>1093</v>
      </c>
      <c r="L16" s="6" t="str">
        <f>IFERROR(VLOOKUP(J16,キャラマスタ[],2,FALSE),"")</f>
        <v>パティ</v>
      </c>
      <c r="M16" s="6" t="str">
        <f>IFERROR(VLOOKUP(K16,キャラマスタ[],2,FALSE),"")</f>
        <v/>
      </c>
      <c r="N16" t="s">
        <v>1094</v>
      </c>
      <c r="O16" s="6" t="str">
        <f>IFERROR(VLOOKUP(N16,勢力マスタ[],2,FALSE),"")</f>
        <v>クリーク海賊団</v>
      </c>
      <c r="P16" t="s">
        <v>1095</v>
      </c>
      <c r="R16" s="6" t="str">
        <f>IFERROR(VLOOKUP(P16,キャラマスタ[],2,FALSE),"")</f>
        <v>ギン</v>
      </c>
      <c r="S16" s="6" t="str">
        <f>IFERROR(VLOOKUP(Q16,キャラマスタ[],2,FALSE),"")</f>
        <v/>
      </c>
      <c r="U16" t="str">
        <f>+IFERROR(VLOOKUP(テーブル10[[#This Row],[技ID]],技マスタ[],2,FALSE),"")</f>
        <v/>
      </c>
      <c r="V16" t="s">
        <v>285</v>
      </c>
    </row>
    <row r="17" spans="1:23">
      <c r="A17" t="s">
        <v>1191</v>
      </c>
      <c r="B17">
        <v>6</v>
      </c>
      <c r="C17">
        <v>51</v>
      </c>
      <c r="D17">
        <v>0</v>
      </c>
      <c r="E17">
        <v>7</v>
      </c>
      <c r="F17" t="s">
        <v>1076</v>
      </c>
      <c r="G17" s="6" t="str">
        <f>VLOOKUP(F17,場所マスタ!$A$1:$I$125,5,FALSE)</f>
        <v>バラティエ</v>
      </c>
      <c r="H17" t="s">
        <v>507</v>
      </c>
      <c r="I17" s="6" t="str">
        <f>IFERROR(VLOOKUP(H17,勢力マスタ[],2,FALSE),"")</f>
        <v>麦わらの一味</v>
      </c>
      <c r="J17" s="10" t="s">
        <v>308</v>
      </c>
      <c r="L17" s="6" t="str">
        <f>IFERROR(VLOOKUP(J17,キャラマスタ[],2,FALSE),"")</f>
        <v>ロロノア・ゾロ</v>
      </c>
      <c r="M17" s="6" t="str">
        <f>IFERROR(VLOOKUP(K17,キャラマスタ[],2,FALSE),"")</f>
        <v/>
      </c>
      <c r="N17" t="s">
        <v>1144</v>
      </c>
      <c r="O17" s="6" t="str">
        <f>IFERROR(VLOOKUP(N17,勢力マスタ[],2,FALSE),"")</f>
        <v>王下七武海</v>
      </c>
      <c r="P17" t="s">
        <v>1196</v>
      </c>
      <c r="R17" s="6" t="str">
        <f>IFERROR(VLOOKUP(P17,キャラマスタ[],2,FALSE),"")</f>
        <v>ジュラキュール・ミホーク</v>
      </c>
      <c r="S17" s="6" t="str">
        <f>IFERROR(VLOOKUP(Q17,キャラマスタ[],2,FALSE),"")</f>
        <v/>
      </c>
      <c r="U17" t="str">
        <f>+IFERROR(VLOOKUP(テーブル10[[#This Row],[技ID]],技マスタ[],2,FALSE),"")</f>
        <v/>
      </c>
      <c r="V17" t="s">
        <v>285</v>
      </c>
    </row>
    <row r="18" spans="1:23">
      <c r="A18" t="s">
        <v>1192</v>
      </c>
      <c r="B18">
        <v>7</v>
      </c>
      <c r="C18">
        <v>55</v>
      </c>
      <c r="D18">
        <v>0</v>
      </c>
      <c r="E18">
        <v>7.5</v>
      </c>
      <c r="F18" t="s">
        <v>1076</v>
      </c>
      <c r="G18" s="6" t="str">
        <f>VLOOKUP(F18,場所マスタ!$A$1:$I$125,5,FALSE)</f>
        <v>バラティエ</v>
      </c>
      <c r="H18" t="s">
        <v>959</v>
      </c>
      <c r="I18" s="6" t="str">
        <f>IFERROR(VLOOKUP(H18,勢力マスタ[],2,FALSE),"")</f>
        <v>海上レストランバラティエ</v>
      </c>
      <c r="J18" t="s">
        <v>1090</v>
      </c>
      <c r="L18" s="6" t="str">
        <f>IFERROR(VLOOKUP(J18,キャラマスタ[],2,FALSE),"")</f>
        <v>サンジ</v>
      </c>
      <c r="M18" s="6" t="str">
        <f>IFERROR(VLOOKUP(K18,キャラマスタ[],2,FALSE),"")</f>
        <v/>
      </c>
      <c r="N18" t="s">
        <v>1094</v>
      </c>
      <c r="O18" s="6" t="str">
        <f>IFERROR(VLOOKUP(N18,勢力マスタ[],2,FALSE),"")</f>
        <v>クリーク海賊団</v>
      </c>
      <c r="P18" t="s">
        <v>1290</v>
      </c>
      <c r="R18" s="6" t="str">
        <f>IFERROR(VLOOKUP(P18,キャラマスタ[],2,FALSE),"")</f>
        <v>パール</v>
      </c>
      <c r="S18" s="6" t="str">
        <f>IFERROR(VLOOKUP(Q18,キャラマスタ[],2,FALSE),"")</f>
        <v/>
      </c>
      <c r="U18" t="str">
        <f>+IFERROR(VLOOKUP(テーブル10[[#This Row],[技ID]],技マスタ[],2,FALSE),"")</f>
        <v/>
      </c>
      <c r="V18" t="s">
        <v>285</v>
      </c>
    </row>
    <row r="19" spans="1:23">
      <c r="A19" t="s">
        <v>1193</v>
      </c>
      <c r="B19">
        <v>7</v>
      </c>
      <c r="C19">
        <v>60</v>
      </c>
      <c r="D19">
        <v>0</v>
      </c>
      <c r="E19">
        <v>7.5</v>
      </c>
      <c r="F19" t="s">
        <v>1076</v>
      </c>
      <c r="G19" s="6" t="str">
        <f>VLOOKUP(F19,場所マスタ!$A$1:$I$125,5,FALSE)</f>
        <v>バラティエ</v>
      </c>
      <c r="H19" t="s">
        <v>959</v>
      </c>
      <c r="I19" s="6" t="str">
        <f>IFERROR(VLOOKUP(H19,勢力マスタ[],2,FALSE),"")</f>
        <v>海上レストランバラティエ</v>
      </c>
      <c r="J19" t="s">
        <v>1090</v>
      </c>
      <c r="L19" s="6" t="str">
        <f>IFERROR(VLOOKUP(J19,キャラマスタ[],2,FALSE),"")</f>
        <v>サンジ</v>
      </c>
      <c r="M19" s="6" t="str">
        <f>IFERROR(VLOOKUP(K19,キャラマスタ[],2,FALSE),"")</f>
        <v/>
      </c>
      <c r="N19" t="s">
        <v>1094</v>
      </c>
      <c r="O19" s="6" t="str">
        <f>IFERROR(VLOOKUP(N19,勢力マスタ[],2,FALSE),"")</f>
        <v>クリーク海賊団</v>
      </c>
      <c r="P19" t="s">
        <v>1091</v>
      </c>
      <c r="R19" s="6" t="str">
        <f>IFERROR(VLOOKUP(P19,キャラマスタ[],2,FALSE),"")</f>
        <v>ギン</v>
      </c>
      <c r="S19" s="6" t="str">
        <f>IFERROR(VLOOKUP(Q19,キャラマスタ[],2,FALSE),"")</f>
        <v/>
      </c>
      <c r="U19" t="str">
        <f>+IFERROR(VLOOKUP(テーブル10[[#This Row],[技ID]],技マスタ[],2,FALSE),"")</f>
        <v/>
      </c>
      <c r="V19" t="s">
        <v>285</v>
      </c>
    </row>
    <row r="20" spans="1:23">
      <c r="A20" t="s">
        <v>1194</v>
      </c>
      <c r="B20">
        <v>7</v>
      </c>
      <c r="C20">
        <v>60</v>
      </c>
      <c r="D20">
        <v>0</v>
      </c>
      <c r="E20">
        <v>7.5</v>
      </c>
      <c r="F20" t="s">
        <v>1076</v>
      </c>
      <c r="G20" s="6" t="str">
        <f>VLOOKUP(F20,場所マスタ!$A$1:$I$125,5,FALSE)</f>
        <v>バラティエ</v>
      </c>
      <c r="H20" t="s">
        <v>959</v>
      </c>
      <c r="I20" s="6" t="str">
        <f>IFERROR(VLOOKUP(H20,勢力マスタ[],2,FALSE),"")</f>
        <v>海上レストランバラティエ</v>
      </c>
      <c r="J20" s="10" t="s">
        <v>288</v>
      </c>
      <c r="L20" s="6" t="str">
        <f>IFERROR(VLOOKUP(J20,キャラマスタ[],2,FALSE),"")</f>
        <v>モンキー・D・ルフィ</v>
      </c>
      <c r="M20" s="6" t="str">
        <f>IFERROR(VLOOKUP(K20,キャラマスタ[],2,FALSE),"")</f>
        <v/>
      </c>
      <c r="N20" t="s">
        <v>1094</v>
      </c>
      <c r="O20" s="6" t="str">
        <f>IFERROR(VLOOKUP(N20,勢力マスタ[],2,FALSE),"")</f>
        <v>クリーク海賊団</v>
      </c>
      <c r="P20" t="s">
        <v>1305</v>
      </c>
      <c r="R20" s="6" t="str">
        <f>IFERROR(VLOOKUP(P20,キャラマスタ[],2,FALSE),"")</f>
        <v>クリーク</v>
      </c>
      <c r="S20" s="6" t="str">
        <f>IFERROR(VLOOKUP(Q20,キャラマスタ[],2,FALSE),"")</f>
        <v/>
      </c>
      <c r="T20" t="s">
        <v>1349</v>
      </c>
      <c r="U20" t="str">
        <f>+IFERROR(VLOOKUP(テーブル10[[#This Row],[技ID]],技マスタ[],2,FALSE),"")</f>
        <v>ゴムゴムの大槌（オオヅチ）</v>
      </c>
      <c r="V20" t="s">
        <v>285</v>
      </c>
    </row>
    <row r="21" spans="1:23">
      <c r="A21" t="s">
        <v>1195</v>
      </c>
      <c r="B21">
        <v>9</v>
      </c>
      <c r="C21">
        <v>73</v>
      </c>
      <c r="D21">
        <v>0</v>
      </c>
      <c r="E21">
        <v>8.3000000000000007</v>
      </c>
      <c r="F21" t="s">
        <v>1517</v>
      </c>
      <c r="G21" s="6" t="str">
        <f>VLOOKUP(F21,場所マスタ!$A$1:$I$125,5,FALSE)</f>
        <v>アーロンパーク近海</v>
      </c>
      <c r="H21" t="s">
        <v>507</v>
      </c>
      <c r="I21" s="6" t="str">
        <f>IFERROR(VLOOKUP(H21,勢力マスタ[],2,FALSE),"")</f>
        <v>麦わらの一味</v>
      </c>
      <c r="J21" s="10" t="s">
        <v>288</v>
      </c>
      <c r="K21" t="s">
        <v>1090</v>
      </c>
      <c r="L21" s="6" t="str">
        <f>IFERROR(VLOOKUP(J21,キャラマスタ[],2,FALSE),"")</f>
        <v>モンキー・D・ルフィ</v>
      </c>
      <c r="M21" s="6" t="str">
        <f>IFERROR(VLOOKUP(K21,キャラマスタ[],2,FALSE),"")</f>
        <v>サンジ</v>
      </c>
      <c r="N21" t="s">
        <v>1292</v>
      </c>
      <c r="O21" s="6" t="str">
        <f>IFERROR(VLOOKUP(N21,勢力マスタ[],2,FALSE),"")</f>
        <v>アーロン一味</v>
      </c>
      <c r="P21" t="s">
        <v>1453</v>
      </c>
      <c r="R21" s="6" t="str">
        <f>IFERROR(VLOOKUP(P21,キャラマスタ[],2,FALSE),"")</f>
        <v>モーム</v>
      </c>
      <c r="S21" s="6" t="str">
        <f>IFERROR(VLOOKUP(Q21,キャラマスタ[],2,FALSE),"")</f>
        <v/>
      </c>
      <c r="T21" t="s">
        <v>1351</v>
      </c>
      <c r="U21" t="str">
        <f>+IFERROR(VLOOKUP(テーブル10[[#This Row],[技ID]],技マスタ[],2,FALSE),"")</f>
        <v>首肉（コリエ）シュート</v>
      </c>
      <c r="V21" t="s">
        <v>285</v>
      </c>
    </row>
    <row r="22" spans="1:23">
      <c r="A22" t="s">
        <v>1522</v>
      </c>
      <c r="B22">
        <v>9</v>
      </c>
      <c r="C22">
        <v>74</v>
      </c>
      <c r="D22">
        <v>0</v>
      </c>
      <c r="E22">
        <v>8.5</v>
      </c>
      <c r="F22" t="s">
        <v>1532</v>
      </c>
      <c r="G22" s="6" t="str">
        <f>VLOOKUP(F22,場所マスタ!$A$1:$I$125,5,FALSE)</f>
        <v>アーロンパーク</v>
      </c>
      <c r="H22" t="s">
        <v>1292</v>
      </c>
      <c r="I22" s="6" t="str">
        <f>IFERROR(VLOOKUP(H22,勢力マスタ[],2,FALSE),"")</f>
        <v>アーロン一味</v>
      </c>
      <c r="J22" s="10" t="s">
        <v>416</v>
      </c>
      <c r="L22" s="6" t="str">
        <f>IFERROR(VLOOKUP(J22,キャラマスタ[],2,FALSE),"")</f>
        <v>ナミ</v>
      </c>
      <c r="M22" s="6" t="str">
        <f>IFERROR(VLOOKUP(K22,キャラマスタ[],2,FALSE),"")</f>
        <v/>
      </c>
      <c r="N22" t="s">
        <v>507</v>
      </c>
      <c r="O22" s="6" t="str">
        <f>IFERROR(VLOOKUP(N22,勢力マスタ[],2,FALSE),"")</f>
        <v>麦わらの一味</v>
      </c>
      <c r="P22" s="10" t="s">
        <v>1533</v>
      </c>
      <c r="R22" s="6" t="str">
        <f>IFERROR(VLOOKUP(P22,キャラマスタ[],2,FALSE),"")</f>
        <v>ウソップ</v>
      </c>
      <c r="S22" s="6" t="str">
        <f>IFERROR(VLOOKUP(Q22,キャラマスタ[],2,FALSE),"")</f>
        <v/>
      </c>
      <c r="U22" t="str">
        <f>+IFERROR(VLOOKUP(テーブル10[[#This Row],[技ID]],技マスタ[],2,FALSE),"")</f>
        <v/>
      </c>
      <c r="V22" t="s">
        <v>285</v>
      </c>
    </row>
    <row r="23" spans="1:23">
      <c r="A23" t="s">
        <v>1523</v>
      </c>
      <c r="B23">
        <v>10</v>
      </c>
      <c r="C23">
        <v>82</v>
      </c>
      <c r="D23">
        <v>0</v>
      </c>
      <c r="E23">
        <v>8.6999999999999993</v>
      </c>
      <c r="F23" t="s">
        <v>1532</v>
      </c>
      <c r="G23" s="6" t="str">
        <f>VLOOKUP(F23,場所マスタ!$A$1:$I$125,5,FALSE)</f>
        <v>アーロンパーク</v>
      </c>
      <c r="H23" t="s">
        <v>507</v>
      </c>
      <c r="I23" s="6" t="str">
        <f>IFERROR(VLOOKUP(H23,勢力マスタ[],2,FALSE),"")</f>
        <v>麦わらの一味</v>
      </c>
      <c r="J23" s="10"/>
      <c r="L23" s="6" t="str">
        <f>IFERROR(VLOOKUP(J23,キャラマスタ[],2,FALSE),"")</f>
        <v/>
      </c>
      <c r="M23" s="6" t="str">
        <f>IFERROR(VLOOKUP(K23,キャラマスタ[],2,FALSE),"")</f>
        <v/>
      </c>
      <c r="N23" t="s">
        <v>1292</v>
      </c>
      <c r="O23" s="6" t="str">
        <f>IFERROR(VLOOKUP(N23,勢力マスタ[],2,FALSE),"")</f>
        <v>アーロン一味</v>
      </c>
      <c r="R23" s="6" t="str">
        <f>IFERROR(VLOOKUP(P23,キャラマスタ[],2,FALSE),"")</f>
        <v/>
      </c>
      <c r="S23" s="6" t="str">
        <f>IFERROR(VLOOKUP(Q23,キャラマスタ[],2,FALSE),"")</f>
        <v/>
      </c>
      <c r="U23" t="str">
        <f>+IFERROR(VLOOKUP(テーブル10[[#This Row],[技ID]],技マスタ[],2,FALSE),"")</f>
        <v/>
      </c>
      <c r="V23" t="s">
        <v>265</v>
      </c>
      <c r="W23">
        <v>1</v>
      </c>
    </row>
    <row r="24" spans="1:23">
      <c r="A24" t="s">
        <v>1524</v>
      </c>
      <c r="B24">
        <v>10</v>
      </c>
      <c r="C24">
        <v>82</v>
      </c>
      <c r="D24">
        <v>0</v>
      </c>
      <c r="E24">
        <v>8.6999999999999993</v>
      </c>
      <c r="F24" t="s">
        <v>1532</v>
      </c>
      <c r="G24" s="6" t="str">
        <f>VLOOKUP(F24,場所マスタ!$A$1:$I$125,5,FALSE)</f>
        <v>アーロンパーク</v>
      </c>
      <c r="H24" t="s">
        <v>507</v>
      </c>
      <c r="I24" s="6" t="str">
        <f>IFERROR(VLOOKUP(H24,勢力マスタ[],2,FALSE),"")</f>
        <v>麦わらの一味</v>
      </c>
      <c r="J24" s="10" t="s">
        <v>288</v>
      </c>
      <c r="L24" s="6" t="str">
        <f>IFERROR(VLOOKUP(J24,キャラマスタ[],2,FALSE),"")</f>
        <v>モンキー・D・ルフィ</v>
      </c>
      <c r="M24" s="6" t="str">
        <f>IFERROR(VLOOKUP(K24,キャラマスタ[],2,FALSE),"")</f>
        <v/>
      </c>
      <c r="N24" t="s">
        <v>1292</v>
      </c>
      <c r="O24" s="6" t="str">
        <f>IFERROR(VLOOKUP(N24,勢力マスタ[],2,FALSE),"")</f>
        <v>アーロン一味</v>
      </c>
      <c r="P24" t="s">
        <v>1453</v>
      </c>
      <c r="R24" s="6" t="str">
        <f>IFERROR(VLOOKUP(P24,キャラマスタ[],2,FALSE),"")</f>
        <v>モーム</v>
      </c>
      <c r="S24" s="6" t="str">
        <f>IFERROR(VLOOKUP(Q24,キャラマスタ[],2,FALSE),"")</f>
        <v/>
      </c>
      <c r="T24" t="s">
        <v>1354</v>
      </c>
      <c r="U24" t="str">
        <f>+IFERROR(VLOOKUP(テーブル10[[#This Row],[技ID]],技マスタ[],2,FALSE),"")</f>
        <v>ゴムゴムの風車</v>
      </c>
      <c r="V24" t="s">
        <v>285</v>
      </c>
    </row>
    <row r="25" spans="1:23">
      <c r="A25" t="s">
        <v>1525</v>
      </c>
      <c r="B25">
        <v>10</v>
      </c>
      <c r="C25">
        <v>82</v>
      </c>
      <c r="D25">
        <v>0</v>
      </c>
      <c r="E25">
        <v>8.6999999999999993</v>
      </c>
      <c r="F25" t="s">
        <v>1532</v>
      </c>
      <c r="G25" s="6" t="str">
        <f>VLOOKUP(F25,場所マスタ!$A$1:$I$125,5,FALSE)</f>
        <v>アーロンパーク</v>
      </c>
      <c r="H25" t="s">
        <v>507</v>
      </c>
      <c r="I25" s="6" t="str">
        <f>IFERROR(VLOOKUP(H25,勢力マスタ[],2,FALSE),"")</f>
        <v>麦わらの一味</v>
      </c>
      <c r="J25" s="10" t="s">
        <v>308</v>
      </c>
      <c r="L25" s="6" t="str">
        <f>IFERROR(VLOOKUP(J25,キャラマスタ[],2,FALSE),"")</f>
        <v>ロロノア・ゾロ</v>
      </c>
      <c r="M25" s="6" t="str">
        <f>IFERROR(VLOOKUP(K25,キャラマスタ[],2,FALSE),"")</f>
        <v/>
      </c>
      <c r="N25" t="s">
        <v>1292</v>
      </c>
      <c r="O25" s="6" t="str">
        <f>IFERROR(VLOOKUP(N25,勢力マスタ[],2,FALSE),"")</f>
        <v>アーロン一味</v>
      </c>
      <c r="P25" t="s">
        <v>1311</v>
      </c>
      <c r="R25" s="6" t="str">
        <f>IFERROR(VLOOKUP(P25,キャラマスタ[],2,FALSE),"")</f>
        <v>はっちゃん</v>
      </c>
      <c r="S25" s="6" t="str">
        <f>IFERROR(VLOOKUP(Q25,キャラマスタ[],2,FALSE),"")</f>
        <v/>
      </c>
      <c r="T25" t="s">
        <v>1667</v>
      </c>
      <c r="U25" t="str">
        <f>+IFERROR(VLOOKUP(テーブル10[[#This Row],[技ID]],技マスタ[],2,FALSE),"")</f>
        <v>龍巻き</v>
      </c>
      <c r="V25" t="s">
        <v>285</v>
      </c>
    </row>
    <row r="26" spans="1:23">
      <c r="A26" t="s">
        <v>1526</v>
      </c>
      <c r="B26">
        <v>10</v>
      </c>
      <c r="C26">
        <v>82</v>
      </c>
      <c r="D26">
        <v>0</v>
      </c>
      <c r="E26">
        <v>8.6999999999999993</v>
      </c>
      <c r="F26" t="s">
        <v>1532</v>
      </c>
      <c r="G26" s="6" t="str">
        <f>VLOOKUP(F26,場所マスタ!$A$1:$I$125,5,FALSE)</f>
        <v>アーロンパーク</v>
      </c>
      <c r="H26" t="s">
        <v>507</v>
      </c>
      <c r="I26" s="6" t="str">
        <f>IFERROR(VLOOKUP(H26,勢力マスタ[],2,FALSE),"")</f>
        <v>麦わらの一味</v>
      </c>
      <c r="J26" t="s">
        <v>1090</v>
      </c>
      <c r="L26" s="6" t="str">
        <f>IFERROR(VLOOKUP(J26,キャラマスタ[],2,FALSE),"")</f>
        <v>サンジ</v>
      </c>
      <c r="M26" s="6" t="str">
        <f>IFERROR(VLOOKUP(K26,キャラマスタ[],2,FALSE),"")</f>
        <v/>
      </c>
      <c r="N26" t="s">
        <v>1292</v>
      </c>
      <c r="O26" s="6" t="str">
        <f>IFERROR(VLOOKUP(N26,勢力マスタ[],2,FALSE),"")</f>
        <v>アーロン一味</v>
      </c>
      <c r="P26" t="s">
        <v>1455</v>
      </c>
      <c r="R26" s="6" t="str">
        <f>IFERROR(VLOOKUP(P26,キャラマスタ[],2,FALSE),"")</f>
        <v>クロオビ</v>
      </c>
      <c r="S26" s="6" t="str">
        <f>IFERROR(VLOOKUP(Q26,キャラマスタ[],2,FALSE),"")</f>
        <v/>
      </c>
      <c r="T26" t="s">
        <v>1687</v>
      </c>
      <c r="U26" t="str">
        <f>+IFERROR(VLOOKUP(テーブル10[[#This Row],[技ID]],技マスタ[],2,FALSE),"")</f>
        <v>羊肉（ムートン）ショット</v>
      </c>
      <c r="V26" t="s">
        <v>285</v>
      </c>
    </row>
    <row r="27" spans="1:23">
      <c r="A27" t="s">
        <v>1527</v>
      </c>
      <c r="B27">
        <v>10</v>
      </c>
      <c r="C27">
        <v>82</v>
      </c>
      <c r="D27">
        <v>0</v>
      </c>
      <c r="E27">
        <v>8.6999999999999993</v>
      </c>
      <c r="F27" t="s">
        <v>1532</v>
      </c>
      <c r="G27" s="6" t="str">
        <f>VLOOKUP(F27,場所マスタ!$A$1:$I$125,5,FALSE)</f>
        <v>アーロンパーク</v>
      </c>
      <c r="H27" t="s">
        <v>507</v>
      </c>
      <c r="I27" s="6" t="str">
        <f>IFERROR(VLOOKUP(H27,勢力マスタ[],2,FALSE),"")</f>
        <v>麦わらの一味</v>
      </c>
      <c r="J27" t="s">
        <v>718</v>
      </c>
      <c r="L27" s="6" t="str">
        <f>IFERROR(VLOOKUP(J27,キャラマスタ[],2,FALSE),"")</f>
        <v>ウソップ</v>
      </c>
      <c r="M27" s="6" t="str">
        <f>IFERROR(VLOOKUP(K27,キャラマスタ[],2,FALSE),"")</f>
        <v/>
      </c>
      <c r="N27" t="s">
        <v>1292</v>
      </c>
      <c r="O27" s="6" t="str">
        <f>IFERROR(VLOOKUP(N27,勢力マスタ[],2,FALSE),"")</f>
        <v>アーロン一味</v>
      </c>
      <c r="P27" t="s">
        <v>1454</v>
      </c>
      <c r="R27" s="6" t="str">
        <f>IFERROR(VLOOKUP(P27,キャラマスタ[],2,FALSE),"")</f>
        <v>チュウ</v>
      </c>
      <c r="S27" s="6" t="str">
        <f>IFERROR(VLOOKUP(Q27,キャラマスタ[],2,FALSE),"")</f>
        <v/>
      </c>
      <c r="T27" t="s">
        <v>1690</v>
      </c>
      <c r="U27" t="str">
        <f>+IFERROR(VLOOKUP(テーブル10[[#This Row],[技ID]],技マスタ[],2,FALSE),"")</f>
        <v>ウソップハンマー</v>
      </c>
      <c r="V27" t="s">
        <v>285</v>
      </c>
    </row>
    <row r="28" spans="1:23">
      <c r="A28" t="s">
        <v>1528</v>
      </c>
      <c r="B28">
        <v>10</v>
      </c>
      <c r="C28">
        <v>82</v>
      </c>
      <c r="D28">
        <v>0</v>
      </c>
      <c r="E28">
        <v>8.6999999999999993</v>
      </c>
      <c r="F28" t="s">
        <v>1532</v>
      </c>
      <c r="G28" s="6" t="str">
        <f>VLOOKUP(F28,場所マスタ!$A$1:$I$125,5,FALSE)</f>
        <v>アーロンパーク</v>
      </c>
      <c r="H28" t="s">
        <v>507</v>
      </c>
      <c r="I28" s="6" t="str">
        <f>IFERROR(VLOOKUP(H28,勢力マスタ[],2,FALSE),"")</f>
        <v>麦わらの一味</v>
      </c>
      <c r="J28" s="10" t="s">
        <v>288</v>
      </c>
      <c r="L28" s="6" t="str">
        <f>IFERROR(VLOOKUP(J28,キャラマスタ[],2,FALSE),"")</f>
        <v>モンキー・D・ルフィ</v>
      </c>
      <c r="M28" s="6" t="str">
        <f>IFERROR(VLOOKUP(K28,キャラマスタ[],2,FALSE),"")</f>
        <v/>
      </c>
      <c r="N28" t="s">
        <v>1292</v>
      </c>
      <c r="O28" s="6" t="str">
        <f>IFERROR(VLOOKUP(N28,勢力マスタ[],2,FALSE),"")</f>
        <v>アーロン一味</v>
      </c>
      <c r="P28" t="s">
        <v>1310</v>
      </c>
      <c r="R28" s="6" t="str">
        <f>IFERROR(VLOOKUP(P28,キャラマスタ[],2,FALSE),"")</f>
        <v>アーロン</v>
      </c>
      <c r="S28" s="6" t="str">
        <f>IFERROR(VLOOKUP(Q28,キャラマスタ[],2,FALSE),"")</f>
        <v/>
      </c>
      <c r="T28" t="s">
        <v>1262</v>
      </c>
      <c r="U28" t="str">
        <f>+IFERROR(VLOOKUP(テーブル10[[#This Row],[技ID]],技マスタ[],2,FALSE),"")</f>
        <v>ゴムゴムの戦斧（オノ）</v>
      </c>
      <c r="V28" t="s">
        <v>285</v>
      </c>
    </row>
    <row r="29" spans="1:23">
      <c r="A29" t="s">
        <v>1529</v>
      </c>
      <c r="B29">
        <v>12</v>
      </c>
      <c r="C29">
        <v>100</v>
      </c>
      <c r="D29">
        <v>0</v>
      </c>
      <c r="E29">
        <v>11.2</v>
      </c>
      <c r="F29" t="s">
        <v>1996</v>
      </c>
      <c r="G29" s="6" t="str">
        <f>VLOOKUP(F29,場所マスタ!$A$1:$I$125,5,FALSE)</f>
        <v>ローグタウン</v>
      </c>
      <c r="H29" t="s">
        <v>446</v>
      </c>
      <c r="I29" s="6" t="str">
        <f>IFERROR(VLOOKUP(H29,勢力マスタ[],2,FALSE),"")</f>
        <v>海軍</v>
      </c>
      <c r="J29" t="s">
        <v>1806</v>
      </c>
      <c r="L29" s="6" t="str">
        <f>IFERROR(VLOOKUP(J29,キャラマスタ[],2,FALSE),"")</f>
        <v>スモーカー</v>
      </c>
      <c r="M29" s="6" t="str">
        <f>IFERROR(VLOOKUP(K29,キャラマスタ[],2,FALSE),"")</f>
        <v/>
      </c>
      <c r="N29" t="s">
        <v>449</v>
      </c>
      <c r="O29" s="6" t="str">
        <f>IFERROR(VLOOKUP(N29,勢力マスタ[],2,FALSE),"")</f>
        <v>バギー海賊団</v>
      </c>
      <c r="P29" t="s">
        <v>570</v>
      </c>
      <c r="R29" s="6" t="str">
        <f>IFERROR(VLOOKUP(P29,キャラマスタ[],2,FALSE),"")</f>
        <v>バギー</v>
      </c>
      <c r="S29" s="6" t="str">
        <f>IFERROR(VLOOKUP(Q29,キャラマスタ[],2,FALSE),"")</f>
        <v/>
      </c>
      <c r="T29" t="s">
        <v>1970</v>
      </c>
      <c r="U29" t="str">
        <f>+IFERROR(VLOOKUP(テーブル10[[#This Row],[技ID]],技マスタ[],2,FALSE),"")</f>
        <v>ホワイト・アウト</v>
      </c>
      <c r="V29" t="s">
        <v>1997</v>
      </c>
    </row>
    <row r="30" spans="1:23">
      <c r="A30" t="s">
        <v>1530</v>
      </c>
      <c r="B30">
        <v>12</v>
      </c>
      <c r="C30">
        <v>100</v>
      </c>
      <c r="D30">
        <v>0</v>
      </c>
      <c r="E30">
        <v>11.2</v>
      </c>
      <c r="F30" t="s">
        <v>1996</v>
      </c>
      <c r="G30" s="6" t="str">
        <f>VLOOKUP(F30,場所マスタ!$A$1:$I$125,5,FALSE)</f>
        <v>ローグタウン</v>
      </c>
      <c r="H30" t="s">
        <v>446</v>
      </c>
      <c r="I30" s="6" t="str">
        <f>IFERROR(VLOOKUP(H30,勢力マスタ[],2,FALSE),"")</f>
        <v>海軍</v>
      </c>
      <c r="J30" t="s">
        <v>1806</v>
      </c>
      <c r="L30" s="6" t="str">
        <f>IFERROR(VLOOKUP(J30,キャラマスタ[],2,FALSE),"")</f>
        <v>スモーカー</v>
      </c>
      <c r="M30" s="6" t="str">
        <f>IFERROR(VLOOKUP(K30,キャラマスタ[],2,FALSE),"")</f>
        <v/>
      </c>
      <c r="N30" t="s">
        <v>443</v>
      </c>
      <c r="O30" s="6" t="str">
        <f>IFERROR(VLOOKUP(N30,勢力マスタ[],2,FALSE),"")</f>
        <v>アルビダ海賊団</v>
      </c>
      <c r="P30" t="s">
        <v>304</v>
      </c>
      <c r="R30" s="6" t="str">
        <f>IFERROR(VLOOKUP(P30,キャラマスタ[],2,FALSE),"")</f>
        <v>アルビダ</v>
      </c>
      <c r="S30" s="6" t="str">
        <f>IFERROR(VLOOKUP(Q30,キャラマスタ[],2,FALSE),"")</f>
        <v/>
      </c>
      <c r="T30" t="s">
        <v>1970</v>
      </c>
      <c r="U30" t="str">
        <f>+IFERROR(VLOOKUP(テーブル10[[#This Row],[技ID]],技マスタ[],2,FALSE),"")</f>
        <v>ホワイト・アウト</v>
      </c>
      <c r="V30" t="s">
        <v>1997</v>
      </c>
    </row>
    <row r="31" spans="1:23">
      <c r="A31" t="s">
        <v>1531</v>
      </c>
      <c r="B31">
        <v>12</v>
      </c>
      <c r="C31">
        <v>104</v>
      </c>
      <c r="D31">
        <v>0</v>
      </c>
      <c r="E31">
        <v>11.5</v>
      </c>
      <c r="F31" t="s">
        <v>2035</v>
      </c>
      <c r="G31" s="6" t="str">
        <f>VLOOKUP(F31,場所マスタ!$A$1:$I$125,5,FALSE)</f>
        <v>双子岬</v>
      </c>
      <c r="H31" t="s">
        <v>507</v>
      </c>
      <c r="I31" s="6" t="str">
        <f>IFERROR(VLOOKUP(H31,勢力マスタ[],2,FALSE),"")</f>
        <v>麦わらの一味</v>
      </c>
      <c r="J31" s="10" t="s">
        <v>288</v>
      </c>
      <c r="L31" s="6" t="str">
        <f>IFERROR(VLOOKUP(J31,キャラマスタ[],2,FALSE),"")</f>
        <v>モンキー・D・ルフィ</v>
      </c>
      <c r="M31" s="6" t="str">
        <f>IFERROR(VLOOKUP(K31,キャラマスタ[],2,FALSE),"")</f>
        <v/>
      </c>
      <c r="N31" t="s">
        <v>2052</v>
      </c>
      <c r="O31" s="6" t="str">
        <f>IFERROR(VLOOKUP(N31,勢力マスタ[],2,FALSE),"")</f>
        <v>無所属</v>
      </c>
      <c r="P31" t="s">
        <v>1908</v>
      </c>
      <c r="R31" s="6" t="str">
        <f>IFERROR(VLOOKUP(P31,キャラマスタ[],2,FALSE),"")</f>
        <v>ラブーン</v>
      </c>
      <c r="S31" s="6" t="str">
        <f>IFERROR(VLOOKUP(Q31,キャラマスタ[],2,FALSE),"")</f>
        <v/>
      </c>
      <c r="U31" t="str">
        <f>+IFERROR(VLOOKUP(テーブル10[[#This Row],[技ID]],技マスタ[],2,FALSE),"")</f>
        <v/>
      </c>
      <c r="V31" t="s">
        <v>285</v>
      </c>
    </row>
  </sheetData>
  <phoneticPr fontId="1"/>
  <dataValidations count="2">
    <dataValidation type="list" allowBlank="1" showInputMessage="1" showErrorMessage="1" sqref="P32:P1048576 P1:P13 Q2:Q13 P29:P30" xr:uid="{9EA71836-F1B9-4F2D-8FDB-5BE10935A9F2}">
      <formula1>$A$2:$A$85</formula1>
    </dataValidation>
    <dataValidation type="list" allowBlank="1" showInputMessage="1" showErrorMessage="1" sqref="V2:V53" xr:uid="{445F4365-9CFF-487C-B6FC-6BC89DE4664C}">
      <formula1>"タイマン,チーム戦,乱戦,軍団戦,艦隊戦,サバイバル,攻城戦,競技,処刑,小競り合い"</formula1>
    </dataValidation>
  </dataValidations>
  <pageMargins left="0.7" right="0.7" top="0.75" bottom="0.75" header="0.3" footer="0.3"/>
  <pageSetup paperSize="9" orientation="portrait" verticalDpi="0" r:id="rId1"/>
  <legacyDrawing r:id="rId2"/>
  <tableParts count="1">
    <tablePart r:id="rId3"/>
  </tableParts>
  <extLst>
    <ext xmlns:x14="http://schemas.microsoft.com/office/spreadsheetml/2009/9/main" uri="{CCE6A557-97BC-4b89-ADB6-D9C93CAAB3DF}">
      <x14:dataValidations xmlns:xm="http://schemas.microsoft.com/office/excel/2006/main" count="6">
        <x14:dataValidation type="list" allowBlank="1" showInputMessage="1" showErrorMessage="1" xr:uid="{D59F5A20-84B6-45DE-9F14-A5D905FC7E1E}">
          <x14:formula1>
            <xm:f>勢力マスタ!$A:$A</xm:f>
          </x14:formula1>
          <xm:sqref>H17 N2:N16 H2:H14 N18:N20 H21 N22 H23:H28 H31</xm:sqref>
        </x14:dataValidation>
        <x14:dataValidation type="list" allowBlank="1" showInputMessage="1" showErrorMessage="1" xr:uid="{EE205B3C-1E83-4495-85F0-B672210416B7}">
          <x14:formula1>
            <xm:f>キャラクターマスタ!$A$2:$A$70</xm:f>
          </x14:formula1>
          <xm:sqref>Q15:Q31</xm:sqref>
        </x14:dataValidation>
        <x14:dataValidation type="list" allowBlank="1" showInputMessage="1" showErrorMessage="1" xr:uid="{3AFA041D-D05F-44D1-8335-6C8E4216782F}">
          <x14:formula1>
            <xm:f>技マスタ!#REF!</xm:f>
          </x14:formula1>
          <xm:sqref>T32:T1048576 T1:T8</xm:sqref>
        </x14:dataValidation>
        <x14:dataValidation type="list" allowBlank="1" showInputMessage="1" showErrorMessage="1" xr:uid="{6A2AB76F-A1D6-40DA-93E1-AEE3B9369D43}">
          <x14:formula1>
            <xm:f>場所マスタ!$A$2:$A$124</xm:f>
          </x14:formula1>
          <xm:sqref>F2:F6</xm:sqref>
        </x14:dataValidation>
        <x14:dataValidation type="list" allowBlank="1" showInputMessage="1" showErrorMessage="1" xr:uid="{F7124BB9-CB5F-48A8-8F47-6C2AB67C5639}">
          <x14:formula1>
            <xm:f>キャラクターマスタ!$A:$A</xm:f>
          </x14:formula1>
          <xm:sqref>J2:J13 J17 K2:K20 P22 J20:J25 J27:J28 J31</xm:sqref>
        </x14:dataValidation>
        <x14:dataValidation type="list" allowBlank="1" showInputMessage="1" showErrorMessage="1" xr:uid="{8AD6A9E1-4CD0-410E-9497-AFB652AA2A2B}">
          <x14:formula1>
            <xm:f>技マスタ!$A:$A</xm:f>
          </x14:formula1>
          <xm:sqref>T20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AE28E-A9C1-45B1-888E-1F91DF1D5197}">
  <sheetPr>
    <tabColor theme="4" tint="0.59999389629810485"/>
  </sheetPr>
  <dimension ref="A1:I191"/>
  <sheetViews>
    <sheetView workbookViewId="0">
      <selection activeCell="J2" sqref="J2"/>
    </sheetView>
  </sheetViews>
  <sheetFormatPr baseColWidth="10" defaultColWidth="8.83203125" defaultRowHeight="18"/>
  <cols>
    <col min="1" max="1" width="10.5" customWidth="1"/>
    <col min="2" max="2" width="20.6640625" bestFit="1" customWidth="1"/>
    <col min="3" max="3" width="7.5" bestFit="1" customWidth="1"/>
    <col min="4" max="4" width="25.5" bestFit="1" customWidth="1"/>
    <col min="8" max="8" width="20.6640625" bestFit="1" customWidth="1"/>
    <col min="9" max="9" width="15.83203125" customWidth="1"/>
  </cols>
  <sheetData>
    <row r="1" spans="1:9">
      <c r="A1" t="s">
        <v>425</v>
      </c>
      <c r="B1" s="6" t="s">
        <v>165</v>
      </c>
      <c r="C1" t="s">
        <v>426</v>
      </c>
      <c r="D1" s="6" t="s">
        <v>166</v>
      </c>
      <c r="E1" t="s">
        <v>92</v>
      </c>
      <c r="F1" t="s">
        <v>105</v>
      </c>
      <c r="G1" t="s">
        <v>427</v>
      </c>
      <c r="H1" s="6" t="s">
        <v>167</v>
      </c>
      <c r="I1" t="s">
        <v>168</v>
      </c>
    </row>
    <row r="2" spans="1:9">
      <c r="A2" t="s">
        <v>288</v>
      </c>
      <c r="B2" s="6" t="str">
        <f>VLOOKUP(A2,キャラマスタ[],2,FALSE)</f>
        <v>モンキー・D・ルフィ</v>
      </c>
      <c r="C2" t="s">
        <v>419</v>
      </c>
      <c r="D2" s="6" t="str">
        <f>VLOOKUP(C2,技マスタ!$A$1:$J$605,2,FALSE)</f>
        <v>ゴムゴムの銃（ピストル）</v>
      </c>
      <c r="E2">
        <v>1</v>
      </c>
      <c r="F2">
        <v>1</v>
      </c>
      <c r="G2" t="s">
        <v>432</v>
      </c>
      <c r="H2" s="6" t="str">
        <f>IFERROR(VLOOKUP(G2,キャラマスタ[],2,FALSE),"")</f>
        <v>近海の主</v>
      </c>
      <c r="I2">
        <v>1</v>
      </c>
    </row>
    <row r="3" spans="1:9">
      <c r="A3" t="s">
        <v>288</v>
      </c>
      <c r="B3" s="6" t="str">
        <f>VLOOKUP(A3,キャラマスタ[],2,FALSE)</f>
        <v>モンキー・D・ルフィ</v>
      </c>
      <c r="C3" t="s">
        <v>419</v>
      </c>
      <c r="D3" s="6" t="str">
        <f>VLOOKUP(C3,技マスタ!$A$1:$J$605,2,FALSE)</f>
        <v>ゴムゴムの銃（ピストル）</v>
      </c>
      <c r="E3">
        <v>1</v>
      </c>
      <c r="F3">
        <v>2</v>
      </c>
      <c r="G3" t="s">
        <v>433</v>
      </c>
      <c r="H3" s="6" t="str">
        <f>IFERROR(VLOOKUP(G3,キャラマスタ[],2,FALSE),"")</f>
        <v>アルビダ</v>
      </c>
      <c r="I3">
        <v>1</v>
      </c>
    </row>
    <row r="4" spans="1:9">
      <c r="A4" t="s">
        <v>288</v>
      </c>
      <c r="B4" s="6" t="str">
        <f>VLOOKUP(A4,キャラマスタ[],2,FALSE)</f>
        <v>モンキー・D・ルフィ</v>
      </c>
      <c r="C4" t="s">
        <v>983</v>
      </c>
      <c r="D4" s="6" t="str">
        <f>VLOOKUP(C4,技マスタ!$A$1:$J$605,2,FALSE)</f>
        <v>ゴムゴムのロケット</v>
      </c>
      <c r="E4">
        <v>1</v>
      </c>
      <c r="F4">
        <v>4</v>
      </c>
      <c r="H4" s="6" t="str">
        <f>IFERROR(VLOOKUP(G4,キャラマスタ[],2,FALSE),"")</f>
        <v/>
      </c>
    </row>
    <row r="5" spans="1:9">
      <c r="A5" t="s">
        <v>288</v>
      </c>
      <c r="B5" s="6" t="str">
        <f>VLOOKUP(A5,キャラマスタ[],2,FALSE)</f>
        <v>モンキー・D・ルフィ</v>
      </c>
      <c r="C5" t="s">
        <v>984</v>
      </c>
      <c r="D5" s="6" t="str">
        <f>VLOOKUP(C5,技マスタ!$A$1:$J$605,2,FALSE)</f>
        <v>ゴムゴムの鞭（ムチ）</v>
      </c>
      <c r="E5">
        <v>1</v>
      </c>
      <c r="F5">
        <v>6</v>
      </c>
      <c r="H5" s="6" t="str">
        <f>IFERROR(VLOOKUP(G5,キャラマスタ[],2,FALSE),"")</f>
        <v/>
      </c>
    </row>
    <row r="6" spans="1:9">
      <c r="A6" t="s">
        <v>288</v>
      </c>
      <c r="B6" s="6" t="str">
        <f>VLOOKUP(A6,キャラマスタ[],2,FALSE)</f>
        <v>モンキー・D・ルフィ</v>
      </c>
      <c r="C6" t="s">
        <v>419</v>
      </c>
      <c r="D6" s="6" t="str">
        <f>VLOOKUP(C6,技マスタ!$A$1:$J$605,2,FALSE)</f>
        <v>ゴムゴムの銃（ピストル）</v>
      </c>
      <c r="E6">
        <v>1</v>
      </c>
      <c r="F6">
        <v>6</v>
      </c>
      <c r="G6" t="s">
        <v>434</v>
      </c>
      <c r="H6" s="6" t="str">
        <f>IFERROR(VLOOKUP(G6,キャラマスタ[],2,FALSE),"")</f>
        <v>ヘルメッポ</v>
      </c>
      <c r="I6">
        <v>1</v>
      </c>
    </row>
    <row r="7" spans="1:9">
      <c r="A7" t="s">
        <v>288</v>
      </c>
      <c r="B7" s="6" t="str">
        <f>VLOOKUP(A7,キャラマスタ[],2,FALSE)</f>
        <v>モンキー・D・ルフィ</v>
      </c>
      <c r="C7" t="s">
        <v>983</v>
      </c>
      <c r="D7" s="6" t="str">
        <f>VLOOKUP(C7,技マスタ!$A$1:$J$605,2,FALSE)</f>
        <v>ゴムゴムのロケット</v>
      </c>
      <c r="E7">
        <v>1</v>
      </c>
      <c r="F7">
        <v>8</v>
      </c>
      <c r="G7" t="s">
        <v>319</v>
      </c>
      <c r="H7" s="6" t="str">
        <f>IFERROR(VLOOKUP(G7,キャラマスタ[],2,FALSE),"")</f>
        <v>怪鳥ピンキー</v>
      </c>
    </row>
    <row r="8" spans="1:9">
      <c r="A8" t="s">
        <v>570</v>
      </c>
      <c r="B8" s="6" t="str">
        <f>VLOOKUP(A8,キャラマスタ[],2,FALSE)</f>
        <v>バギー</v>
      </c>
      <c r="C8" t="s">
        <v>985</v>
      </c>
      <c r="D8" s="6" t="str">
        <f>VLOOKUP(C8,技マスタ!$A$1:$J$605,2,FALSE)</f>
        <v>特製バギー玉</v>
      </c>
      <c r="E8">
        <v>2</v>
      </c>
      <c r="F8">
        <v>10</v>
      </c>
      <c r="H8" s="6" t="str">
        <f>IFERROR(VLOOKUP(G8,キャラマスタ[],2,FALSE),"")</f>
        <v/>
      </c>
    </row>
    <row r="9" spans="1:9">
      <c r="A9" t="s">
        <v>570</v>
      </c>
      <c r="B9" s="6" t="str">
        <f>VLOOKUP(A9,キャラマスタ[],2,FALSE)</f>
        <v>バギー</v>
      </c>
      <c r="C9" t="s">
        <v>986</v>
      </c>
      <c r="D9" s="6" t="str">
        <f>VLOOKUP(C9,技マスタ!$A$1:$J$605,2,FALSE)</f>
        <v>バラバラ砲</v>
      </c>
      <c r="E9">
        <v>2</v>
      </c>
      <c r="F9">
        <v>11</v>
      </c>
      <c r="G9" t="s">
        <v>308</v>
      </c>
      <c r="H9" s="6" t="str">
        <f>IFERROR(VLOOKUP(G9,キャラマスタ[],2,FALSE),"")</f>
        <v>ロロノア・ゾロ</v>
      </c>
    </row>
    <row r="10" spans="1:9">
      <c r="A10" t="s">
        <v>288</v>
      </c>
      <c r="B10" s="6" t="str">
        <f>VLOOKUP(A10,キャラマスタ[],2,FALSE)</f>
        <v>モンキー・D・ルフィ</v>
      </c>
      <c r="C10" t="s">
        <v>987</v>
      </c>
      <c r="D10" s="6" t="str">
        <f>VLOOKUP(C10,技マスタ!$A$1:$J$605,2,FALSE)</f>
        <v>ゴムゴムの槌（ツチ）</v>
      </c>
      <c r="E10">
        <v>2</v>
      </c>
      <c r="F10">
        <v>13</v>
      </c>
      <c r="G10" t="s">
        <v>575</v>
      </c>
      <c r="H10" s="6" t="str">
        <f>IFERROR(VLOOKUP(G10,キャラマスタ[],2,FALSE),"")</f>
        <v>リッチー</v>
      </c>
      <c r="I10">
        <v>1</v>
      </c>
    </row>
    <row r="11" spans="1:9">
      <c r="A11" t="s">
        <v>570</v>
      </c>
      <c r="B11" s="6" t="str">
        <f>VLOOKUP(A11,キャラマスタ[],2,FALSE)</f>
        <v>バギー</v>
      </c>
      <c r="C11" t="s">
        <v>985</v>
      </c>
      <c r="D11" s="6" t="str">
        <f>VLOOKUP(C11,技マスタ!$A$1:$J$605,2,FALSE)</f>
        <v>特製バギー玉</v>
      </c>
      <c r="E11">
        <v>2</v>
      </c>
      <c r="F11">
        <v>14</v>
      </c>
      <c r="H11" s="6" t="str">
        <f>IFERROR(VLOOKUP(G11,キャラマスタ[],2,FALSE),"")</f>
        <v/>
      </c>
    </row>
    <row r="12" spans="1:9">
      <c r="A12" t="s">
        <v>570</v>
      </c>
      <c r="B12" s="6" t="str">
        <f>VLOOKUP(A12,キャラマスタ[],2,FALSE)</f>
        <v>バギー</v>
      </c>
      <c r="C12" t="s">
        <v>985</v>
      </c>
      <c r="D12" s="6" t="str">
        <f>VLOOKUP(C12,技マスタ!$A$1:$J$605,2,FALSE)</f>
        <v>特製バギー玉</v>
      </c>
      <c r="E12">
        <v>2</v>
      </c>
      <c r="F12">
        <v>15</v>
      </c>
      <c r="G12" t="s">
        <v>411</v>
      </c>
      <c r="H12" s="6" t="str">
        <f>IFERROR(VLOOKUP(G12,キャラマスタ[],2,FALSE),"")</f>
        <v>モンキー・D・ルフィ</v>
      </c>
    </row>
    <row r="13" spans="1:9">
      <c r="A13" t="s">
        <v>288</v>
      </c>
      <c r="B13" s="6" t="str">
        <f>VLOOKUP(A13,キャラマスタ[],2,FALSE)</f>
        <v>モンキー・D・ルフィ</v>
      </c>
      <c r="C13" t="s">
        <v>988</v>
      </c>
      <c r="D13" s="6" t="str">
        <f>VLOOKUP(C13,技マスタ!$A$1:$J$605,2,FALSE)</f>
        <v>ゴムゴムの風船</v>
      </c>
      <c r="E13">
        <v>2</v>
      </c>
      <c r="F13">
        <v>15</v>
      </c>
      <c r="H13" s="6" t="str">
        <f>IFERROR(VLOOKUP(G13,キャラマスタ[],2,FALSE),"")</f>
        <v/>
      </c>
    </row>
    <row r="14" spans="1:9">
      <c r="A14" t="s">
        <v>580</v>
      </c>
      <c r="B14" s="6" t="str">
        <f>VLOOKUP(A14,キャラマスタ[],2,FALSE)</f>
        <v>カバジ</v>
      </c>
      <c r="C14" t="s">
        <v>989</v>
      </c>
      <c r="D14" s="6" t="str">
        <f>VLOOKUP(C14,技マスタ!$A$1:$J$605,2,FALSE)</f>
        <v>曲技”火事おやじ”</v>
      </c>
      <c r="E14">
        <v>2</v>
      </c>
      <c r="F14">
        <v>16</v>
      </c>
      <c r="G14" t="s">
        <v>308</v>
      </c>
      <c r="H14" s="6" t="str">
        <f>IFERROR(VLOOKUP(G14,キャラマスタ[],2,FALSE),"")</f>
        <v>ロロノア・ゾロ</v>
      </c>
    </row>
    <row r="15" spans="1:9">
      <c r="A15" t="s">
        <v>580</v>
      </c>
      <c r="B15" s="6" t="str">
        <f>VLOOKUP(A15,キャラマスタ[],2,FALSE)</f>
        <v>カバジ</v>
      </c>
      <c r="C15" t="s">
        <v>990</v>
      </c>
      <c r="D15" s="6" t="str">
        <f>VLOOKUP(C15,技マスタ!$A$1:$J$605,2,FALSE)</f>
        <v>曲技”湯けむり殺人事件”</v>
      </c>
      <c r="E15">
        <v>2</v>
      </c>
      <c r="F15">
        <v>16</v>
      </c>
      <c r="G15" t="s">
        <v>308</v>
      </c>
      <c r="H15" s="6" t="str">
        <f>IFERROR(VLOOKUP(G15,キャラマスタ[],2,FALSE),"")</f>
        <v>ロロノア・ゾロ</v>
      </c>
    </row>
    <row r="16" spans="1:9">
      <c r="A16" t="s">
        <v>580</v>
      </c>
      <c r="B16" s="6" t="str">
        <f>VLOOKUP(A16,キャラマスタ[],2,FALSE)</f>
        <v>カバジ</v>
      </c>
      <c r="C16" t="s">
        <v>991</v>
      </c>
      <c r="D16" s="6" t="str">
        <f>VLOOKUP(C16,技マスタ!$A$1:$J$605,2,FALSE)</f>
        <v>曲技”カミカゼ百コマ劇場”</v>
      </c>
      <c r="E16">
        <v>2</v>
      </c>
      <c r="F16">
        <v>17</v>
      </c>
      <c r="G16" t="s">
        <v>308</v>
      </c>
      <c r="H16" s="6" t="str">
        <f>IFERROR(VLOOKUP(G16,キャラマスタ[],2,FALSE),"")</f>
        <v>ロロノア・ゾロ</v>
      </c>
    </row>
    <row r="17" spans="1:9">
      <c r="A17" t="s">
        <v>580</v>
      </c>
      <c r="B17" s="6" t="str">
        <f>VLOOKUP(A17,キャラマスタ[],2,FALSE)</f>
        <v>カバジ</v>
      </c>
      <c r="C17" t="s">
        <v>992</v>
      </c>
      <c r="D17" s="6" t="str">
        <f>VLOOKUP(C17,技マスタ!$A$1:$J$605,2,FALSE)</f>
        <v>曲技”山登ろー”</v>
      </c>
      <c r="E17">
        <v>2</v>
      </c>
      <c r="F17">
        <v>17</v>
      </c>
      <c r="G17" t="s">
        <v>308</v>
      </c>
      <c r="H17" s="6" t="str">
        <f>IFERROR(VLOOKUP(G17,キャラマスタ[],2,FALSE),"")</f>
        <v>ロロノア・ゾロ</v>
      </c>
    </row>
    <row r="18" spans="1:9">
      <c r="A18" t="s">
        <v>580</v>
      </c>
      <c r="B18" s="6" t="str">
        <f>VLOOKUP(A18,キャラマスタ[],2,FALSE)</f>
        <v>カバジ</v>
      </c>
      <c r="C18" t="s">
        <v>993</v>
      </c>
      <c r="D18" s="6" t="str">
        <f>VLOOKUP(C18,技マスタ!$A$1:$J$605,2,FALSE)</f>
        <v>曲技”納涼打ち上げ花火”</v>
      </c>
      <c r="E18">
        <v>2</v>
      </c>
      <c r="F18">
        <v>17</v>
      </c>
      <c r="G18" t="s">
        <v>308</v>
      </c>
      <c r="H18" s="6" t="str">
        <f>IFERROR(VLOOKUP(G18,キャラマスタ[],2,FALSE),"")</f>
        <v>ロロノア・ゾロ</v>
      </c>
    </row>
    <row r="19" spans="1:9">
      <c r="A19" t="s">
        <v>580</v>
      </c>
      <c r="B19" s="6" t="str">
        <f>VLOOKUP(A19,キャラマスタ[],2,FALSE)</f>
        <v>カバジ</v>
      </c>
      <c r="C19" t="s">
        <v>994</v>
      </c>
      <c r="D19" s="6" t="str">
        <f>VLOOKUP(C19,技マスタ!$A$1:$J$605,2,FALSE)</f>
        <v>”一輪刺し”</v>
      </c>
      <c r="E19">
        <v>2</v>
      </c>
      <c r="F19">
        <v>17</v>
      </c>
      <c r="G19" t="s">
        <v>308</v>
      </c>
      <c r="H19" s="6" t="str">
        <f>IFERROR(VLOOKUP(G19,キャラマスタ[],2,FALSE),"")</f>
        <v>ロロノア・ゾロ</v>
      </c>
    </row>
    <row r="20" spans="1:9">
      <c r="A20" t="s">
        <v>570</v>
      </c>
      <c r="B20" s="6" t="str">
        <f>VLOOKUP(A20,キャラマスタ[],2,FALSE)</f>
        <v>バギー</v>
      </c>
      <c r="C20" t="s">
        <v>995</v>
      </c>
      <c r="D20" s="6" t="str">
        <f>VLOOKUP(C20,技マスタ!$A$1:$J$605,2,FALSE)</f>
        <v>地をはう”バラバラ砲”</v>
      </c>
      <c r="E20">
        <v>2</v>
      </c>
      <c r="F20">
        <v>17</v>
      </c>
      <c r="G20" t="s">
        <v>308</v>
      </c>
      <c r="H20" s="6" t="str">
        <f>IFERROR(VLOOKUP(G20,キャラマスタ[],2,FALSE),"")</f>
        <v>ロロノア・ゾロ</v>
      </c>
    </row>
    <row r="21" spans="1:9">
      <c r="A21" t="s">
        <v>308</v>
      </c>
      <c r="B21" s="6" t="str">
        <f>VLOOKUP(A21,キャラマスタ[],2,FALSE)</f>
        <v>ロロノア・ゾロ</v>
      </c>
      <c r="C21" t="s">
        <v>996</v>
      </c>
      <c r="D21" s="6" t="str">
        <f>VLOOKUP(C21,技マスタ!$A$1:$J$605,2,FALSE)</f>
        <v>鬼斬り</v>
      </c>
      <c r="E21">
        <v>2</v>
      </c>
      <c r="F21">
        <v>17</v>
      </c>
      <c r="G21" t="s">
        <v>580</v>
      </c>
      <c r="H21" s="6" t="str">
        <f>IFERROR(VLOOKUP(G21,キャラマスタ[],2,FALSE),"")</f>
        <v>カバジ</v>
      </c>
      <c r="I21">
        <v>1</v>
      </c>
    </row>
    <row r="22" spans="1:9">
      <c r="A22" t="s">
        <v>570</v>
      </c>
      <c r="B22" s="6" t="str">
        <f>VLOOKUP(A22,キャラマスタ[],2,FALSE)</f>
        <v>バギー</v>
      </c>
      <c r="C22" t="s">
        <v>997</v>
      </c>
      <c r="D22" s="6" t="str">
        <f>VLOOKUP(C22,技マスタ!$A$1:$J$605,2,FALSE)</f>
        <v>バラバラせんべい</v>
      </c>
      <c r="E22">
        <v>3</v>
      </c>
      <c r="F22">
        <v>18</v>
      </c>
      <c r="G22" t="s">
        <v>288</v>
      </c>
      <c r="H22" s="6" t="str">
        <f>IFERROR(VLOOKUP(G22,キャラマスタ[],2,FALSE),"")</f>
        <v>モンキー・D・ルフィ</v>
      </c>
    </row>
    <row r="23" spans="1:9">
      <c r="A23" t="s">
        <v>411</v>
      </c>
      <c r="B23" s="6" t="str">
        <f>VLOOKUP(A23,キャラマスタ[],2,FALSE)</f>
        <v>モンキー・D・ルフィ</v>
      </c>
      <c r="C23" t="s">
        <v>419</v>
      </c>
      <c r="D23" s="6" t="str">
        <f>VLOOKUP(C23,技マスタ!$A$1:$J$605,2,FALSE)</f>
        <v>ゴムゴムの銃（ピストル）</v>
      </c>
      <c r="E23">
        <v>3</v>
      </c>
      <c r="F23">
        <v>18</v>
      </c>
      <c r="G23" t="s">
        <v>570</v>
      </c>
      <c r="H23" s="6" t="str">
        <f>IFERROR(VLOOKUP(G23,キャラマスタ[],2,FALSE),"")</f>
        <v>バギー</v>
      </c>
    </row>
    <row r="24" spans="1:9">
      <c r="A24" t="s">
        <v>570</v>
      </c>
      <c r="B24" s="6" t="str">
        <f>VLOOKUP(A24,キャラマスタ[],2,FALSE)</f>
        <v>バギー</v>
      </c>
      <c r="C24" t="s">
        <v>998</v>
      </c>
      <c r="D24" s="6" t="str">
        <f>VLOOKUP(C24,技マスタ!$A$1:$J$605,2,FALSE)</f>
        <v>バラバラ緊急脱出</v>
      </c>
      <c r="E24">
        <v>3</v>
      </c>
      <c r="F24">
        <v>18</v>
      </c>
      <c r="G24" t="s">
        <v>288</v>
      </c>
      <c r="H24" s="6" t="str">
        <f>IFERROR(VLOOKUP(G24,キャラマスタ[],2,FALSE),"")</f>
        <v>モンキー・D・ルフィ</v>
      </c>
    </row>
    <row r="25" spans="1:9">
      <c r="A25" t="s">
        <v>411</v>
      </c>
      <c r="B25" s="6" t="str">
        <f>VLOOKUP(A25,キャラマスタ[],2,FALSE)</f>
        <v>モンキー・D・ルフィ</v>
      </c>
      <c r="C25" t="s">
        <v>999</v>
      </c>
      <c r="D25" s="6" t="str">
        <f>VLOOKUP(C25,技マスタ!$A$1:$J$605,2,FALSE)</f>
        <v>ゴムゴムの鎌</v>
      </c>
      <c r="E25">
        <v>3</v>
      </c>
      <c r="F25">
        <v>18</v>
      </c>
      <c r="G25" t="s">
        <v>570</v>
      </c>
      <c r="H25" s="6" t="str">
        <f>IFERROR(VLOOKUP(G25,キャラマスタ[],2,FALSE),"")</f>
        <v>バギー</v>
      </c>
    </row>
    <row r="26" spans="1:9">
      <c r="A26" t="s">
        <v>570</v>
      </c>
      <c r="B26" s="6" t="str">
        <f>VLOOKUP(A26,キャラマスタ[],2,FALSE)</f>
        <v>バギー</v>
      </c>
      <c r="C26" t="s">
        <v>1000</v>
      </c>
      <c r="D26" s="6" t="str">
        <f>VLOOKUP(C26,技マスタ!$A$1:$J$605,2,FALSE)</f>
        <v>バラバラ砲・切り離し</v>
      </c>
      <c r="E26">
        <v>3</v>
      </c>
      <c r="F26">
        <v>18</v>
      </c>
      <c r="G26" t="s">
        <v>288</v>
      </c>
      <c r="H26" s="6" t="str">
        <f>IFERROR(VLOOKUP(G26,キャラマスタ[],2,FALSE),"")</f>
        <v>モンキー・D・ルフィ</v>
      </c>
    </row>
    <row r="27" spans="1:9">
      <c r="A27" t="s">
        <v>570</v>
      </c>
      <c r="B27" s="6" t="str">
        <f>VLOOKUP(A27,キャラマスタ[],2,FALSE)</f>
        <v>バギー</v>
      </c>
      <c r="C27" t="s">
        <v>998</v>
      </c>
      <c r="D27" s="6" t="str">
        <f>VLOOKUP(C27,技マスタ!$A$1:$J$605,2,FALSE)</f>
        <v>バラバラ緊急脱出</v>
      </c>
      <c r="E27">
        <v>3</v>
      </c>
      <c r="F27">
        <v>18</v>
      </c>
      <c r="G27" t="s">
        <v>288</v>
      </c>
      <c r="H27" s="6" t="str">
        <f>IFERROR(VLOOKUP(G27,キャラマスタ[],2,FALSE),"")</f>
        <v>モンキー・D・ルフィ</v>
      </c>
    </row>
    <row r="28" spans="1:9">
      <c r="A28" t="s">
        <v>570</v>
      </c>
      <c r="B28" s="6" t="str">
        <f>VLOOKUP(A28,キャラマスタ[],2,FALSE)</f>
        <v>バギー</v>
      </c>
      <c r="C28" t="s">
        <v>1001</v>
      </c>
      <c r="D28" s="6" t="str">
        <f>VLOOKUP(C28,技マスタ!$A$1:$J$605,2,FALSE)</f>
        <v>バラバラフェスティバル</v>
      </c>
      <c r="E28">
        <v>3</v>
      </c>
      <c r="F28">
        <v>20</v>
      </c>
      <c r="G28" t="s">
        <v>288</v>
      </c>
      <c r="H28" s="6" t="str">
        <f>IFERROR(VLOOKUP(G28,キャラマスタ[],2,FALSE),"")</f>
        <v>モンキー・D・ルフィ</v>
      </c>
    </row>
    <row r="29" spans="1:9">
      <c r="A29" t="s">
        <v>570</v>
      </c>
      <c r="B29" s="6" t="str">
        <f>VLOOKUP(A29,キャラマスタ[],2,FALSE)</f>
        <v>バギー</v>
      </c>
      <c r="C29" t="s">
        <v>1001</v>
      </c>
      <c r="D29" s="6" t="str">
        <f>VLOOKUP(C29,技マスタ!$A$1:$J$605,2,FALSE)</f>
        <v>バラバラフェスティバル</v>
      </c>
      <c r="E29">
        <v>3</v>
      </c>
      <c r="F29">
        <v>20</v>
      </c>
      <c r="G29" t="s">
        <v>321</v>
      </c>
      <c r="H29" s="6" t="str">
        <f>IFERROR(VLOOKUP(G29,キャラマスタ[],2,FALSE),"")</f>
        <v>ナミ</v>
      </c>
    </row>
    <row r="30" spans="1:9">
      <c r="A30" t="s">
        <v>411</v>
      </c>
      <c r="B30" s="6" t="str">
        <f>VLOOKUP(A30,キャラマスタ[],2,FALSE)</f>
        <v>モンキー・D・ルフィ</v>
      </c>
      <c r="C30" t="s">
        <v>1002</v>
      </c>
      <c r="D30" s="6" t="str">
        <f>VLOOKUP(C30,技マスタ!$A$1:$J$605,2,FALSE)</f>
        <v>ゴムゴムのバズーカ</v>
      </c>
      <c r="E30">
        <v>3</v>
      </c>
      <c r="F30">
        <v>20</v>
      </c>
      <c r="G30" t="s">
        <v>570</v>
      </c>
      <c r="H30" s="6" t="str">
        <f>IFERROR(VLOOKUP(G30,キャラマスタ[],2,FALSE),"")</f>
        <v>バギー</v>
      </c>
      <c r="I30">
        <v>1</v>
      </c>
    </row>
    <row r="31" spans="1:9">
      <c r="A31" t="s">
        <v>727</v>
      </c>
      <c r="B31" s="6" t="str">
        <f>VLOOKUP(A31,キャラマスタ[],2,FALSE)</f>
        <v>ジャンゴ</v>
      </c>
      <c r="C31" t="s">
        <v>1003</v>
      </c>
      <c r="D31" s="6" t="str">
        <f>VLOOKUP(C31,技マスタ!$A$1:$J$605,2,FALSE)</f>
        <v>ワン・ツー・ジャンゴ</v>
      </c>
      <c r="E31">
        <v>3</v>
      </c>
      <c r="F31">
        <v>25</v>
      </c>
      <c r="G31" t="s">
        <v>720</v>
      </c>
      <c r="H31" s="6" t="str">
        <f>IFERROR(VLOOKUP(G31,キャラマスタ[],2,FALSE),"")</f>
        <v>にんじん</v>
      </c>
    </row>
    <row r="32" spans="1:9">
      <c r="A32" t="s">
        <v>727</v>
      </c>
      <c r="B32" s="6" t="str">
        <f>VLOOKUP(A32,キャラマスタ[],2,FALSE)</f>
        <v>ジャンゴ</v>
      </c>
      <c r="C32" t="s">
        <v>1003</v>
      </c>
      <c r="D32" s="6" t="str">
        <f>VLOOKUP(C32,技マスタ!$A$1:$J$605,2,FALSE)</f>
        <v>ワン・ツー・ジャンゴ</v>
      </c>
      <c r="E32">
        <v>3</v>
      </c>
      <c r="F32">
        <v>25</v>
      </c>
      <c r="G32" t="s">
        <v>721</v>
      </c>
      <c r="H32" s="6" t="str">
        <f>IFERROR(VLOOKUP(G32,キャラマスタ[],2,FALSE),"")</f>
        <v>ピーマン</v>
      </c>
    </row>
    <row r="33" spans="1:9">
      <c r="A33" t="s">
        <v>727</v>
      </c>
      <c r="B33" s="6" t="str">
        <f>VLOOKUP(A33,キャラマスタ[],2,FALSE)</f>
        <v>ジャンゴ</v>
      </c>
      <c r="C33" t="s">
        <v>1003</v>
      </c>
      <c r="D33" s="6" t="str">
        <f>VLOOKUP(C33,技マスタ!$A$1:$J$605,2,FALSE)</f>
        <v>ワン・ツー・ジャンゴ</v>
      </c>
      <c r="E33">
        <v>3</v>
      </c>
      <c r="F33">
        <v>25</v>
      </c>
      <c r="G33" t="s">
        <v>722</v>
      </c>
      <c r="H33" s="6" t="str">
        <f>IFERROR(VLOOKUP(G33,キャラマスタ[],2,FALSE),"")</f>
        <v>たまねぎ</v>
      </c>
    </row>
    <row r="34" spans="1:9">
      <c r="A34" t="s">
        <v>727</v>
      </c>
      <c r="B34" s="6" t="str">
        <f>VLOOKUP(A34,キャラマスタ[],2,FALSE)</f>
        <v>ジャンゴ</v>
      </c>
      <c r="C34" t="s">
        <v>1003</v>
      </c>
      <c r="D34" s="6" t="str">
        <f>VLOOKUP(C34,技マスタ!$A$1:$J$605,2,FALSE)</f>
        <v>ワン・ツー・ジャンゴ</v>
      </c>
      <c r="E34">
        <v>3</v>
      </c>
      <c r="F34">
        <v>26</v>
      </c>
      <c r="G34" t="s">
        <v>411</v>
      </c>
      <c r="H34" s="6" t="str">
        <f>IFERROR(VLOOKUP(G34,キャラマスタ[],2,FALSE),"")</f>
        <v>モンキー・D・ルフィ</v>
      </c>
    </row>
    <row r="35" spans="1:9">
      <c r="A35" t="s">
        <v>718</v>
      </c>
      <c r="B35" s="6" t="str">
        <f>VLOOKUP(A35,キャラマスタ[],2,FALSE)</f>
        <v>ウソップ</v>
      </c>
      <c r="C35" t="s">
        <v>1004</v>
      </c>
      <c r="D35" s="6" t="str">
        <f>VLOOKUP(C35,技マスタ!$A$1:$J$605,2,FALSE)</f>
        <v>まきびし地獄</v>
      </c>
      <c r="E35">
        <v>4</v>
      </c>
      <c r="F35">
        <v>29</v>
      </c>
      <c r="H35" s="6" t="str">
        <f>IFERROR(VLOOKUP(G35,キャラマスタ[],2,FALSE),"")</f>
        <v/>
      </c>
    </row>
    <row r="36" spans="1:9">
      <c r="A36" t="s">
        <v>321</v>
      </c>
      <c r="B36" s="6" t="str">
        <f>VLOOKUP(A36,キャラマスタ[],2,FALSE)</f>
        <v>ナミ</v>
      </c>
      <c r="C36" t="s">
        <v>1004</v>
      </c>
      <c r="D36" s="6" t="str">
        <f>VLOOKUP(C36,技マスタ!$A$1:$J$605,2,FALSE)</f>
        <v>まきびし地獄</v>
      </c>
      <c r="E36">
        <v>4</v>
      </c>
      <c r="F36">
        <v>29</v>
      </c>
      <c r="H36" s="6" t="str">
        <f>IFERROR(VLOOKUP(G36,キャラマスタ[],2,FALSE),"")</f>
        <v/>
      </c>
    </row>
    <row r="37" spans="1:9">
      <c r="A37" t="s">
        <v>718</v>
      </c>
      <c r="B37" s="6" t="str">
        <f>VLOOKUP(A37,キャラマスタ[],2,FALSE)</f>
        <v>ウソップ</v>
      </c>
      <c r="C37" t="s">
        <v>1005</v>
      </c>
      <c r="D37" s="6" t="str">
        <f>VLOOKUP(C37,技マスタ!$A$1:$J$605,2,FALSE)</f>
        <v>鉛星</v>
      </c>
      <c r="E37">
        <v>4</v>
      </c>
      <c r="F37">
        <v>29</v>
      </c>
      <c r="H37" s="6" t="str">
        <f>IFERROR(VLOOKUP(G37,キャラマスタ[],2,FALSE),"")</f>
        <v/>
      </c>
    </row>
    <row r="38" spans="1:9">
      <c r="A38" t="s">
        <v>727</v>
      </c>
      <c r="B38" s="6" t="str">
        <f>VLOOKUP(A38,キャラマスタ[],2,FALSE)</f>
        <v>ジャンゴ</v>
      </c>
      <c r="C38" t="s">
        <v>1003</v>
      </c>
      <c r="D38" s="6" t="str">
        <f>VLOOKUP(C38,技マスタ!$A$1:$J$605,2,FALSE)</f>
        <v>ワン・ツー・ジャンゴ</v>
      </c>
      <c r="E38">
        <v>4</v>
      </c>
      <c r="F38">
        <v>30</v>
      </c>
      <c r="H38" s="6" t="str">
        <f>IFERROR(VLOOKUP(G38,キャラマスタ[],2,FALSE),"")</f>
        <v/>
      </c>
    </row>
    <row r="39" spans="1:9">
      <c r="A39" t="s">
        <v>411</v>
      </c>
      <c r="B39" s="6" t="str">
        <f>VLOOKUP(A39,キャラマスタ[],2,FALSE)</f>
        <v>モンキー・D・ルフィ</v>
      </c>
      <c r="C39" t="s">
        <v>1006</v>
      </c>
      <c r="D39" s="6" t="str">
        <f>VLOOKUP(C39,技マスタ!$A$1:$J$605,2,FALSE)</f>
        <v>ゴムゴムの銃乱打（ガトリング）</v>
      </c>
      <c r="E39">
        <v>4</v>
      </c>
      <c r="F39">
        <v>30</v>
      </c>
      <c r="H39" s="6" t="str">
        <f>IFERROR(VLOOKUP(G39,キャラマスタ[],2,FALSE),"")</f>
        <v/>
      </c>
    </row>
    <row r="40" spans="1:9">
      <c r="A40" t="s">
        <v>727</v>
      </c>
      <c r="B40" s="6" t="str">
        <f>VLOOKUP(A40,キャラマスタ[],2,FALSE)</f>
        <v>ジャンゴ</v>
      </c>
      <c r="C40" t="s">
        <v>1003</v>
      </c>
      <c r="D40" s="6" t="str">
        <f>VLOOKUP(C40,技マスタ!$A$1:$J$605,2,FALSE)</f>
        <v>ワン・ツー・ジャンゴ</v>
      </c>
      <c r="E40">
        <v>4</v>
      </c>
      <c r="F40">
        <v>30</v>
      </c>
      <c r="G40" t="s">
        <v>411</v>
      </c>
      <c r="H40" s="6" t="str">
        <f>IFERROR(VLOOKUP(G40,キャラマスタ[],2,FALSE),"")</f>
        <v>モンキー・D・ルフィ</v>
      </c>
    </row>
    <row r="41" spans="1:9">
      <c r="A41" t="s">
        <v>819</v>
      </c>
      <c r="B41" s="6" t="str">
        <f>VLOOKUP(A41,キャラマスタ[],2,FALSE)</f>
        <v>シャム</v>
      </c>
      <c r="C41" t="s">
        <v>1007</v>
      </c>
      <c r="D41" s="6" t="str">
        <f>VLOOKUP(C41,技マスタ!$A$1:$J$605,2,FALSE)</f>
        <v>ネコババ</v>
      </c>
      <c r="E41">
        <v>4</v>
      </c>
      <c r="F41">
        <v>31</v>
      </c>
      <c r="G41" t="s">
        <v>308</v>
      </c>
      <c r="H41" s="6" t="str">
        <f>IFERROR(VLOOKUP(G41,キャラマスタ[],2,FALSE),"")</f>
        <v>ロロノア・ゾロ</v>
      </c>
    </row>
    <row r="42" spans="1:9">
      <c r="A42" t="s">
        <v>821</v>
      </c>
      <c r="B42" s="6" t="str">
        <f>VLOOKUP(A42,キャラマスタ[],2,FALSE)</f>
        <v>ブチ</v>
      </c>
      <c r="C42" t="s">
        <v>1008</v>
      </c>
      <c r="D42" s="6" t="str">
        <f>VLOOKUP(C42,技マスタ!$A$1:$J$605,2,FALSE)</f>
        <v>猫殺　キャット・ザ・フンジャッタ</v>
      </c>
      <c r="E42">
        <v>4</v>
      </c>
      <c r="F42">
        <v>32</v>
      </c>
      <c r="G42" t="s">
        <v>308</v>
      </c>
      <c r="H42" s="6" t="str">
        <f>IFERROR(VLOOKUP(G42,キャラマスタ[],2,FALSE),"")</f>
        <v>ロロノア・ゾロ</v>
      </c>
    </row>
    <row r="43" spans="1:9">
      <c r="A43" t="s">
        <v>819</v>
      </c>
      <c r="B43" s="6" t="str">
        <f>VLOOKUP(A43,キャラマスタ[],2,FALSE)</f>
        <v>シャム</v>
      </c>
      <c r="C43" t="s">
        <v>1009</v>
      </c>
      <c r="D43" s="6" t="str">
        <f>VLOOKUP(C43,技マスタ!$A$1:$J$605,2,FALSE)</f>
        <v>ネコ柳大行進</v>
      </c>
      <c r="E43">
        <v>4</v>
      </c>
      <c r="F43">
        <v>32</v>
      </c>
      <c r="G43" t="s">
        <v>308</v>
      </c>
      <c r="H43" s="6" t="str">
        <f>IFERROR(VLOOKUP(G43,キャラマスタ[],2,FALSE),"")</f>
        <v>ロロノア・ゾロ</v>
      </c>
    </row>
    <row r="44" spans="1:9">
      <c r="A44" t="s">
        <v>821</v>
      </c>
      <c r="B44" s="6" t="str">
        <f>VLOOKUP(A44,キャラマスタ[],2,FALSE)</f>
        <v>ブチ</v>
      </c>
      <c r="C44" t="s">
        <v>1009</v>
      </c>
      <c r="D44" s="6" t="str">
        <f>VLOOKUP(C44,技マスタ!$A$1:$J$605,2,FALSE)</f>
        <v>ネコ柳大行進</v>
      </c>
      <c r="E44">
        <v>4</v>
      </c>
      <c r="F44">
        <v>32</v>
      </c>
      <c r="G44" t="s">
        <v>308</v>
      </c>
      <c r="H44" s="6" t="str">
        <f>IFERROR(VLOOKUP(G44,キャラマスタ[],2,FALSE),"")</f>
        <v>ロロノア・ゾロ</v>
      </c>
    </row>
    <row r="45" spans="1:9">
      <c r="A45" t="s">
        <v>718</v>
      </c>
      <c r="B45" s="6" t="str">
        <f>VLOOKUP(A45,キャラマスタ[],2,FALSE)</f>
        <v>ウソップ</v>
      </c>
      <c r="C45" t="s">
        <v>1005</v>
      </c>
      <c r="D45" s="6" t="str">
        <f>VLOOKUP(C45,技マスタ!$A$1:$J$605,2,FALSE)</f>
        <v>鉛星</v>
      </c>
      <c r="E45">
        <v>4</v>
      </c>
      <c r="F45">
        <v>32</v>
      </c>
      <c r="G45" t="s">
        <v>821</v>
      </c>
      <c r="H45" s="6" t="str">
        <f>IFERROR(VLOOKUP(G45,キャラマスタ[],2,FALSE),"")</f>
        <v>ブチ</v>
      </c>
    </row>
    <row r="46" spans="1:9">
      <c r="A46" t="s">
        <v>723</v>
      </c>
      <c r="B46" s="6" t="str">
        <f>VLOOKUP(A46,キャラマスタ[],2,FALSE)</f>
        <v>クロ</v>
      </c>
      <c r="C46" t="s">
        <v>1010</v>
      </c>
      <c r="D46" s="6" t="str">
        <f>VLOOKUP(C46,技マスタ!$A$1:$J$605,2,FALSE)</f>
        <v>抜き足</v>
      </c>
      <c r="E46">
        <v>4</v>
      </c>
      <c r="F46">
        <v>33</v>
      </c>
      <c r="G46" t="s">
        <v>819</v>
      </c>
      <c r="H46" s="6" t="str">
        <f>IFERROR(VLOOKUP(G46,キャラマスタ[],2,FALSE),"")</f>
        <v>シャム</v>
      </c>
    </row>
    <row r="47" spans="1:9">
      <c r="A47" t="s">
        <v>723</v>
      </c>
      <c r="B47" s="6" t="str">
        <f>VLOOKUP(A47,キャラマスタ[],2,FALSE)</f>
        <v>クロ</v>
      </c>
      <c r="C47" t="s">
        <v>1010</v>
      </c>
      <c r="D47" s="6" t="str">
        <f>VLOOKUP(C47,技マスタ!$A$1:$J$605,2,FALSE)</f>
        <v>抜き足</v>
      </c>
      <c r="E47">
        <v>4</v>
      </c>
      <c r="F47">
        <v>33</v>
      </c>
      <c r="G47" t="s">
        <v>821</v>
      </c>
      <c r="H47" s="6" t="str">
        <f>IFERROR(VLOOKUP(G47,キャラマスタ[],2,FALSE),"")</f>
        <v>ブチ</v>
      </c>
    </row>
    <row r="48" spans="1:9">
      <c r="A48" t="s">
        <v>308</v>
      </c>
      <c r="B48" s="6" t="str">
        <f>VLOOKUP(A48,キャラマスタ[],2,FALSE)</f>
        <v>ロロノア・ゾロ</v>
      </c>
      <c r="C48" t="s">
        <v>1011</v>
      </c>
      <c r="D48" s="6" t="str">
        <f>VLOOKUP(C48,技マスタ!$A$1:$J$605,2,FALSE)</f>
        <v>虎狩り</v>
      </c>
      <c r="E48">
        <v>4</v>
      </c>
      <c r="F48">
        <v>33</v>
      </c>
      <c r="G48" t="s">
        <v>819</v>
      </c>
      <c r="H48" s="6" t="str">
        <f>IFERROR(VLOOKUP(G48,キャラマスタ[],2,FALSE),"")</f>
        <v>シャム</v>
      </c>
      <c r="I48">
        <v>1</v>
      </c>
    </row>
    <row r="49" spans="1:9">
      <c r="A49" t="s">
        <v>308</v>
      </c>
      <c r="B49" s="6" t="str">
        <f>VLOOKUP(A49,キャラマスタ[],2,FALSE)</f>
        <v>ロロノア・ゾロ</v>
      </c>
      <c r="C49" t="s">
        <v>1011</v>
      </c>
      <c r="D49" s="6" t="str">
        <f>VLOOKUP(C49,技マスタ!$A$1:$J$605,2,FALSE)</f>
        <v>虎狩り</v>
      </c>
      <c r="E49">
        <v>4</v>
      </c>
      <c r="F49">
        <v>33</v>
      </c>
      <c r="G49" t="s">
        <v>821</v>
      </c>
      <c r="H49" s="6" t="str">
        <f>IFERROR(VLOOKUP(G49,キャラマスタ[],2,FALSE),"")</f>
        <v>ブチ</v>
      </c>
    </row>
    <row r="50" spans="1:9">
      <c r="A50" t="s">
        <v>821</v>
      </c>
      <c r="B50" s="6" t="str">
        <f>VLOOKUP(A50,キャラマスタ[],2,FALSE)</f>
        <v>ブチ</v>
      </c>
      <c r="C50" t="s">
        <v>1008</v>
      </c>
      <c r="D50" s="6" t="str">
        <f>VLOOKUP(C50,技マスタ!$A$1:$J$605,2,FALSE)</f>
        <v>猫殺　キャット・ザ・フンジャッタ</v>
      </c>
      <c r="E50">
        <v>4</v>
      </c>
      <c r="F50">
        <v>35</v>
      </c>
      <c r="G50" t="s">
        <v>308</v>
      </c>
      <c r="H50" s="6" t="str">
        <f>IFERROR(VLOOKUP(G50,キャラマスタ[],2,FALSE),"")</f>
        <v>ロロノア・ゾロ</v>
      </c>
    </row>
    <row r="51" spans="1:9">
      <c r="A51" t="s">
        <v>718</v>
      </c>
      <c r="B51" s="6" t="str">
        <f>VLOOKUP(A51,キャラマスタ[],2,FALSE)</f>
        <v>ウソップ</v>
      </c>
      <c r="C51" t="s">
        <v>1005</v>
      </c>
      <c r="D51" s="6" t="str">
        <f>VLOOKUP(C51,技マスタ!$A$1:$J$605,2,FALSE)</f>
        <v>鉛星</v>
      </c>
      <c r="E51">
        <v>4</v>
      </c>
      <c r="F51">
        <v>35</v>
      </c>
      <c r="G51" t="s">
        <v>727</v>
      </c>
      <c r="H51" s="6" t="str">
        <f>IFERROR(VLOOKUP(G51,キャラマスタ[],2,FALSE),"")</f>
        <v>ジャンゴ</v>
      </c>
    </row>
    <row r="52" spans="1:9">
      <c r="A52" t="s">
        <v>411</v>
      </c>
      <c r="B52" s="6" t="str">
        <f>VLOOKUP(A52,キャラマスタ[],2,FALSE)</f>
        <v>モンキー・D・ルフィ</v>
      </c>
      <c r="C52" t="s">
        <v>1012</v>
      </c>
      <c r="D52" s="6" t="str">
        <f>VLOOKUP(C52,技マスタ!$A$1:$J$605,2,FALSE)</f>
        <v>ゴムゴムの槍（ヤリ）</v>
      </c>
      <c r="E52">
        <v>5</v>
      </c>
      <c r="F52">
        <v>36</v>
      </c>
      <c r="G52" t="s">
        <v>723</v>
      </c>
      <c r="H52" s="6" t="str">
        <f>IFERROR(VLOOKUP(G52,キャラマスタ[],2,FALSE),"")</f>
        <v>クロ</v>
      </c>
    </row>
    <row r="53" spans="1:9">
      <c r="A53" t="s">
        <v>411</v>
      </c>
      <c r="B53" s="6" t="str">
        <f>VLOOKUP(A53,キャラマスタ[],2,FALSE)</f>
        <v>モンキー・D・ルフィ</v>
      </c>
      <c r="C53" t="s">
        <v>984</v>
      </c>
      <c r="D53" s="6" t="str">
        <f>VLOOKUP(C53,技マスタ!$A$1:$J$605,2,FALSE)</f>
        <v>ゴムゴムの鞭（ムチ）</v>
      </c>
      <c r="E53">
        <v>5</v>
      </c>
      <c r="F53">
        <v>37</v>
      </c>
      <c r="G53" t="s">
        <v>723</v>
      </c>
      <c r="H53" s="6" t="str">
        <f>IFERROR(VLOOKUP(G53,キャラマスタ[],2,FALSE),"")</f>
        <v>クロ</v>
      </c>
    </row>
    <row r="54" spans="1:9">
      <c r="A54" t="s">
        <v>411</v>
      </c>
      <c r="B54" s="6" t="str">
        <f>VLOOKUP(A54,キャラマスタ[],2,FALSE)</f>
        <v>モンキー・D・ルフィ</v>
      </c>
      <c r="C54" t="s">
        <v>418</v>
      </c>
      <c r="D54" s="6" t="str">
        <f>VLOOKUP(C54,技マスタ!$A$1:$J$605,2,FALSE)</f>
        <v>ゴムゴムの銃（ピストル）</v>
      </c>
      <c r="E54">
        <v>5</v>
      </c>
      <c r="F54">
        <v>37</v>
      </c>
      <c r="G54" t="s">
        <v>723</v>
      </c>
      <c r="H54" s="6" t="str">
        <f>IFERROR(VLOOKUP(G54,キャラマスタ[],2,FALSE),"")</f>
        <v>クロ</v>
      </c>
    </row>
    <row r="55" spans="1:9">
      <c r="A55" t="s">
        <v>722</v>
      </c>
      <c r="B55" s="6" t="str">
        <f>VLOOKUP(A55,キャラマスタ[],2,FALSE)</f>
        <v>たまねぎ</v>
      </c>
      <c r="C55" t="s">
        <v>864</v>
      </c>
      <c r="D55" s="6" t="str">
        <f>VLOOKUP(C55,技マスタ!$A$1:$J$605,2,FALSE)</f>
        <v>コショー目つぶし</v>
      </c>
      <c r="E55">
        <v>5</v>
      </c>
      <c r="F55">
        <v>38</v>
      </c>
      <c r="G55" t="s">
        <v>727</v>
      </c>
      <c r="H55" s="6" t="str">
        <f>IFERROR(VLOOKUP(G55,キャラマスタ[],2,FALSE),"")</f>
        <v>ジャンゴ</v>
      </c>
    </row>
    <row r="56" spans="1:9">
      <c r="A56" t="s">
        <v>723</v>
      </c>
      <c r="B56" s="6" t="str">
        <f>VLOOKUP(A56,キャラマスタ[],2,FALSE)</f>
        <v>クロ</v>
      </c>
      <c r="C56" t="s">
        <v>971</v>
      </c>
      <c r="D56" s="6" t="str">
        <f>VLOOKUP(C56,技マスタ!$A$1:$J$605,2,FALSE)</f>
        <v>杓死</v>
      </c>
      <c r="E56">
        <v>5</v>
      </c>
      <c r="F56">
        <v>38</v>
      </c>
      <c r="G56" t="s">
        <v>411</v>
      </c>
      <c r="H56" s="6" t="str">
        <f>IFERROR(VLOOKUP(G56,キャラマスタ[],2,FALSE),"")</f>
        <v>モンキー・D・ルフィ</v>
      </c>
    </row>
    <row r="57" spans="1:9">
      <c r="A57" t="s">
        <v>718</v>
      </c>
      <c r="B57" s="6" t="str">
        <f>VLOOKUP(A57,キャラマスタ[],2,FALSE)</f>
        <v>ウソップ</v>
      </c>
      <c r="C57" t="s">
        <v>972</v>
      </c>
      <c r="D57" s="6" t="str">
        <f>VLOOKUP(C57,技マスタ!$A$1:$J$605,2,FALSE)</f>
        <v>火薬星</v>
      </c>
      <c r="E57">
        <v>5</v>
      </c>
      <c r="F57">
        <v>39</v>
      </c>
      <c r="G57" t="s">
        <v>727</v>
      </c>
      <c r="H57" s="6" t="str">
        <f>IFERROR(VLOOKUP(G57,キャラマスタ[],2,FALSE),"")</f>
        <v>ジャンゴ</v>
      </c>
      <c r="I57">
        <v>1</v>
      </c>
    </row>
    <row r="58" spans="1:9">
      <c r="A58" t="s">
        <v>288</v>
      </c>
      <c r="B58" s="6" t="str">
        <f>VLOOKUP(A58,キャラマスタ[],2,FALSE)</f>
        <v>モンキー・D・ルフィ</v>
      </c>
      <c r="C58" t="s">
        <v>973</v>
      </c>
      <c r="D58" s="6" t="str">
        <f>VLOOKUP(C58,技マスタ!$A$1:$J$605,2,FALSE)</f>
        <v>ゴムゴムの鐘（カネ）</v>
      </c>
      <c r="E58">
        <v>5</v>
      </c>
      <c r="F58">
        <v>39</v>
      </c>
      <c r="G58" t="s">
        <v>723</v>
      </c>
      <c r="H58" s="6" t="str">
        <f>IFERROR(VLOOKUP(G58,キャラマスタ[],2,FALSE),"")</f>
        <v>クロ</v>
      </c>
      <c r="I58">
        <v>1</v>
      </c>
    </row>
    <row r="59" spans="1:9">
      <c r="A59" t="s">
        <v>288</v>
      </c>
      <c r="B59" s="6" t="str">
        <f>VLOOKUP(A59,キャラマスタ[],2,FALSE)</f>
        <v>モンキー・D・ルフィ</v>
      </c>
      <c r="C59" t="s">
        <v>628</v>
      </c>
      <c r="D59" s="6" t="str">
        <f>VLOOKUP(C59,技マスタ!$A$1:$J$605,2,FALSE)</f>
        <v>ゴムゴムの風船</v>
      </c>
      <c r="E59">
        <v>5</v>
      </c>
      <c r="F59">
        <v>43</v>
      </c>
      <c r="H59" s="6" t="str">
        <f>IFERROR(VLOOKUP(G59,キャラマスタ[],2,FALSE),"")</f>
        <v/>
      </c>
    </row>
    <row r="60" spans="1:9">
      <c r="A60" t="s">
        <v>1086</v>
      </c>
      <c r="B60" s="6" t="str">
        <f>VLOOKUP(A60,キャラマスタ[],2,FALSE)</f>
        <v>ゼフ</v>
      </c>
      <c r="C60" t="s">
        <v>974</v>
      </c>
      <c r="D60" s="6" t="str">
        <f>VLOOKUP(C60,技マスタ!$A$1:$J$605,2,FALSE)</f>
        <v>料理長義足キック</v>
      </c>
      <c r="E60">
        <v>5</v>
      </c>
      <c r="F60">
        <v>44</v>
      </c>
      <c r="G60" t="s">
        <v>411</v>
      </c>
      <c r="H60" s="6" t="str">
        <f>IFERROR(VLOOKUP(G60,キャラマスタ[],2,FALSE),"")</f>
        <v>モンキー・D・ルフィ</v>
      </c>
    </row>
    <row r="61" spans="1:9">
      <c r="A61" t="s">
        <v>1086</v>
      </c>
      <c r="B61" s="6" t="str">
        <f>VLOOKUP(A61,キャラマスタ[],2,FALSE)</f>
        <v>ゼフ</v>
      </c>
      <c r="C61" t="s">
        <v>975</v>
      </c>
      <c r="D61" s="6" t="str">
        <f>VLOOKUP(C61,技マスタ!$A$1:$J$605,2,FALSE)</f>
        <v>料理長ドロップ</v>
      </c>
      <c r="E61">
        <v>5</v>
      </c>
      <c r="F61">
        <v>44</v>
      </c>
      <c r="G61" t="s">
        <v>411</v>
      </c>
      <c r="H61" s="6" t="str">
        <f>IFERROR(VLOOKUP(G61,キャラマスタ[],2,FALSE),"")</f>
        <v>モンキー・D・ルフィ</v>
      </c>
    </row>
    <row r="62" spans="1:9">
      <c r="A62" t="s">
        <v>1167</v>
      </c>
      <c r="B62" s="6" t="str">
        <f>VLOOKUP(A62,キャラマスタ[],2,FALSE)</f>
        <v>パティ</v>
      </c>
      <c r="C62" t="s">
        <v>1168</v>
      </c>
      <c r="D62" s="6" t="str">
        <f>VLOOKUP(C62,技マスタ!$A$1:$J$605,2,FALSE)</f>
        <v>食あたり砲弾（ミートボール）</v>
      </c>
      <c r="E62">
        <v>6</v>
      </c>
      <c r="F62">
        <v>47</v>
      </c>
      <c r="G62" t="s">
        <v>1099</v>
      </c>
      <c r="H62" s="6" t="str">
        <f>IFERROR(VLOOKUP(G62,キャラマスタ[],2,FALSE),"")</f>
        <v>クリーク</v>
      </c>
    </row>
    <row r="63" spans="1:9">
      <c r="A63" t="s">
        <v>308</v>
      </c>
      <c r="B63" s="6" t="str">
        <f>VLOOKUP(A63,キャラマスタ[],2,FALSE)</f>
        <v>ロロノア・ゾロ</v>
      </c>
      <c r="C63" t="s">
        <v>636</v>
      </c>
      <c r="D63" s="6" t="str">
        <f>VLOOKUP(C63,技マスタ!$A$1:$J$605,2,FALSE)</f>
        <v>鬼斬り</v>
      </c>
      <c r="E63">
        <v>6</v>
      </c>
      <c r="F63">
        <v>51</v>
      </c>
      <c r="G63" t="s">
        <v>1169</v>
      </c>
      <c r="H63" s="6" t="str">
        <f>IFERROR(VLOOKUP(G63,キャラマスタ[],2,FALSE),"")</f>
        <v>ジュラキュール・ミホーク</v>
      </c>
    </row>
    <row r="64" spans="1:9">
      <c r="A64" t="s">
        <v>308</v>
      </c>
      <c r="B64" s="6" t="str">
        <f>VLOOKUP(A64,キャラマスタ[],2,FALSE)</f>
        <v>ロロノア・ゾロ</v>
      </c>
      <c r="C64" t="s">
        <v>862</v>
      </c>
      <c r="D64" s="6" t="str">
        <f>VLOOKUP(C64,技マスタ!$A$1:$J$605,2,FALSE)</f>
        <v>虎狩り</v>
      </c>
      <c r="E64">
        <v>6</v>
      </c>
      <c r="F64">
        <v>51</v>
      </c>
      <c r="G64" t="s">
        <v>1169</v>
      </c>
      <c r="H64" s="6" t="str">
        <f>IFERROR(VLOOKUP(G64,キャラマスタ[],2,FALSE),"")</f>
        <v>ジュラキュール・ミホーク</v>
      </c>
    </row>
    <row r="65" spans="1:8">
      <c r="A65" t="s">
        <v>308</v>
      </c>
      <c r="B65" s="6" t="str">
        <f>VLOOKUP(A65,キャラマスタ[],2,FALSE)</f>
        <v>ロロノア・ゾロ</v>
      </c>
      <c r="C65" t="s">
        <v>977</v>
      </c>
      <c r="D65" s="6" t="str">
        <f>VLOOKUP(C65,技マスタ!$A$1:$J$605,2,FALSE)</f>
        <v>三刀流奥義　三・千・世・界</v>
      </c>
      <c r="E65">
        <v>6</v>
      </c>
      <c r="F65">
        <v>51</v>
      </c>
      <c r="G65" t="s">
        <v>1169</v>
      </c>
      <c r="H65" s="6" t="str">
        <f>IFERROR(VLOOKUP(G65,キャラマスタ[],2,FALSE),"")</f>
        <v>ジュラキュール・ミホーク</v>
      </c>
    </row>
    <row r="66" spans="1:8">
      <c r="A66" t="s">
        <v>288</v>
      </c>
      <c r="B66" s="6" t="str">
        <f>VLOOKUP(A66,キャラマスタ[],2,FALSE)</f>
        <v>モンキー・D・ルフィ</v>
      </c>
      <c r="C66" t="s">
        <v>983</v>
      </c>
      <c r="D66" s="6" t="str">
        <f>VLOOKUP(C66,技マスタ!$A$1:$J$605,2,FALSE)</f>
        <v>ゴムゴムのロケット</v>
      </c>
      <c r="E66">
        <v>6</v>
      </c>
      <c r="F66">
        <v>53</v>
      </c>
      <c r="H66" s="6" t="str">
        <f>IFERROR(VLOOKUP(G66,キャラマスタ[],2,FALSE),"")</f>
        <v/>
      </c>
    </row>
    <row r="67" spans="1:8">
      <c r="A67" t="s">
        <v>288</v>
      </c>
      <c r="B67" s="6" t="str">
        <f>VLOOKUP(A67,キャラマスタ[],2,FALSE)</f>
        <v>モンキー・D・ルフィ</v>
      </c>
      <c r="C67" t="s">
        <v>1160</v>
      </c>
      <c r="D67" s="6" t="str">
        <f>VLOOKUP(C67,技マスタ!$A$1:$J$605,2,FALSE)</f>
        <v>ゴムゴムの大鎌</v>
      </c>
      <c r="E67">
        <v>6</v>
      </c>
      <c r="F67">
        <v>53</v>
      </c>
      <c r="H67" s="6" t="str">
        <f>IFERROR(VLOOKUP(G67,キャラマスタ[],2,FALSE),"")</f>
        <v/>
      </c>
    </row>
    <row r="68" spans="1:8">
      <c r="A68" t="s">
        <v>1236</v>
      </c>
      <c r="B68" s="6" t="str">
        <f>VLOOKUP(A68,キャラマスタ[],2,FALSE)</f>
        <v>パール</v>
      </c>
      <c r="C68" t="s">
        <v>1161</v>
      </c>
      <c r="D68" s="6" t="str">
        <f>VLOOKUP(C68,技マスタ!$A$1:$J$605,2,FALSE)</f>
        <v>ファイヤーパール大特典</v>
      </c>
      <c r="E68">
        <v>7</v>
      </c>
      <c r="F68">
        <v>55</v>
      </c>
      <c r="G68" t="s">
        <v>288</v>
      </c>
      <c r="H68" s="6" t="str">
        <f>IFERROR(VLOOKUP(G68,キャラマスタ[],2,FALSE),"")</f>
        <v>モンキー・D・ルフィ</v>
      </c>
    </row>
    <row r="69" spans="1:8">
      <c r="A69" t="s">
        <v>1236</v>
      </c>
      <c r="B69" s="6" t="str">
        <f>VLOOKUP(A69,キャラマスタ[],2,FALSE)</f>
        <v>パール</v>
      </c>
      <c r="C69" t="s">
        <v>1162</v>
      </c>
      <c r="D69" s="6" t="str">
        <f>VLOOKUP(C69,技マスタ!$A$1:$J$605,2,FALSE)</f>
        <v>ファイヤーパールプレゼント</v>
      </c>
      <c r="E69">
        <v>7</v>
      </c>
      <c r="F69">
        <v>55</v>
      </c>
      <c r="G69" t="s">
        <v>1090</v>
      </c>
      <c r="H69" s="6" t="str">
        <f>IFERROR(VLOOKUP(G69,キャラマスタ[],2,FALSE),"")</f>
        <v>サンジ</v>
      </c>
    </row>
    <row r="70" spans="1:8">
      <c r="A70" t="s">
        <v>288</v>
      </c>
      <c r="B70" s="6" t="str">
        <f>VLOOKUP(A70,キャラマスタ[],2,FALSE)</f>
        <v>モンキー・D・ルフィ</v>
      </c>
      <c r="C70" t="s">
        <v>766</v>
      </c>
      <c r="D70" s="6" t="str">
        <f>VLOOKUP(C70,技マスタ!$A$1:$J$605,2,FALSE)</f>
        <v>ゴムゴムのバズーカ</v>
      </c>
      <c r="E70">
        <v>7</v>
      </c>
      <c r="F70">
        <v>55</v>
      </c>
      <c r="H70" s="6" t="str">
        <f>IFERROR(VLOOKUP(G70,キャラマスタ[],2,FALSE),"")</f>
        <v/>
      </c>
    </row>
    <row r="71" spans="1:8">
      <c r="A71" t="s">
        <v>1236</v>
      </c>
      <c r="B71" s="6" t="str">
        <f>VLOOKUP(A71,キャラマスタ[],2,FALSE)</f>
        <v>パール</v>
      </c>
      <c r="C71" t="s">
        <v>1163</v>
      </c>
      <c r="D71" s="6" t="str">
        <f>VLOOKUP(C71,技マスタ!$A$1:$J$605,2,FALSE)</f>
        <v>超天然パールプレゼント</v>
      </c>
      <c r="E71">
        <v>7</v>
      </c>
      <c r="F71">
        <v>56</v>
      </c>
      <c r="G71" t="s">
        <v>1090</v>
      </c>
      <c r="H71" s="6" t="str">
        <f>IFERROR(VLOOKUP(G71,キャラマスタ[],2,FALSE),"")</f>
        <v>サンジ</v>
      </c>
    </row>
    <row r="72" spans="1:8">
      <c r="A72" t="s">
        <v>1236</v>
      </c>
      <c r="B72" s="6" t="str">
        <f>VLOOKUP(A72,キャラマスタ[],2,FALSE)</f>
        <v>パール</v>
      </c>
      <c r="C72" t="s">
        <v>1164</v>
      </c>
      <c r="D72" s="6" t="str">
        <f>VLOOKUP(C72,技マスタ!$A$1:$J$605,2,FALSE)</f>
        <v>パールクローズ</v>
      </c>
      <c r="E72">
        <v>7</v>
      </c>
      <c r="F72">
        <v>56</v>
      </c>
      <c r="G72" t="s">
        <v>1090</v>
      </c>
      <c r="H72" s="6" t="str">
        <f>IFERROR(VLOOKUP(G72,キャラマスタ[],2,FALSE),"")</f>
        <v>サンジ</v>
      </c>
    </row>
    <row r="73" spans="1:8">
      <c r="A73" t="s">
        <v>1236</v>
      </c>
      <c r="B73" s="6" t="str">
        <f>VLOOKUP(A73,キャラマスタ[],2,FALSE)</f>
        <v>パール</v>
      </c>
      <c r="C73" t="s">
        <v>1165</v>
      </c>
      <c r="D73" s="6" t="str">
        <f>VLOOKUP(C73,技マスタ!$A$1:$J$605,2,FALSE)</f>
        <v>サービスパールイブシギンプレゼント</v>
      </c>
      <c r="E73">
        <v>7</v>
      </c>
      <c r="F73">
        <v>56</v>
      </c>
      <c r="G73" t="s">
        <v>1090</v>
      </c>
      <c r="H73" s="6" t="str">
        <f>IFERROR(VLOOKUP(G73,キャラマスタ[],2,FALSE),"")</f>
        <v>サンジ</v>
      </c>
    </row>
    <row r="74" spans="1:8">
      <c r="A74" t="s">
        <v>1236</v>
      </c>
      <c r="B74" s="6" t="str">
        <f>VLOOKUP(A74,キャラマスタ[],2,FALSE)</f>
        <v>パール</v>
      </c>
      <c r="C74" t="s">
        <v>1261</v>
      </c>
      <c r="D74" s="6" t="str">
        <f>VLOOKUP(C74,技マスタ!$A$1:$J$605,2,FALSE)</f>
        <v>ダメ押しパールプレゼント</v>
      </c>
      <c r="E74">
        <v>7</v>
      </c>
      <c r="F74">
        <v>59</v>
      </c>
      <c r="G74" t="s">
        <v>1090</v>
      </c>
      <c r="H74" s="6" t="str">
        <f>IFERROR(VLOOKUP(G74,キャラマスタ[],2,FALSE),"")</f>
        <v>サンジ</v>
      </c>
    </row>
    <row r="75" spans="1:8">
      <c r="A75" t="s">
        <v>288</v>
      </c>
      <c r="B75" s="6" t="str">
        <f>VLOOKUP(A75,キャラマスタ[],2,FALSE)</f>
        <v>モンキー・D・ルフィ</v>
      </c>
      <c r="C75" t="s">
        <v>1262</v>
      </c>
      <c r="D75" s="6" t="str">
        <f>VLOOKUP(C75,技マスタ!$A$1:$J$605,2,FALSE)</f>
        <v>ゴムゴムの戦斧（オノ）</v>
      </c>
      <c r="E75">
        <v>7</v>
      </c>
      <c r="F75">
        <v>59</v>
      </c>
      <c r="H75" s="6" t="str">
        <f>IFERROR(VLOOKUP(G75,キャラマスタ[],2,FALSE),"")</f>
        <v/>
      </c>
    </row>
    <row r="76" spans="1:8">
      <c r="A76" t="s">
        <v>1099</v>
      </c>
      <c r="B76" s="6" t="str">
        <f>VLOOKUP(A76,キャラマスタ[],2,FALSE)</f>
        <v>クリーク</v>
      </c>
      <c r="C76" t="s">
        <v>1263</v>
      </c>
      <c r="D76" s="6" t="str">
        <f>VLOOKUP(C76,技マスタ!$A$1:$J$605,2,FALSE)</f>
        <v>炸裂手裏剣</v>
      </c>
      <c r="E76">
        <v>7</v>
      </c>
      <c r="F76">
        <v>60</v>
      </c>
      <c r="G76" t="s">
        <v>288</v>
      </c>
      <c r="H76" s="6" t="str">
        <f>IFERROR(VLOOKUP(G76,キャラマスタ[],2,FALSE),"")</f>
        <v>モンキー・D・ルフィ</v>
      </c>
    </row>
    <row r="77" spans="1:8">
      <c r="A77" t="s">
        <v>1099</v>
      </c>
      <c r="B77" s="6" t="str">
        <f>VLOOKUP(A77,キャラマスタ[],2,FALSE)</f>
        <v>クリーク</v>
      </c>
      <c r="C77" t="s">
        <v>1264</v>
      </c>
      <c r="D77" s="6" t="str">
        <f>VLOOKUP(C77,技マスタ!$A$1:$J$605,2,FALSE)</f>
        <v>M・H・５</v>
      </c>
      <c r="E77">
        <v>7</v>
      </c>
      <c r="F77">
        <v>62</v>
      </c>
      <c r="G77" t="s">
        <v>288</v>
      </c>
      <c r="H77" s="6" t="str">
        <f>IFERROR(VLOOKUP(G77,キャラマスタ[],2,FALSE),"")</f>
        <v>モンキー・D・ルフィ</v>
      </c>
    </row>
    <row r="78" spans="1:8">
      <c r="A78" t="s">
        <v>1099</v>
      </c>
      <c r="B78" s="6" t="str">
        <f>VLOOKUP(A78,キャラマスタ[],2,FALSE)</f>
        <v>クリーク</v>
      </c>
      <c r="C78" t="s">
        <v>1265</v>
      </c>
      <c r="D78" s="6" t="str">
        <f>VLOOKUP(C78,技マスタ!$A$1:$J$605,2,FALSE)</f>
        <v>剣山マント</v>
      </c>
      <c r="E78">
        <v>8</v>
      </c>
      <c r="F78">
        <v>63</v>
      </c>
      <c r="G78" t="s">
        <v>288</v>
      </c>
      <c r="H78" s="6" t="str">
        <f>IFERROR(VLOOKUP(G78,キャラマスタ[],2,FALSE),"")</f>
        <v>モンキー・D・ルフィ</v>
      </c>
    </row>
    <row r="79" spans="1:8">
      <c r="A79" t="s">
        <v>288</v>
      </c>
      <c r="B79" s="6" t="str">
        <f>VLOOKUP(A79,キャラマスタ[],2,FALSE)</f>
        <v>モンキー・D・ルフィ</v>
      </c>
      <c r="C79" t="s">
        <v>1347</v>
      </c>
      <c r="D79" s="6" t="str">
        <f>VLOOKUP(C79,技マスタ!$A$1:$J$605,2,FALSE)</f>
        <v>ゴムゴムの銃弾（ブレット）</v>
      </c>
      <c r="E79">
        <v>8</v>
      </c>
      <c r="F79">
        <v>63</v>
      </c>
      <c r="G79" t="s">
        <v>1099</v>
      </c>
      <c r="H79" s="6" t="str">
        <f>IFERROR(VLOOKUP(G79,キャラマスタ[],2,FALSE),"")</f>
        <v>クリーク</v>
      </c>
    </row>
    <row r="80" spans="1:8">
      <c r="A80" t="s">
        <v>1099</v>
      </c>
      <c r="B80" s="6" t="str">
        <f>VLOOKUP(A80,キャラマスタ[],2,FALSE)</f>
        <v>クリーク</v>
      </c>
      <c r="C80" t="s">
        <v>1348</v>
      </c>
      <c r="D80" s="6" t="str">
        <f>VLOOKUP(C80,技マスタ!$A$1:$J$605,2,FALSE)</f>
        <v>大戦槍</v>
      </c>
      <c r="E80">
        <v>8</v>
      </c>
      <c r="F80">
        <v>64</v>
      </c>
      <c r="G80" t="s">
        <v>288</v>
      </c>
      <c r="H80" s="6" t="str">
        <f>IFERROR(VLOOKUP(G80,キャラマスタ[],2,FALSE),"")</f>
        <v>モンキー・D・ルフィ</v>
      </c>
    </row>
    <row r="81" spans="1:9">
      <c r="A81" t="s">
        <v>288</v>
      </c>
      <c r="B81" s="6" t="str">
        <f>VLOOKUP(A81,キャラマスタ[],2,FALSE)</f>
        <v>モンキー・D・ルフィ</v>
      </c>
      <c r="C81" t="s">
        <v>851</v>
      </c>
      <c r="D81" s="6" t="str">
        <f>VLOOKUP(C81,技マスタ!$A$1:$J$605,2,FALSE)</f>
        <v>ゴムゴムの銃乱打（ガトリング）</v>
      </c>
      <c r="E81">
        <v>8</v>
      </c>
      <c r="F81">
        <v>65</v>
      </c>
      <c r="G81" t="s">
        <v>1099</v>
      </c>
      <c r="H81" s="6" t="str">
        <f>IFERROR(VLOOKUP(G81,キャラマスタ[],2,FALSE),"")</f>
        <v>クリーク</v>
      </c>
    </row>
    <row r="82" spans="1:9">
      <c r="A82" t="s">
        <v>288</v>
      </c>
      <c r="B82" s="6" t="str">
        <f>VLOOKUP(A82,キャラマスタ[],2,FALSE)</f>
        <v>モンキー・D・ルフィ</v>
      </c>
      <c r="C82" t="s">
        <v>1347</v>
      </c>
      <c r="D82" s="6" t="str">
        <f>VLOOKUP(C82,技マスタ!$A$1:$J$605,2,FALSE)</f>
        <v>ゴムゴムの銃弾（ブレット）</v>
      </c>
      <c r="E82">
        <v>8</v>
      </c>
      <c r="F82">
        <v>65</v>
      </c>
      <c r="G82" t="s">
        <v>1099</v>
      </c>
      <c r="H82" s="6" t="str">
        <f>IFERROR(VLOOKUP(G82,キャラマスタ[],2,FALSE),"")</f>
        <v>クリーク</v>
      </c>
    </row>
    <row r="83" spans="1:9">
      <c r="A83" t="s">
        <v>288</v>
      </c>
      <c r="B83" s="6" t="str">
        <f>VLOOKUP(A83,キャラマスタ[],2,FALSE)</f>
        <v>モンキー・D・ルフィ</v>
      </c>
      <c r="C83" t="s">
        <v>766</v>
      </c>
      <c r="D83" s="6" t="str">
        <f>VLOOKUP(C83,技マスタ!$A$1:$J$605,2,FALSE)</f>
        <v>ゴムゴムのバズーカ</v>
      </c>
      <c r="E83">
        <v>8</v>
      </c>
      <c r="F83">
        <v>65</v>
      </c>
      <c r="G83" t="s">
        <v>1099</v>
      </c>
      <c r="H83" s="6" t="str">
        <f>IFERROR(VLOOKUP(G83,キャラマスタ[],2,FALSE),"")</f>
        <v>クリーク</v>
      </c>
    </row>
    <row r="84" spans="1:9">
      <c r="A84" t="s">
        <v>288</v>
      </c>
      <c r="B84" s="6" t="str">
        <f>VLOOKUP(A84,キャラマスタ[],2,FALSE)</f>
        <v>モンキー・D・ルフィ</v>
      </c>
      <c r="C84" t="s">
        <v>766</v>
      </c>
      <c r="D84" s="6" t="str">
        <f>VLOOKUP(C84,技マスタ!$A$1:$J$605,2,FALSE)</f>
        <v>ゴムゴムのバズーカ</v>
      </c>
      <c r="E84">
        <v>8</v>
      </c>
      <c r="F84">
        <v>65</v>
      </c>
      <c r="G84" t="s">
        <v>1099</v>
      </c>
      <c r="H84" s="6" t="str">
        <f>IFERROR(VLOOKUP(G84,キャラマスタ[],2,FALSE),"")</f>
        <v>クリーク</v>
      </c>
    </row>
    <row r="85" spans="1:9">
      <c r="A85" t="s">
        <v>288</v>
      </c>
      <c r="B85" s="6" t="str">
        <f>VLOOKUP(A85,キャラマスタ[],2,FALSE)</f>
        <v>モンキー・D・ルフィ</v>
      </c>
      <c r="C85" t="s">
        <v>1349</v>
      </c>
      <c r="D85" s="6" t="str">
        <f>VLOOKUP(C85,技マスタ!$A$1:$J$605,2,FALSE)</f>
        <v>ゴムゴムの大槌（オオヅチ）</v>
      </c>
      <c r="E85">
        <v>8</v>
      </c>
      <c r="F85">
        <v>66</v>
      </c>
      <c r="G85" t="s">
        <v>1099</v>
      </c>
      <c r="H85" s="6" t="str">
        <f>IFERROR(VLOOKUP(G85,キャラマスタ[],2,FALSE),"")</f>
        <v>クリーク</v>
      </c>
      <c r="I85">
        <v>1</v>
      </c>
    </row>
    <row r="86" spans="1:9">
      <c r="A86" t="s">
        <v>718</v>
      </c>
      <c r="B86" s="6" t="str">
        <f>VLOOKUP(A86,キャラマスタ[],2,FALSE)</f>
        <v>ウソップ</v>
      </c>
      <c r="C86" t="s">
        <v>972</v>
      </c>
      <c r="D86" s="6" t="str">
        <f>VLOOKUP(C86,技マスタ!$A$1:$J$605,2,FALSE)</f>
        <v>火薬星</v>
      </c>
      <c r="E86">
        <v>9</v>
      </c>
      <c r="F86">
        <v>72</v>
      </c>
      <c r="G86" t="s">
        <v>1506</v>
      </c>
      <c r="H86" s="6" t="str">
        <f>IFERROR(VLOOKUP(G86,キャラマスタ[],2,FALSE),"")</f>
        <v>アーロン</v>
      </c>
    </row>
    <row r="87" spans="1:9">
      <c r="A87" t="s">
        <v>718</v>
      </c>
      <c r="B87" s="6" t="str">
        <f>VLOOKUP(A87,キャラマスタ[],2,FALSE)</f>
        <v>ウソップ</v>
      </c>
      <c r="C87" t="s">
        <v>1350</v>
      </c>
      <c r="D87" s="6" t="str">
        <f>VLOOKUP(C87,技マスタ!$A$1:$J$605,2,FALSE)</f>
        <v>卵星</v>
      </c>
      <c r="E87">
        <v>9</v>
      </c>
      <c r="F87">
        <v>72</v>
      </c>
      <c r="H87" s="6" t="str">
        <f>IFERROR(VLOOKUP(G87,キャラマスタ[],2,FALSE),"")</f>
        <v/>
      </c>
    </row>
    <row r="88" spans="1:9">
      <c r="A88" t="s">
        <v>288</v>
      </c>
      <c r="B88" s="6" t="str">
        <f>VLOOKUP(A88,キャラマスタ[],2,FALSE)</f>
        <v>モンキー・D・ルフィ</v>
      </c>
      <c r="C88" t="s">
        <v>418</v>
      </c>
      <c r="D88" s="6" t="str">
        <f>VLOOKUP(C88,技マスタ!$A$1:$J$605,2,FALSE)</f>
        <v>ゴムゴムの銃（ピストル）</v>
      </c>
      <c r="E88">
        <v>9</v>
      </c>
      <c r="F88">
        <v>73</v>
      </c>
      <c r="G88" t="s">
        <v>1453</v>
      </c>
      <c r="H88" s="6" t="str">
        <f>IFERROR(VLOOKUP(G88,キャラマスタ[],2,FALSE),"")</f>
        <v>モーム</v>
      </c>
    </row>
    <row r="89" spans="1:9">
      <c r="A89" t="s">
        <v>942</v>
      </c>
      <c r="B89" s="6" t="str">
        <f>VLOOKUP(A89,キャラマスタ[],2,FALSE)</f>
        <v>サンジ</v>
      </c>
      <c r="C89" t="s">
        <v>1505</v>
      </c>
      <c r="D89" s="6" t="str">
        <f>VLOOKUP(C89,技マスタ!$A$1:$J$605,2,FALSE)</f>
        <v>首肉（コリエ）シュート</v>
      </c>
      <c r="E89">
        <v>9</v>
      </c>
      <c r="F89">
        <v>73</v>
      </c>
      <c r="G89" t="s">
        <v>1453</v>
      </c>
      <c r="H89" s="6" t="str">
        <f>IFERROR(VLOOKUP(G89,キャラマスタ[],2,FALSE),"")</f>
        <v>モーム</v>
      </c>
      <c r="I89">
        <v>1</v>
      </c>
    </row>
    <row r="90" spans="1:9">
      <c r="A90" t="s">
        <v>718</v>
      </c>
      <c r="B90" s="6" t="str">
        <f>VLOOKUP(A90,キャラマスタ[],2,FALSE)</f>
        <v>ウソップ</v>
      </c>
      <c r="C90" t="s">
        <v>1352</v>
      </c>
      <c r="D90" s="6" t="str">
        <f>VLOOKUP(C90,技マスタ!$A$1:$J$605,2,FALSE)</f>
        <v>煙星</v>
      </c>
      <c r="E90">
        <v>9</v>
      </c>
      <c r="F90">
        <v>74</v>
      </c>
      <c r="H90" s="6" t="str">
        <f>IFERROR(VLOOKUP(G90,キャラマスタ[],2,FALSE),"")</f>
        <v/>
      </c>
    </row>
    <row r="91" spans="1:9">
      <c r="A91" t="s">
        <v>1454</v>
      </c>
      <c r="B91" s="6" t="str">
        <f>VLOOKUP(A91,キャラマスタ[],2,FALSE)</f>
        <v>チュウ</v>
      </c>
      <c r="C91" t="s">
        <v>1353</v>
      </c>
      <c r="D91" s="6" t="str">
        <f>VLOOKUP(C91,技マスタ!$A$1:$J$605,2,FALSE)</f>
        <v>水鉄砲</v>
      </c>
      <c r="E91">
        <v>9</v>
      </c>
      <c r="F91">
        <v>75</v>
      </c>
      <c r="H91" s="6" t="str">
        <f>IFERROR(VLOOKUP(G91,キャラマスタ[],2,FALSE),"")</f>
        <v/>
      </c>
    </row>
    <row r="92" spans="1:9">
      <c r="A92" t="s">
        <v>1454</v>
      </c>
      <c r="B92" s="6" t="str">
        <f>VLOOKUP(A92,キャラマスタ[],2,FALSE)</f>
        <v>チュウ</v>
      </c>
      <c r="C92" t="s">
        <v>1353</v>
      </c>
      <c r="D92" s="6" t="str">
        <f>VLOOKUP(C92,技マスタ!$A$1:$J$605,2,FALSE)</f>
        <v>水鉄砲</v>
      </c>
      <c r="E92">
        <v>9</v>
      </c>
      <c r="F92">
        <v>75</v>
      </c>
      <c r="G92" t="s">
        <v>1458</v>
      </c>
      <c r="H92" s="6" t="str">
        <f>IFERROR(VLOOKUP(G92,キャラマスタ[],2,FALSE),"")</f>
        <v>プリンプリン</v>
      </c>
    </row>
    <row r="93" spans="1:9">
      <c r="A93" t="s">
        <v>288</v>
      </c>
      <c r="B93" s="6" t="str">
        <f>VLOOKUP(A93,キャラマスタ[],2,FALSE)</f>
        <v>モンキー・D・ルフィ</v>
      </c>
      <c r="C93" t="s">
        <v>1354</v>
      </c>
      <c r="D93" s="6" t="str">
        <f>VLOOKUP(C93,技マスタ!$A$1:$J$605,2,FALSE)</f>
        <v>ゴムゴムの風車</v>
      </c>
      <c r="E93">
        <v>10</v>
      </c>
      <c r="F93">
        <v>82</v>
      </c>
      <c r="G93" t="s">
        <v>1453</v>
      </c>
      <c r="H93" s="6" t="str">
        <f>IFERROR(VLOOKUP(G93,キャラマスタ[],2,FALSE),"")</f>
        <v>モーム</v>
      </c>
      <c r="I93">
        <v>1</v>
      </c>
    </row>
    <row r="94" spans="1:9">
      <c r="A94" t="s">
        <v>1311</v>
      </c>
      <c r="B94" s="6" t="str">
        <f>VLOOKUP(A94,キャラマスタ[],2,FALSE)</f>
        <v>はっちゃん</v>
      </c>
      <c r="C94" t="s">
        <v>1355</v>
      </c>
      <c r="D94" s="6" t="str">
        <f>VLOOKUP(C94,技マスタ!$A$1:$J$605,2,FALSE)</f>
        <v>たこはちブラック</v>
      </c>
      <c r="E94">
        <v>10</v>
      </c>
      <c r="F94">
        <v>83</v>
      </c>
      <c r="G94" t="s">
        <v>288</v>
      </c>
      <c r="H94" s="6" t="str">
        <f>IFERROR(VLOOKUP(G94,キャラマスタ[],2,FALSE),"")</f>
        <v>モンキー・D・ルフィ</v>
      </c>
    </row>
    <row r="95" spans="1:9">
      <c r="A95" t="s">
        <v>1311</v>
      </c>
      <c r="B95" s="6" t="str">
        <f>VLOOKUP(A95,キャラマスタ[],2,FALSE)</f>
        <v>はっちゃん</v>
      </c>
      <c r="C95" t="s">
        <v>1356</v>
      </c>
      <c r="D95" s="6" t="str">
        <f>VLOOKUP(C95,技マスタ!$A$1:$J$605,2,FALSE)</f>
        <v>たこはちブラック オン・ザ ロック</v>
      </c>
      <c r="E95">
        <v>10</v>
      </c>
      <c r="F95">
        <v>83</v>
      </c>
      <c r="G95" t="s">
        <v>288</v>
      </c>
      <c r="H95" s="6" t="str">
        <f>IFERROR(VLOOKUP(G95,キャラマスタ[],2,FALSE),"")</f>
        <v>モンキー・D・ルフィ</v>
      </c>
    </row>
    <row r="96" spans="1:9">
      <c r="A96" t="s">
        <v>718</v>
      </c>
      <c r="B96" s="6" t="str">
        <f>VLOOKUP(A96,キャラマスタ[],2,FALSE)</f>
        <v>ウソップ</v>
      </c>
      <c r="C96" t="s">
        <v>1659</v>
      </c>
      <c r="D96" s="6" t="str">
        <f>VLOOKUP(C96,技マスタ!$A$1:$J$605,2,FALSE)</f>
        <v>火炎星</v>
      </c>
      <c r="E96">
        <v>10</v>
      </c>
      <c r="F96">
        <v>83</v>
      </c>
      <c r="G96" t="s">
        <v>1454</v>
      </c>
      <c r="H96" s="6" t="str">
        <f>IFERROR(VLOOKUP(G96,キャラマスタ[],2,FALSE),"")</f>
        <v>チュウ</v>
      </c>
    </row>
    <row r="97" spans="1:9">
      <c r="A97" t="s">
        <v>288</v>
      </c>
      <c r="B97" s="6" t="str">
        <f>VLOOKUP(A97,キャラマスタ[],2,FALSE)</f>
        <v>モンキー・D・ルフィ</v>
      </c>
      <c r="C97" t="s">
        <v>418</v>
      </c>
      <c r="D97" s="6" t="str">
        <f>VLOOKUP(C97,技マスタ!$A$1:$J$605,2,FALSE)</f>
        <v>ゴムゴムの銃（ピストル）</v>
      </c>
      <c r="E97">
        <v>10</v>
      </c>
      <c r="F97">
        <v>83</v>
      </c>
      <c r="G97" t="s">
        <v>1310</v>
      </c>
      <c r="H97" s="6" t="str">
        <f>IFERROR(VLOOKUP(G97,キャラマスタ[],2,FALSE),"")</f>
        <v>アーロン</v>
      </c>
    </row>
    <row r="98" spans="1:9">
      <c r="A98" t="s">
        <v>1311</v>
      </c>
      <c r="B98" s="6" t="str">
        <f>VLOOKUP(A98,キャラマスタ[],2,FALSE)</f>
        <v>はっちゃん</v>
      </c>
      <c r="C98" t="s">
        <v>1355</v>
      </c>
      <c r="D98" s="6" t="str">
        <f>VLOOKUP(C98,技マスタ!$A$1:$J$605,2,FALSE)</f>
        <v>たこはちブラック</v>
      </c>
      <c r="E98">
        <v>10</v>
      </c>
      <c r="F98">
        <v>84</v>
      </c>
      <c r="G98" t="s">
        <v>308</v>
      </c>
      <c r="H98" s="6" t="str">
        <f>IFERROR(VLOOKUP(G98,キャラマスタ[],2,FALSE),"")</f>
        <v>ロロノア・ゾロ</v>
      </c>
    </row>
    <row r="99" spans="1:9">
      <c r="A99" t="s">
        <v>1311</v>
      </c>
      <c r="B99" s="6" t="str">
        <f>VLOOKUP(A99,キャラマスタ[],2,FALSE)</f>
        <v>はっちゃん</v>
      </c>
      <c r="C99" t="s">
        <v>1660</v>
      </c>
      <c r="D99" s="6" t="str">
        <f>VLOOKUP(C99,技マスタ!$A$1:$J$605,2,FALSE)</f>
        <v>蛸・三・連・真・剣・白・刃・取り</v>
      </c>
      <c r="E99">
        <v>10</v>
      </c>
      <c r="F99">
        <v>84</v>
      </c>
      <c r="G99" t="s">
        <v>308</v>
      </c>
      <c r="H99" s="6" t="str">
        <f>IFERROR(VLOOKUP(G99,キャラマスタ[],2,FALSE),"")</f>
        <v>ロロノア・ゾロ</v>
      </c>
    </row>
    <row r="100" spans="1:9">
      <c r="A100" t="s">
        <v>1311</v>
      </c>
      <c r="B100" s="6" t="str">
        <f>VLOOKUP(A100,キャラマスタ[],2,FALSE)</f>
        <v>はっちゃん</v>
      </c>
      <c r="C100" t="s">
        <v>1661</v>
      </c>
      <c r="D100" s="6" t="str">
        <f>VLOOKUP(C100,技マスタ!$A$1:$J$605,2,FALSE)</f>
        <v>タコハチ 吸盤 （ナンバーナイン）</v>
      </c>
      <c r="E100">
        <v>10</v>
      </c>
      <c r="F100">
        <v>84</v>
      </c>
      <c r="G100" t="s">
        <v>308</v>
      </c>
      <c r="H100" s="6" t="str">
        <f>IFERROR(VLOOKUP(G100,キャラマスタ[],2,FALSE),"")</f>
        <v>ロロノア・ゾロ</v>
      </c>
    </row>
    <row r="101" spans="1:9">
      <c r="A101" t="s">
        <v>1311</v>
      </c>
      <c r="B101" s="6" t="str">
        <f>VLOOKUP(A101,キャラマスタ[],2,FALSE)</f>
        <v>はっちゃん</v>
      </c>
      <c r="C101" t="s">
        <v>1662</v>
      </c>
      <c r="D101" s="6" t="str">
        <f>VLOOKUP(C101,技マスタ!$A$1:$J$605,2,FALSE)</f>
        <v>タコ焼きパンチ</v>
      </c>
      <c r="E101">
        <v>10</v>
      </c>
      <c r="F101">
        <v>84</v>
      </c>
      <c r="G101" t="s">
        <v>308</v>
      </c>
      <c r="H101" s="6" t="str">
        <f>IFERROR(VLOOKUP(G101,キャラマスタ[],2,FALSE),"")</f>
        <v>ロロノア・ゾロ</v>
      </c>
    </row>
    <row r="102" spans="1:9">
      <c r="A102" t="s">
        <v>1311</v>
      </c>
      <c r="B102" s="6" t="str">
        <f>VLOOKUP(A102,キャラマスタ[],2,FALSE)</f>
        <v>はっちゃん</v>
      </c>
      <c r="C102" t="s">
        <v>1663</v>
      </c>
      <c r="D102" s="6" t="str">
        <f>VLOOKUP(C102,技マスタ!$A$1:$J$605,2,FALSE)</f>
        <v xml:space="preserve">六刀流 蛸足奇剣 </v>
      </c>
      <c r="E102">
        <v>10</v>
      </c>
      <c r="F102">
        <v>85</v>
      </c>
      <c r="G102" t="s">
        <v>308</v>
      </c>
      <c r="H102" s="6" t="str">
        <f>IFERROR(VLOOKUP(G102,キャラマスタ[],2,FALSE),"")</f>
        <v>ロロノア・ゾロ</v>
      </c>
    </row>
    <row r="103" spans="1:9">
      <c r="A103" t="s">
        <v>308</v>
      </c>
      <c r="B103" s="6" t="str">
        <f>VLOOKUP(A103,キャラマスタ[],2,FALSE)</f>
        <v>ロロノア・ゾロ</v>
      </c>
      <c r="C103" t="s">
        <v>1664</v>
      </c>
      <c r="D103" s="6" t="str">
        <f>VLOOKUP(C103,技マスタ!$A$1:$J$605,2,FALSE)</f>
        <v>三刀流 刀狼流し （とうろうながし）</v>
      </c>
      <c r="E103">
        <v>10</v>
      </c>
      <c r="F103">
        <v>85</v>
      </c>
      <c r="G103" t="s">
        <v>1311</v>
      </c>
      <c r="H103" s="6" t="str">
        <f>IFERROR(VLOOKUP(G103,キャラマスタ[],2,FALSE),"")</f>
        <v>はっちゃん</v>
      </c>
    </row>
    <row r="104" spans="1:9">
      <c r="A104" t="s">
        <v>1311</v>
      </c>
      <c r="B104" s="6" t="str">
        <f>VLOOKUP(A104,キャラマスタ[],2,FALSE)</f>
        <v>はっちゃん</v>
      </c>
      <c r="C104" t="s">
        <v>1665</v>
      </c>
      <c r="D104" s="6" t="str">
        <f>VLOOKUP(C104,技マスタ!$A$1:$J$605,2,FALSE)</f>
        <v xml:space="preserve">六刀流「タコツボの構え」 新・春  蛸・開げ  体壊 </v>
      </c>
      <c r="E104">
        <v>10</v>
      </c>
      <c r="F104">
        <v>85</v>
      </c>
      <c r="G104" t="s">
        <v>308</v>
      </c>
      <c r="H104" s="6" t="str">
        <f>IFERROR(VLOOKUP(G104,キャラマスタ[],2,FALSE),"")</f>
        <v>ロロノア・ゾロ</v>
      </c>
    </row>
    <row r="105" spans="1:9">
      <c r="A105" t="s">
        <v>1311</v>
      </c>
      <c r="B105" s="6" t="str">
        <f>VLOOKUP(A105,キャラマスタ[],2,FALSE)</f>
        <v>はっちゃん</v>
      </c>
      <c r="C105" t="s">
        <v>1666</v>
      </c>
      <c r="D105" s="6" t="str">
        <f>VLOOKUP(C105,技マスタ!$A$1:$J$605,2,FALSE)</f>
        <v xml:space="preserve">六刀流 奥義  六刀の円舞曲 </v>
      </c>
      <c r="E105">
        <v>10</v>
      </c>
      <c r="F105">
        <v>85</v>
      </c>
      <c r="G105" t="s">
        <v>308</v>
      </c>
      <c r="H105" s="6" t="str">
        <f>IFERROR(VLOOKUP(G105,キャラマスタ[],2,FALSE),"")</f>
        <v>ロロノア・ゾロ</v>
      </c>
    </row>
    <row r="106" spans="1:9">
      <c r="A106" t="s">
        <v>308</v>
      </c>
      <c r="B106" s="6" t="str">
        <f>VLOOKUP(A106,キャラマスタ[],2,FALSE)</f>
        <v>ロロノア・ゾロ</v>
      </c>
      <c r="C106" t="s">
        <v>636</v>
      </c>
      <c r="D106" s="6" t="str">
        <f>VLOOKUP(C106,技マスタ!$A$1:$J$605,2,FALSE)</f>
        <v>鬼斬り</v>
      </c>
      <c r="E106">
        <v>10</v>
      </c>
      <c r="F106">
        <v>85</v>
      </c>
      <c r="G106" t="s">
        <v>1311</v>
      </c>
      <c r="H106" s="6" t="str">
        <f>IFERROR(VLOOKUP(G106,キャラマスタ[],2,FALSE),"")</f>
        <v>はっちゃん</v>
      </c>
    </row>
    <row r="107" spans="1:9">
      <c r="A107" t="s">
        <v>308</v>
      </c>
      <c r="B107" s="6" t="str">
        <f>VLOOKUP(A107,キャラマスタ[],2,FALSE)</f>
        <v>ロロノア・ゾロ</v>
      </c>
      <c r="C107" t="s">
        <v>1667</v>
      </c>
      <c r="D107" s="6" t="str">
        <f>VLOOKUP(C107,技マスタ!$A$1:$J$605,2,FALSE)</f>
        <v>龍巻き</v>
      </c>
      <c r="E107">
        <v>10</v>
      </c>
      <c r="F107">
        <v>85</v>
      </c>
      <c r="G107" t="s">
        <v>1311</v>
      </c>
      <c r="H107" s="6" t="str">
        <f>IFERROR(VLOOKUP(G107,キャラマスタ[],2,FALSE),"")</f>
        <v>はっちゃん</v>
      </c>
      <c r="I107">
        <v>1</v>
      </c>
    </row>
    <row r="108" spans="1:9">
      <c r="A108" t="s">
        <v>1455</v>
      </c>
      <c r="B108" s="6" t="str">
        <f>VLOOKUP(A108,キャラマスタ[],2,FALSE)</f>
        <v>クロオビ</v>
      </c>
      <c r="C108" t="s">
        <v>1668</v>
      </c>
      <c r="D108" s="6" t="str">
        <f>VLOOKUP(C108,技マスタ!$A$1:$J$605,2,FALSE)</f>
        <v xml:space="preserve">魚人空手 腕刀切り </v>
      </c>
      <c r="E108">
        <v>10</v>
      </c>
      <c r="F108">
        <v>86</v>
      </c>
      <c r="G108" t="s">
        <v>942</v>
      </c>
      <c r="H108" s="6" t="str">
        <f>IFERROR(VLOOKUP(G108,キャラマスタ[],2,FALSE),"")</f>
        <v>サンジ</v>
      </c>
    </row>
    <row r="109" spans="1:9">
      <c r="A109" t="s">
        <v>1455</v>
      </c>
      <c r="B109" s="6" t="str">
        <f>VLOOKUP(A109,キャラマスタ[],2,FALSE)</f>
        <v>クロオビ</v>
      </c>
      <c r="C109" t="s">
        <v>1674</v>
      </c>
      <c r="D109" s="6" t="str">
        <f>VLOOKUP(C109,技マスタ!$A$1:$J$605,2,FALSE)</f>
        <v>イトマキ組手</v>
      </c>
      <c r="E109">
        <v>10</v>
      </c>
      <c r="F109">
        <v>86</v>
      </c>
      <c r="G109" t="s">
        <v>942</v>
      </c>
      <c r="H109" s="6" t="str">
        <f>IFERROR(VLOOKUP(G109,キャラマスタ[],2,FALSE),"")</f>
        <v>サンジ</v>
      </c>
    </row>
    <row r="110" spans="1:9">
      <c r="A110" t="s">
        <v>1455</v>
      </c>
      <c r="B110" s="6" t="str">
        <f>VLOOKUP(A110,キャラマスタ[],2,FALSE)</f>
        <v>クロオビ</v>
      </c>
      <c r="C110" t="s">
        <v>1675</v>
      </c>
      <c r="D110" s="6" t="str">
        <f>VLOOKUP(C110,技マスタ!$A$1:$J$605,2,FALSE)</f>
        <v xml:space="preserve">海速 腹下し蹴り </v>
      </c>
      <c r="E110">
        <v>10</v>
      </c>
      <c r="F110">
        <v>86</v>
      </c>
      <c r="G110" t="s">
        <v>942</v>
      </c>
      <c r="H110" s="6" t="str">
        <f>IFERROR(VLOOKUP(G110,キャラマスタ[],2,FALSE),"")</f>
        <v>サンジ</v>
      </c>
    </row>
    <row r="111" spans="1:9">
      <c r="A111" t="s">
        <v>1455</v>
      </c>
      <c r="B111" s="6" t="str">
        <f>VLOOKUP(A111,キャラマスタ[],2,FALSE)</f>
        <v>クロオビ</v>
      </c>
      <c r="C111" t="s">
        <v>1676</v>
      </c>
      <c r="D111" s="6" t="str">
        <f>VLOOKUP(C111,技マスタ!$A$1:$J$605,2,FALSE)</f>
        <v>火華カカト落とし</v>
      </c>
      <c r="E111">
        <v>10</v>
      </c>
      <c r="F111">
        <v>86</v>
      </c>
      <c r="G111" t="s">
        <v>942</v>
      </c>
      <c r="H111" s="6" t="str">
        <f>IFERROR(VLOOKUP(G111,キャラマスタ[],2,FALSE),"")</f>
        <v>サンジ</v>
      </c>
    </row>
    <row r="112" spans="1:9">
      <c r="A112" t="s">
        <v>1455</v>
      </c>
      <c r="B112" s="6" t="str">
        <f>VLOOKUP(A112,キャラマスタ[],2,FALSE)</f>
        <v>クロオビ</v>
      </c>
      <c r="C112" t="s">
        <v>1677</v>
      </c>
      <c r="D112" s="6" t="str">
        <f>VLOOKUP(C112,技マスタ!$A$1:$J$605,2,FALSE)</f>
        <v>カチ上げ背足</v>
      </c>
      <c r="E112">
        <v>10</v>
      </c>
      <c r="F112">
        <v>86</v>
      </c>
      <c r="G112" t="s">
        <v>942</v>
      </c>
      <c r="H112" s="6" t="str">
        <f>IFERROR(VLOOKUP(G112,キャラマスタ[],2,FALSE),"")</f>
        <v>サンジ</v>
      </c>
    </row>
    <row r="113" spans="1:9">
      <c r="A113" t="s">
        <v>1455</v>
      </c>
      <c r="B113" s="6" t="str">
        <f>VLOOKUP(A113,キャラマスタ[],2,FALSE)</f>
        <v>クロオビ</v>
      </c>
      <c r="C113" t="s">
        <v>1678</v>
      </c>
      <c r="D113" s="6" t="str">
        <f>VLOOKUP(C113,技マスタ!$A$1:$J$605,2,FALSE)</f>
        <v>上段爆掌</v>
      </c>
      <c r="E113">
        <v>10</v>
      </c>
      <c r="F113">
        <v>86</v>
      </c>
      <c r="G113" t="s">
        <v>942</v>
      </c>
      <c r="H113" s="6" t="str">
        <f>IFERROR(VLOOKUP(G113,キャラマスタ[],2,FALSE),"")</f>
        <v>サンジ</v>
      </c>
    </row>
    <row r="114" spans="1:9">
      <c r="A114" t="s">
        <v>1455</v>
      </c>
      <c r="B114" s="6" t="str">
        <f>VLOOKUP(A114,キャラマスタ[],2,FALSE)</f>
        <v>クロオビ</v>
      </c>
      <c r="C114" t="s">
        <v>1679</v>
      </c>
      <c r="D114" s="6" t="str">
        <f>VLOOKUP(C114,技マスタ!$A$1:$J$605,2,FALSE)</f>
        <v>圧迫死直下航路</v>
      </c>
      <c r="E114">
        <v>10</v>
      </c>
      <c r="F114">
        <v>86</v>
      </c>
      <c r="G114" t="s">
        <v>942</v>
      </c>
      <c r="H114" s="6" t="str">
        <f>IFERROR(VLOOKUP(G114,キャラマスタ[],2,FALSE),"")</f>
        <v>サンジ</v>
      </c>
    </row>
    <row r="115" spans="1:9">
      <c r="A115" t="s">
        <v>942</v>
      </c>
      <c r="B115" s="6" t="str">
        <f>VLOOKUP(A115,キャラマスタ[],2,FALSE)</f>
        <v>サンジ</v>
      </c>
      <c r="C115" t="s">
        <v>1680</v>
      </c>
      <c r="D115" s="6" t="str">
        <f>VLOOKUP(C115,技マスタ!$A$1:$J$605,2,FALSE)</f>
        <v>首肉（コリエ）</v>
      </c>
      <c r="E115">
        <v>10</v>
      </c>
      <c r="F115">
        <v>86</v>
      </c>
      <c r="G115" t="s">
        <v>1455</v>
      </c>
      <c r="H115" s="6" t="str">
        <f>IFERROR(VLOOKUP(G115,キャラマスタ[],2,FALSE),"")</f>
        <v>クロオビ</v>
      </c>
    </row>
    <row r="116" spans="1:9">
      <c r="A116" t="s">
        <v>942</v>
      </c>
      <c r="B116" s="6" t="str">
        <f>VLOOKUP(A116,キャラマスタ[],2,FALSE)</f>
        <v>サンジ</v>
      </c>
      <c r="C116" t="s">
        <v>1681</v>
      </c>
      <c r="D116" s="6" t="str">
        <f>VLOOKUP(C116,技マスタ!$A$1:$J$605,2,FALSE)</f>
        <v>肩肉（エポール）</v>
      </c>
      <c r="E116">
        <v>10</v>
      </c>
      <c r="F116">
        <v>86</v>
      </c>
      <c r="G116" t="s">
        <v>1455</v>
      </c>
      <c r="H116" s="6" t="str">
        <f>IFERROR(VLOOKUP(G116,キャラマスタ[],2,FALSE),"")</f>
        <v>クロオビ</v>
      </c>
    </row>
    <row r="117" spans="1:9">
      <c r="A117" t="s">
        <v>942</v>
      </c>
      <c r="B117" s="6" t="str">
        <f>VLOOKUP(A117,キャラマスタ[],2,FALSE)</f>
        <v>サンジ</v>
      </c>
      <c r="C117" t="s">
        <v>1682</v>
      </c>
      <c r="D117" s="6" t="str">
        <f>VLOOKUP(C117,技マスタ!$A$1:$J$605,2,FALSE)</f>
        <v>背肉（コートレット）</v>
      </c>
      <c r="E117">
        <v>10</v>
      </c>
      <c r="F117">
        <v>86</v>
      </c>
      <c r="G117" t="s">
        <v>1455</v>
      </c>
      <c r="H117" s="6" t="str">
        <f>IFERROR(VLOOKUP(G117,キャラマスタ[],2,FALSE),"")</f>
        <v>クロオビ</v>
      </c>
    </row>
    <row r="118" spans="1:9">
      <c r="A118" t="s">
        <v>942</v>
      </c>
      <c r="B118" s="6" t="str">
        <f>VLOOKUP(A118,キャラマスタ[],2,FALSE)</f>
        <v>サンジ</v>
      </c>
      <c r="C118" t="s">
        <v>1683</v>
      </c>
      <c r="D118" s="6" t="str">
        <f>VLOOKUP(C118,技マスタ!$A$1:$J$605,2,FALSE)</f>
        <v>鞍下肉（セル）</v>
      </c>
      <c r="E118">
        <v>10</v>
      </c>
      <c r="F118">
        <v>86</v>
      </c>
      <c r="G118" t="s">
        <v>1455</v>
      </c>
      <c r="H118" s="6" t="str">
        <f>IFERROR(VLOOKUP(G118,キャラマスタ[],2,FALSE),"")</f>
        <v>クロオビ</v>
      </c>
    </row>
    <row r="119" spans="1:9">
      <c r="A119" t="s">
        <v>942</v>
      </c>
      <c r="B119" s="6" t="str">
        <f>VLOOKUP(A119,キャラマスタ[],2,FALSE)</f>
        <v>サンジ</v>
      </c>
      <c r="C119" t="s">
        <v>1685</v>
      </c>
      <c r="D119" s="6" t="str">
        <f>VLOOKUP(C119,技マスタ!$A$1:$J$605,2,FALSE)</f>
        <v>胸肉（ポワトリーヌ）</v>
      </c>
      <c r="E119">
        <v>10</v>
      </c>
      <c r="F119">
        <v>86</v>
      </c>
      <c r="G119" t="s">
        <v>1455</v>
      </c>
      <c r="H119" s="6" t="str">
        <f>IFERROR(VLOOKUP(G119,キャラマスタ[],2,FALSE),"")</f>
        <v>クロオビ</v>
      </c>
    </row>
    <row r="120" spans="1:9">
      <c r="A120" t="s">
        <v>942</v>
      </c>
      <c r="B120" s="6" t="str">
        <f>VLOOKUP(A120,キャラマスタ[],2,FALSE)</f>
        <v>サンジ</v>
      </c>
      <c r="C120" t="s">
        <v>1686</v>
      </c>
      <c r="D120" s="6" t="str">
        <f>VLOOKUP(C120,技マスタ!$A$1:$J$605,2,FALSE)</f>
        <v>もも肉（ジゴー）</v>
      </c>
      <c r="E120">
        <v>10</v>
      </c>
      <c r="F120">
        <v>86</v>
      </c>
      <c r="G120" t="s">
        <v>1455</v>
      </c>
      <c r="H120" s="6" t="str">
        <f>IFERROR(VLOOKUP(G120,キャラマスタ[],2,FALSE),"")</f>
        <v>クロオビ</v>
      </c>
    </row>
    <row r="121" spans="1:9">
      <c r="A121" t="s">
        <v>942</v>
      </c>
      <c r="B121" s="6" t="str">
        <f>VLOOKUP(A121,キャラマスタ[],2,FALSE)</f>
        <v>サンジ</v>
      </c>
      <c r="C121" t="s">
        <v>1687</v>
      </c>
      <c r="D121" s="6" t="str">
        <f>VLOOKUP(C121,技マスタ!$A$1:$J$605,2,FALSE)</f>
        <v>羊肉（ムートン）ショット</v>
      </c>
      <c r="E121">
        <v>10</v>
      </c>
      <c r="F121">
        <v>86</v>
      </c>
      <c r="G121" t="s">
        <v>1455</v>
      </c>
      <c r="H121" s="6" t="str">
        <f>IFERROR(VLOOKUP(G121,キャラマスタ[],2,FALSE),"")</f>
        <v>クロオビ</v>
      </c>
      <c r="I121">
        <v>1</v>
      </c>
    </row>
    <row r="122" spans="1:9">
      <c r="A122" t="s">
        <v>1455</v>
      </c>
      <c r="B122" s="6" t="str">
        <f>VLOOKUP(A122,キャラマスタ[],2,FALSE)</f>
        <v>クロオビ</v>
      </c>
      <c r="C122" t="s">
        <v>1688</v>
      </c>
      <c r="D122" s="6" t="str">
        <f>VLOOKUP(C122,技マスタ!$A$1:$J$605,2,FALSE)</f>
        <v>魚人空手 千枚瓦正拳</v>
      </c>
      <c r="E122">
        <v>10</v>
      </c>
      <c r="F122">
        <v>86</v>
      </c>
      <c r="G122" t="s">
        <v>942</v>
      </c>
      <c r="H122" s="6" t="str">
        <f>IFERROR(VLOOKUP(G122,キャラマスタ[],2,FALSE),"")</f>
        <v>サンジ</v>
      </c>
    </row>
    <row r="123" spans="1:9">
      <c r="A123" t="s">
        <v>718</v>
      </c>
      <c r="B123" s="6" t="str">
        <f>VLOOKUP(A123,キャラマスタ[],2,FALSE)</f>
        <v>ウソップ</v>
      </c>
      <c r="C123" t="s">
        <v>1689</v>
      </c>
      <c r="D123" s="6" t="str">
        <f>VLOOKUP(C123,技マスタ!$A$1:$J$605,2,FALSE)</f>
        <v>ケチャップ星</v>
      </c>
      <c r="E123">
        <v>10</v>
      </c>
      <c r="F123">
        <v>87</v>
      </c>
      <c r="G123" t="s">
        <v>1454</v>
      </c>
      <c r="H123" s="6" t="str">
        <f>IFERROR(VLOOKUP(G123,キャラマスタ[],2,FALSE),"")</f>
        <v>チュウ</v>
      </c>
    </row>
    <row r="124" spans="1:9">
      <c r="A124" t="s">
        <v>718</v>
      </c>
      <c r="B124" s="6" t="str">
        <f>VLOOKUP(A124,キャラマスタ[],2,FALSE)</f>
        <v>ウソップ</v>
      </c>
      <c r="C124" t="s">
        <v>1690</v>
      </c>
      <c r="D124" s="6" t="str">
        <f>VLOOKUP(C124,技マスタ!$A$1:$J$605,2,FALSE)</f>
        <v>ウソップハンマー</v>
      </c>
      <c r="E124">
        <v>10</v>
      </c>
      <c r="F124">
        <v>87</v>
      </c>
      <c r="G124" t="s">
        <v>1454</v>
      </c>
      <c r="H124" s="6" t="str">
        <f>IFERROR(VLOOKUP(G124,キャラマスタ[],2,FALSE),"")</f>
        <v>チュウ</v>
      </c>
    </row>
    <row r="125" spans="1:9">
      <c r="A125" t="s">
        <v>718</v>
      </c>
      <c r="B125" s="6" t="str">
        <f>VLOOKUP(A125,キャラマスタ[],2,FALSE)</f>
        <v>ウソップ</v>
      </c>
      <c r="C125" t="s">
        <v>1691</v>
      </c>
      <c r="D125" s="6" t="str">
        <f>VLOOKUP(C125,技マスタ!$A$1:$J$605,2,FALSE)</f>
        <v>ウソップ輪ごーむ</v>
      </c>
      <c r="E125">
        <v>10</v>
      </c>
      <c r="F125">
        <v>87</v>
      </c>
      <c r="G125" t="s">
        <v>1454</v>
      </c>
      <c r="H125" s="6" t="str">
        <f>IFERROR(VLOOKUP(G125,キャラマスタ[],2,FALSE),"")</f>
        <v>チュウ</v>
      </c>
    </row>
    <row r="126" spans="1:9">
      <c r="A126" t="s">
        <v>718</v>
      </c>
      <c r="B126" s="6" t="str">
        <f>VLOOKUP(A126,キャラマスタ[],2,FALSE)</f>
        <v>ウソップ</v>
      </c>
      <c r="C126" t="s">
        <v>1005</v>
      </c>
      <c r="D126" s="6" t="str">
        <f>VLOOKUP(C126,技マスタ!$A$1:$J$605,2,FALSE)</f>
        <v>鉛星</v>
      </c>
      <c r="E126">
        <v>10</v>
      </c>
      <c r="F126">
        <v>87</v>
      </c>
      <c r="G126" t="s">
        <v>1454</v>
      </c>
      <c r="H126" s="6" t="str">
        <f>IFERROR(VLOOKUP(G126,キャラマスタ[],2,FALSE),"")</f>
        <v>チュウ</v>
      </c>
    </row>
    <row r="127" spans="1:9">
      <c r="A127" t="s">
        <v>1454</v>
      </c>
      <c r="B127" s="6" t="str">
        <f>VLOOKUP(A127,キャラマスタ[],2,FALSE)</f>
        <v>チュウ</v>
      </c>
      <c r="C127" t="s">
        <v>1692</v>
      </c>
      <c r="D127" s="6" t="str">
        <f>VLOOKUP(C127,技マスタ!$A$1:$J$605,2,FALSE)</f>
        <v>水大砲</v>
      </c>
      <c r="E127">
        <v>10</v>
      </c>
      <c r="F127">
        <v>87</v>
      </c>
      <c r="G127" t="s">
        <v>718</v>
      </c>
      <c r="H127" s="6" t="str">
        <f>IFERROR(VLOOKUP(G127,キャラマスタ[],2,FALSE),"")</f>
        <v>ウソップ</v>
      </c>
    </row>
    <row r="128" spans="1:9">
      <c r="A128" t="s">
        <v>1454</v>
      </c>
      <c r="B128" s="6" t="str">
        <f>VLOOKUP(A128,キャラマスタ[],2,FALSE)</f>
        <v>チュウ</v>
      </c>
      <c r="C128" t="s">
        <v>1693</v>
      </c>
      <c r="D128" s="6" t="str">
        <f>VLOOKUP(C128,技マスタ!$A$1:$J$605,2,FALSE)</f>
        <v>百発水鉄砲</v>
      </c>
      <c r="E128">
        <v>10</v>
      </c>
      <c r="F128">
        <v>87</v>
      </c>
      <c r="G128" t="s">
        <v>718</v>
      </c>
      <c r="H128" s="6" t="str">
        <f>IFERROR(VLOOKUP(G128,キャラマスタ[],2,FALSE),"")</f>
        <v>ウソップ</v>
      </c>
    </row>
    <row r="129" spans="1:9">
      <c r="A129" t="s">
        <v>718</v>
      </c>
      <c r="B129" s="6" t="str">
        <f>VLOOKUP(A129,キャラマスタ[],2,FALSE)</f>
        <v>ウソップ</v>
      </c>
      <c r="C129" t="s">
        <v>1659</v>
      </c>
      <c r="D129" s="6" t="str">
        <f>VLOOKUP(C129,技マスタ!$A$1:$J$605,2,FALSE)</f>
        <v>火炎星</v>
      </c>
      <c r="E129">
        <v>10</v>
      </c>
      <c r="F129">
        <v>87</v>
      </c>
      <c r="G129" t="s">
        <v>1454</v>
      </c>
      <c r="H129" s="6" t="str">
        <f>IFERROR(VLOOKUP(G129,キャラマスタ[],2,FALSE),"")</f>
        <v>チュウ</v>
      </c>
    </row>
    <row r="130" spans="1:9">
      <c r="A130" t="s">
        <v>1310</v>
      </c>
      <c r="B130" s="6" t="str">
        <f>VLOOKUP(A130,キャラマスタ[],2,FALSE)</f>
        <v>アーロン</v>
      </c>
      <c r="C130" t="s">
        <v>1694</v>
      </c>
      <c r="D130" s="6" t="str">
        <f>VLOOKUP(C130,技マスタ!$A$1:$J$605,2,FALSE)</f>
        <v>打ち水</v>
      </c>
      <c r="E130">
        <v>10</v>
      </c>
      <c r="F130">
        <v>88</v>
      </c>
      <c r="G130" t="s">
        <v>942</v>
      </c>
      <c r="H130" s="6" t="str">
        <f>IFERROR(VLOOKUP(G130,キャラマスタ[],2,FALSE),"")</f>
        <v>サンジ</v>
      </c>
    </row>
    <row r="131" spans="1:9">
      <c r="A131" t="s">
        <v>718</v>
      </c>
      <c r="B131" s="6" t="str">
        <f>VLOOKUP(A131,キャラマスタ[],2,FALSE)</f>
        <v>ウソップ</v>
      </c>
      <c r="C131" t="s">
        <v>1690</v>
      </c>
      <c r="D131" s="6" t="str">
        <f>VLOOKUP(C131,技マスタ!$A$1:$J$605,2,FALSE)</f>
        <v>ウソップハンマー</v>
      </c>
      <c r="E131">
        <v>10</v>
      </c>
      <c r="F131">
        <v>88</v>
      </c>
      <c r="G131" t="s">
        <v>1454</v>
      </c>
      <c r="H131" s="6" t="str">
        <f>IFERROR(VLOOKUP(G131,キャラマスタ[],2,FALSE),"")</f>
        <v>チュウ</v>
      </c>
    </row>
    <row r="132" spans="1:9">
      <c r="A132" t="s">
        <v>718</v>
      </c>
      <c r="B132" s="6" t="str">
        <f>VLOOKUP(A132,キャラマスタ[],2,FALSE)</f>
        <v>ウソップ</v>
      </c>
      <c r="C132" t="s">
        <v>1690</v>
      </c>
      <c r="D132" s="6" t="str">
        <f>VLOOKUP(C132,技マスタ!$A$1:$J$605,2,FALSE)</f>
        <v>ウソップハンマー</v>
      </c>
      <c r="E132">
        <v>10</v>
      </c>
      <c r="F132">
        <v>88</v>
      </c>
      <c r="G132" t="s">
        <v>1454</v>
      </c>
      <c r="H132" s="6" t="str">
        <f>IFERROR(VLOOKUP(G132,キャラマスタ[],2,FALSE),"")</f>
        <v>チュウ</v>
      </c>
    </row>
    <row r="133" spans="1:9">
      <c r="A133" t="s">
        <v>718</v>
      </c>
      <c r="B133" s="6" t="str">
        <f>VLOOKUP(A133,キャラマスタ[],2,FALSE)</f>
        <v>ウソップ</v>
      </c>
      <c r="C133" t="s">
        <v>1690</v>
      </c>
      <c r="D133" s="6" t="str">
        <f>VLOOKUP(C133,技マスタ!$A$1:$J$605,2,FALSE)</f>
        <v>ウソップハンマー</v>
      </c>
      <c r="E133">
        <v>10</v>
      </c>
      <c r="F133">
        <v>88</v>
      </c>
      <c r="G133" t="s">
        <v>1454</v>
      </c>
      <c r="H133" s="6" t="str">
        <f>IFERROR(VLOOKUP(G133,キャラマスタ[],2,FALSE),"")</f>
        <v>チュウ</v>
      </c>
    </row>
    <row r="134" spans="1:9">
      <c r="A134" t="s">
        <v>718</v>
      </c>
      <c r="B134" s="6" t="str">
        <f>VLOOKUP(A134,キャラマスタ[],2,FALSE)</f>
        <v>ウソップ</v>
      </c>
      <c r="C134" t="s">
        <v>1690</v>
      </c>
      <c r="D134" s="6" t="str">
        <f>VLOOKUP(C134,技マスタ!$A$1:$J$605,2,FALSE)</f>
        <v>ウソップハンマー</v>
      </c>
      <c r="E134">
        <v>10</v>
      </c>
      <c r="F134">
        <v>88</v>
      </c>
      <c r="G134" t="s">
        <v>1454</v>
      </c>
      <c r="H134" s="6" t="str">
        <f>IFERROR(VLOOKUP(G134,キャラマスタ[],2,FALSE),"")</f>
        <v>チュウ</v>
      </c>
    </row>
    <row r="135" spans="1:9">
      <c r="A135" t="s">
        <v>718</v>
      </c>
      <c r="B135" s="6" t="str">
        <f>VLOOKUP(A135,キャラマスタ[],2,FALSE)</f>
        <v>ウソップ</v>
      </c>
      <c r="C135" t="s">
        <v>1691</v>
      </c>
      <c r="D135" s="6" t="str">
        <f>VLOOKUP(C135,技マスタ!$A$1:$J$605,2,FALSE)</f>
        <v>ウソップ輪ごーむ</v>
      </c>
      <c r="E135">
        <v>10</v>
      </c>
      <c r="F135">
        <v>88</v>
      </c>
      <c r="G135" t="s">
        <v>1454</v>
      </c>
      <c r="H135" s="6" t="str">
        <f>IFERROR(VLOOKUP(G135,キャラマスタ[],2,FALSE),"")</f>
        <v>チュウ</v>
      </c>
    </row>
    <row r="136" spans="1:9">
      <c r="A136" t="s">
        <v>718</v>
      </c>
      <c r="B136" s="6" t="str">
        <f>VLOOKUP(A136,キャラマスタ[],2,FALSE)</f>
        <v>ウソップ</v>
      </c>
      <c r="C136" t="s">
        <v>1690</v>
      </c>
      <c r="D136" s="6" t="str">
        <f>VLOOKUP(C136,技マスタ!$A$1:$J$605,2,FALSE)</f>
        <v>ウソップハンマー</v>
      </c>
      <c r="E136">
        <v>10</v>
      </c>
      <c r="F136">
        <v>88</v>
      </c>
      <c r="G136" t="s">
        <v>1454</v>
      </c>
      <c r="H136" s="6" t="str">
        <f>IFERROR(VLOOKUP(G136,キャラマスタ[],2,FALSE),"")</f>
        <v>チュウ</v>
      </c>
      <c r="I136">
        <v>1</v>
      </c>
    </row>
    <row r="137" spans="1:9">
      <c r="A137" t="s">
        <v>942</v>
      </c>
      <c r="B137" s="6" t="str">
        <f>VLOOKUP(A137,キャラマスタ[],2,FALSE)</f>
        <v>サンジ</v>
      </c>
      <c r="C137" t="s">
        <v>1695</v>
      </c>
      <c r="D137" s="6" t="str">
        <f>VLOOKUP(C137,技マスタ!$A$1:$J$605,2,FALSE)</f>
        <v>胸肉（ポワトリーヌ）シュート</v>
      </c>
      <c r="E137">
        <v>10</v>
      </c>
      <c r="F137">
        <v>88</v>
      </c>
      <c r="G137" t="s">
        <v>1310</v>
      </c>
      <c r="H137" s="6" t="str">
        <f>IFERROR(VLOOKUP(G137,キャラマスタ[],2,FALSE),"")</f>
        <v>アーロン</v>
      </c>
    </row>
    <row r="138" spans="1:9">
      <c r="A138" t="s">
        <v>718</v>
      </c>
      <c r="B138" s="6" t="str">
        <f>VLOOKUP(A138,キャラマスタ[],2,FALSE)</f>
        <v>ウソップ</v>
      </c>
      <c r="C138" t="s">
        <v>1350</v>
      </c>
      <c r="D138" s="6" t="str">
        <f>VLOOKUP(C138,技マスタ!$A$1:$J$605,2,FALSE)</f>
        <v>卵星</v>
      </c>
      <c r="E138">
        <v>10</v>
      </c>
      <c r="F138">
        <v>88</v>
      </c>
      <c r="G138" t="s">
        <v>1310</v>
      </c>
      <c r="H138" s="6" t="str">
        <f>IFERROR(VLOOKUP(G138,キャラマスタ[],2,FALSE),"")</f>
        <v>アーロン</v>
      </c>
    </row>
    <row r="139" spans="1:9">
      <c r="A139" t="s">
        <v>718</v>
      </c>
      <c r="B139" s="6" t="str">
        <f>VLOOKUP(A139,キャラマスタ[],2,FALSE)</f>
        <v>ウソップ</v>
      </c>
      <c r="C139" t="s">
        <v>1691</v>
      </c>
      <c r="D139" s="6" t="str">
        <f>VLOOKUP(C139,技マスタ!$A$1:$J$605,2,FALSE)</f>
        <v>ウソップ輪ごーむ</v>
      </c>
      <c r="E139">
        <v>10</v>
      </c>
      <c r="F139">
        <v>89</v>
      </c>
      <c r="G139" t="s">
        <v>1310</v>
      </c>
      <c r="H139" s="6" t="str">
        <f>IFERROR(VLOOKUP(G139,キャラマスタ[],2,FALSE),"")</f>
        <v>アーロン</v>
      </c>
    </row>
    <row r="140" spans="1:9">
      <c r="A140" t="s">
        <v>1311</v>
      </c>
      <c r="B140" s="6" t="str">
        <f>VLOOKUP(A140,キャラマスタ[],2,FALSE)</f>
        <v>はっちゃん</v>
      </c>
      <c r="C140" t="s">
        <v>1662</v>
      </c>
      <c r="D140" s="6" t="str">
        <f>VLOOKUP(C140,技マスタ!$A$1:$J$605,2,FALSE)</f>
        <v>タコ焼きパンチ</v>
      </c>
      <c r="E140">
        <v>10</v>
      </c>
      <c r="F140">
        <v>89</v>
      </c>
      <c r="G140" t="s">
        <v>1313</v>
      </c>
      <c r="H140" s="6" t="str">
        <f>IFERROR(VLOOKUP(G140,キャラマスタ[],2,FALSE),"")</f>
        <v>ノジコ</v>
      </c>
    </row>
    <row r="141" spans="1:9">
      <c r="A141" t="s">
        <v>288</v>
      </c>
      <c r="B141" s="6" t="str">
        <f>VLOOKUP(A141,キャラマスタ[],2,FALSE)</f>
        <v>モンキー・D・ルフィ</v>
      </c>
      <c r="C141" t="s">
        <v>973</v>
      </c>
      <c r="D141" s="6" t="str">
        <f>VLOOKUP(C141,技マスタ!$A$1:$J$605,2,FALSE)</f>
        <v>ゴムゴムの鐘（カネ）</v>
      </c>
      <c r="E141">
        <v>10</v>
      </c>
      <c r="F141">
        <v>89</v>
      </c>
      <c r="G141" t="s">
        <v>1310</v>
      </c>
      <c r="H141" s="6" t="str">
        <f>IFERROR(VLOOKUP(G141,キャラマスタ[],2,FALSE),"")</f>
        <v>アーロン</v>
      </c>
    </row>
    <row r="142" spans="1:9">
      <c r="A142" t="s">
        <v>411</v>
      </c>
      <c r="B142" s="6" t="str">
        <f>VLOOKUP(A142,キャラマスタ[],2,FALSE)</f>
        <v>モンキー・D・ルフィ</v>
      </c>
      <c r="C142" t="s">
        <v>984</v>
      </c>
      <c r="D142" s="6" t="str">
        <f>VLOOKUP(C142,技マスタ!$A$1:$J$605,2,FALSE)</f>
        <v>ゴムゴムの鞭（ムチ）</v>
      </c>
      <c r="E142">
        <v>10</v>
      </c>
      <c r="F142">
        <v>89</v>
      </c>
      <c r="G142" t="s">
        <v>1310</v>
      </c>
      <c r="H142" s="6" t="str">
        <f>IFERROR(VLOOKUP(G142,キャラマスタ[],2,FALSE),"")</f>
        <v>アーロン</v>
      </c>
    </row>
    <row r="143" spans="1:9">
      <c r="A143" t="s">
        <v>288</v>
      </c>
      <c r="B143" s="6" t="str">
        <f>VLOOKUP(A143,キャラマスタ[],2,FALSE)</f>
        <v>モンキー・D・ルフィ</v>
      </c>
      <c r="C143" t="s">
        <v>1347</v>
      </c>
      <c r="D143" s="6" t="str">
        <f>VLOOKUP(C143,技マスタ!$A$1:$J$605,2,FALSE)</f>
        <v>ゴムゴムの銃弾（ブレット）</v>
      </c>
      <c r="E143">
        <v>10</v>
      </c>
      <c r="F143">
        <v>89</v>
      </c>
      <c r="G143" t="s">
        <v>1310</v>
      </c>
      <c r="H143" s="6" t="str">
        <f>IFERROR(VLOOKUP(G143,キャラマスタ[],2,FALSE),"")</f>
        <v>アーロン</v>
      </c>
    </row>
    <row r="144" spans="1:9">
      <c r="A144" t="s">
        <v>288</v>
      </c>
      <c r="B144" s="6" t="str">
        <f>VLOOKUP(A144,キャラマスタ[],2,FALSE)</f>
        <v>モンキー・D・ルフィ</v>
      </c>
      <c r="C144" t="s">
        <v>851</v>
      </c>
      <c r="D144" s="6" t="str">
        <f>VLOOKUP(C144,技マスタ!$A$1:$J$605,2,FALSE)</f>
        <v>ゴムゴムの銃乱打（ガトリング）</v>
      </c>
      <c r="E144">
        <v>10</v>
      </c>
      <c r="F144">
        <v>89</v>
      </c>
      <c r="G144" t="s">
        <v>1310</v>
      </c>
      <c r="H144" s="6" t="str">
        <f>IFERROR(VLOOKUP(G144,キャラマスタ[],2,FALSE),"")</f>
        <v>アーロン</v>
      </c>
    </row>
    <row r="145" spans="1:9">
      <c r="A145" t="s">
        <v>1310</v>
      </c>
      <c r="B145" s="6" t="str">
        <f>VLOOKUP(A145,キャラマスタ[],2,FALSE)</f>
        <v>アーロン</v>
      </c>
      <c r="C145" t="s">
        <v>1696</v>
      </c>
      <c r="D145" s="6" t="str">
        <f>VLOOKUP(C145,技マスタ!$A$1:$J$605,2,FALSE)</f>
        <v>歯（トゥース）ガム</v>
      </c>
      <c r="E145">
        <v>10</v>
      </c>
      <c r="F145">
        <v>90</v>
      </c>
      <c r="G145" t="s">
        <v>288</v>
      </c>
      <c r="H145" s="6" t="str">
        <f>IFERROR(VLOOKUP(G145,キャラマスタ[],2,FALSE),"")</f>
        <v>モンキー・D・ルフィ</v>
      </c>
    </row>
    <row r="146" spans="1:9">
      <c r="A146" t="s">
        <v>1310</v>
      </c>
      <c r="B146" s="6" t="str">
        <f>VLOOKUP(A146,キャラマスタ[],2,FALSE)</f>
        <v>アーロン</v>
      </c>
      <c r="C146" t="s">
        <v>1696</v>
      </c>
      <c r="D146" s="6" t="str">
        <f>VLOOKUP(C146,技マスタ!$A$1:$J$605,2,FALSE)</f>
        <v>歯（トゥース）ガム</v>
      </c>
      <c r="E146">
        <v>11</v>
      </c>
      <c r="F146">
        <v>91</v>
      </c>
      <c r="G146" t="s">
        <v>288</v>
      </c>
      <c r="H146" s="6" t="str">
        <f>IFERROR(VLOOKUP(G146,キャラマスタ[],2,FALSE),"")</f>
        <v>モンキー・D・ルフィ</v>
      </c>
    </row>
    <row r="147" spans="1:9">
      <c r="A147" t="s">
        <v>1310</v>
      </c>
      <c r="B147" s="6" t="str">
        <f>VLOOKUP(A147,キャラマスタ[],2,FALSE)</f>
        <v>アーロン</v>
      </c>
      <c r="C147" t="s">
        <v>1696</v>
      </c>
      <c r="D147" s="6" t="str">
        <f>VLOOKUP(C147,技マスタ!$A$1:$J$605,2,FALSE)</f>
        <v>歯（トゥース）ガム</v>
      </c>
      <c r="E147">
        <v>11</v>
      </c>
      <c r="F147">
        <v>91</v>
      </c>
      <c r="G147" t="s">
        <v>288</v>
      </c>
      <c r="H147" s="6" t="str">
        <f>IFERROR(VLOOKUP(G147,キャラマスタ[],2,FALSE),"")</f>
        <v>モンキー・D・ルフィ</v>
      </c>
    </row>
    <row r="148" spans="1:9">
      <c r="A148" t="s">
        <v>1310</v>
      </c>
      <c r="B148" s="6" t="str">
        <f>VLOOKUP(A148,キャラマスタ[],2,FALSE)</f>
        <v>アーロン</v>
      </c>
      <c r="C148" t="s">
        <v>1697</v>
      </c>
      <c r="D148" s="6" t="str">
        <f>VLOOKUP(C148,技マスタ!$A$1:$J$605,2,FALSE)</f>
        <v>鮫（シャーク）・ON・DARTS</v>
      </c>
      <c r="E148">
        <v>11</v>
      </c>
      <c r="F148">
        <v>91</v>
      </c>
      <c r="G148" t="s">
        <v>288</v>
      </c>
      <c r="H148" s="6" t="str">
        <f>IFERROR(VLOOKUP(G148,キャラマスタ[],2,FALSE),"")</f>
        <v>モンキー・D・ルフィ</v>
      </c>
    </row>
    <row r="149" spans="1:9">
      <c r="A149" t="s">
        <v>1310</v>
      </c>
      <c r="B149" s="6" t="str">
        <f>VLOOKUP(A149,キャラマスタ[],2,FALSE)</f>
        <v>アーロン</v>
      </c>
      <c r="C149" t="s">
        <v>1697</v>
      </c>
      <c r="D149" s="6" t="str">
        <f>VLOOKUP(C149,技マスタ!$A$1:$J$605,2,FALSE)</f>
        <v>鮫（シャーク）・ON・DARTS</v>
      </c>
      <c r="E149">
        <v>11</v>
      </c>
      <c r="F149">
        <v>91</v>
      </c>
      <c r="G149" t="s">
        <v>288</v>
      </c>
      <c r="H149" s="6" t="str">
        <f>IFERROR(VLOOKUP(G149,キャラマスタ[],2,FALSE),"")</f>
        <v>モンキー・D・ルフィ</v>
      </c>
    </row>
    <row r="150" spans="1:9">
      <c r="A150" t="s">
        <v>1310</v>
      </c>
      <c r="B150" s="6" t="str">
        <f>VLOOKUP(A150,キャラマスタ[],2,FALSE)</f>
        <v>アーロン</v>
      </c>
      <c r="C150" t="s">
        <v>1697</v>
      </c>
      <c r="D150" s="6" t="str">
        <f>VLOOKUP(C150,技マスタ!$A$1:$J$605,2,FALSE)</f>
        <v>鮫（シャーク）・ON・DARTS</v>
      </c>
      <c r="E150">
        <v>11</v>
      </c>
      <c r="F150">
        <v>91</v>
      </c>
      <c r="G150" t="s">
        <v>288</v>
      </c>
      <c r="H150" s="6" t="str">
        <f>IFERROR(VLOOKUP(G150,キャラマスタ[],2,FALSE),"")</f>
        <v>モンキー・D・ルフィ</v>
      </c>
    </row>
    <row r="151" spans="1:9">
      <c r="A151" t="s">
        <v>288</v>
      </c>
      <c r="B151" s="6" t="str">
        <f>VLOOKUP(A151,キャラマスタ[],2,FALSE)</f>
        <v>モンキー・D・ルフィ</v>
      </c>
      <c r="C151" t="s">
        <v>1698</v>
      </c>
      <c r="D151" s="6" t="str">
        <f>VLOOKUP(C151,技マスタ!$A$1:$J$605,2,FALSE)</f>
        <v>ゴムゴムの盾</v>
      </c>
      <c r="E151">
        <v>11</v>
      </c>
      <c r="F151">
        <v>92</v>
      </c>
      <c r="G151" t="s">
        <v>1310</v>
      </c>
      <c r="H151" s="6" t="str">
        <f>IFERROR(VLOOKUP(G151,キャラマスタ[],2,FALSE),"")</f>
        <v>アーロン</v>
      </c>
    </row>
    <row r="152" spans="1:9">
      <c r="A152" t="s">
        <v>1310</v>
      </c>
      <c r="B152" s="6" t="str">
        <f>VLOOKUP(A152,キャラマスタ[],2,FALSE)</f>
        <v>アーロン</v>
      </c>
      <c r="C152" t="s">
        <v>1697</v>
      </c>
      <c r="D152" s="6" t="str">
        <f>VLOOKUP(C152,技マスタ!$A$1:$J$605,2,FALSE)</f>
        <v>鮫（シャーク）・ON・DARTS</v>
      </c>
      <c r="E152">
        <v>11</v>
      </c>
      <c r="F152">
        <v>92</v>
      </c>
      <c r="G152" t="s">
        <v>288</v>
      </c>
      <c r="H152" s="6" t="str">
        <f>IFERROR(VLOOKUP(G152,キャラマスタ[],2,FALSE),"")</f>
        <v>モンキー・D・ルフィ</v>
      </c>
    </row>
    <row r="153" spans="1:9">
      <c r="A153" t="s">
        <v>1310</v>
      </c>
      <c r="B153" s="6" t="str">
        <f>VLOOKUP(A153,キャラマスタ[],2,FALSE)</f>
        <v>アーロン</v>
      </c>
      <c r="C153" t="s">
        <v>1697</v>
      </c>
      <c r="D153" s="6" t="str">
        <f>VLOOKUP(C153,技マスタ!$A$1:$J$605,2,FALSE)</f>
        <v>鮫（シャーク）・ON・DARTS</v>
      </c>
      <c r="E153">
        <v>11</v>
      </c>
      <c r="F153">
        <v>92</v>
      </c>
      <c r="G153" t="s">
        <v>288</v>
      </c>
      <c r="H153" s="6" t="str">
        <f>IFERROR(VLOOKUP(G153,キャラマスタ[],2,FALSE),"")</f>
        <v>モンキー・D・ルフィ</v>
      </c>
    </row>
    <row r="154" spans="1:9">
      <c r="A154" t="s">
        <v>288</v>
      </c>
      <c r="B154" s="6" t="str">
        <f>VLOOKUP(A154,キャラマスタ[],2,FALSE)</f>
        <v>モンキー・D・ルフィ</v>
      </c>
      <c r="C154" t="s">
        <v>1699</v>
      </c>
      <c r="D154" s="6" t="str">
        <f>VLOOKUP(C154,技マスタ!$A$1:$J$605,2,FALSE)</f>
        <v>ゴムゴムの網</v>
      </c>
      <c r="E154">
        <v>11</v>
      </c>
      <c r="F154">
        <v>92</v>
      </c>
      <c r="G154" t="s">
        <v>1310</v>
      </c>
      <c r="H154" s="6" t="str">
        <f>IFERROR(VLOOKUP(G154,キャラマスタ[],2,FALSE),"")</f>
        <v>アーロン</v>
      </c>
    </row>
    <row r="155" spans="1:9">
      <c r="A155" t="s">
        <v>288</v>
      </c>
      <c r="B155" s="6" t="str">
        <f>VLOOKUP(A155,キャラマスタ[],2,FALSE)</f>
        <v>モンキー・D・ルフィ</v>
      </c>
      <c r="C155" t="s">
        <v>1700</v>
      </c>
      <c r="D155" s="6" t="str">
        <f>VLOOKUP(C155,技マスタ!$A$1:$J$605,2,FALSE)</f>
        <v>ゴムゴムの槍</v>
      </c>
      <c r="E155">
        <v>11</v>
      </c>
      <c r="F155">
        <v>92</v>
      </c>
      <c r="G155" t="s">
        <v>1310</v>
      </c>
      <c r="H155" s="6" t="str">
        <f>IFERROR(VLOOKUP(G155,キャラマスタ[],2,FALSE),"")</f>
        <v>アーロン</v>
      </c>
    </row>
    <row r="156" spans="1:9">
      <c r="A156" t="s">
        <v>1310</v>
      </c>
      <c r="B156" s="6" t="str">
        <f>VLOOKUP(A156,キャラマスタ[],2,FALSE)</f>
        <v>アーロン</v>
      </c>
      <c r="C156" t="s">
        <v>1701</v>
      </c>
      <c r="D156" s="6" t="str">
        <f>VLOOKUP(C156,技マスタ!$A$1:$J$605,2,FALSE)</f>
        <v>鮫・ON・歯車（シャーク・オン・トゥース）</v>
      </c>
      <c r="E156">
        <v>11</v>
      </c>
      <c r="F156">
        <v>93</v>
      </c>
      <c r="G156" t="s">
        <v>288</v>
      </c>
      <c r="H156" s="6" t="str">
        <f>IFERROR(VLOOKUP(G156,キャラマスタ[],2,FALSE),"")</f>
        <v>モンキー・D・ルフィ</v>
      </c>
    </row>
    <row r="157" spans="1:9">
      <c r="A157" t="s">
        <v>288</v>
      </c>
      <c r="B157" s="6" t="str">
        <f>VLOOKUP(A157,キャラマスタ[],2,FALSE)</f>
        <v>モンキー・D・ルフィ</v>
      </c>
      <c r="C157" t="s">
        <v>1262</v>
      </c>
      <c r="D157" s="6" t="str">
        <f>VLOOKUP(C157,技マスタ!$A$1:$J$605,2,FALSE)</f>
        <v>ゴムゴムの戦斧（オノ）</v>
      </c>
      <c r="E157">
        <v>11</v>
      </c>
      <c r="F157">
        <v>93</v>
      </c>
      <c r="G157" t="s">
        <v>1310</v>
      </c>
      <c r="H157" s="6" t="str">
        <f>IFERROR(VLOOKUP(G157,キャラマスタ[],2,FALSE),"")</f>
        <v>アーロン</v>
      </c>
      <c r="I157">
        <v>1</v>
      </c>
    </row>
    <row r="158" spans="1:9">
      <c r="A158" t="s">
        <v>570</v>
      </c>
      <c r="B158" s="6" t="str">
        <f>VLOOKUP(A158,キャラマスタ[],2,FALSE)</f>
        <v>バギー</v>
      </c>
      <c r="C158" t="s">
        <v>1702</v>
      </c>
      <c r="D158" s="6" t="str">
        <f>VLOOKUP(C158,技マスタ!$A$1:$J$605,2,FALSE)</f>
        <v>バラバラカー</v>
      </c>
      <c r="E158">
        <v>12</v>
      </c>
      <c r="F158">
        <v>100</v>
      </c>
      <c r="H158" s="6" t="str">
        <f>IFERROR(VLOOKUP(G158,キャラマスタ[],2,FALSE),"")</f>
        <v/>
      </c>
    </row>
    <row r="159" spans="1:9">
      <c r="A159" t="s">
        <v>570</v>
      </c>
      <c r="B159" s="6" t="str">
        <f>VLOOKUP(A159,キャラマスタ[],2,FALSE)</f>
        <v>バギー</v>
      </c>
      <c r="C159" t="s">
        <v>1703</v>
      </c>
      <c r="D159" s="6" t="str">
        <f>VLOOKUP(C159,技マスタ!$A$1:$J$605,2,FALSE)</f>
        <v>爆弾エンジン</v>
      </c>
      <c r="E159">
        <v>12</v>
      </c>
      <c r="F159">
        <v>100</v>
      </c>
      <c r="H159" s="6" t="str">
        <f>IFERROR(VLOOKUP(G159,キャラマスタ[],2,FALSE),"")</f>
        <v/>
      </c>
    </row>
    <row r="160" spans="1:9">
      <c r="A160" t="s">
        <v>433</v>
      </c>
      <c r="B160" s="6" t="str">
        <f>VLOOKUP(A160,キャラマスタ[],2,FALSE)</f>
        <v>アルビダ</v>
      </c>
      <c r="C160" t="s">
        <v>1704</v>
      </c>
      <c r="D160" s="6" t="str">
        <f>VLOOKUP(C160,技マスタ!$A$1:$J$605,2,FALSE)</f>
        <v>スベスベシュプール</v>
      </c>
      <c r="E160">
        <v>12</v>
      </c>
      <c r="F160">
        <v>100</v>
      </c>
      <c r="H160" s="6" t="str">
        <f>IFERROR(VLOOKUP(G160,キャラマスタ[],2,FALSE),"")</f>
        <v/>
      </c>
    </row>
    <row r="161" spans="1:8">
      <c r="A161" t="s">
        <v>1806</v>
      </c>
      <c r="B161" s="6" t="str">
        <f>VLOOKUP(A161,キャラマスタ[],2,FALSE)</f>
        <v>スモーカー</v>
      </c>
      <c r="C161" t="s">
        <v>1970</v>
      </c>
      <c r="D161" s="6" t="str">
        <f>VLOOKUP(C161,技マスタ!$A$1:$J$605,2,FALSE)</f>
        <v>ホワイト・アウト</v>
      </c>
      <c r="E161">
        <v>12</v>
      </c>
      <c r="F161">
        <v>100</v>
      </c>
      <c r="G161" t="s">
        <v>570</v>
      </c>
      <c r="H161" s="6" t="str">
        <f>IFERROR(VLOOKUP(G161,キャラマスタ[],2,FALSE),"")</f>
        <v>バギー</v>
      </c>
    </row>
    <row r="162" spans="1:8">
      <c r="A162" t="s">
        <v>1806</v>
      </c>
      <c r="B162" s="6" t="str">
        <f>VLOOKUP(A162,キャラマスタ[],2,FALSE)</f>
        <v>スモーカー</v>
      </c>
      <c r="C162" t="s">
        <v>1970</v>
      </c>
      <c r="D162" s="6" t="str">
        <f>VLOOKUP(C162,技マスタ!$A$1:$J$605,2,FALSE)</f>
        <v>ホワイト・アウト</v>
      </c>
      <c r="E162">
        <v>12</v>
      </c>
      <c r="F162">
        <v>100</v>
      </c>
      <c r="G162" t="s">
        <v>433</v>
      </c>
      <c r="H162" s="6" t="str">
        <f>IFERROR(VLOOKUP(G162,キャラマスタ[],2,FALSE),"")</f>
        <v>アルビダ</v>
      </c>
    </row>
    <row r="163" spans="1:8">
      <c r="A163" t="s">
        <v>718</v>
      </c>
      <c r="B163" s="6" t="str">
        <f>VLOOKUP(A163,キャラマスタ[],2,FALSE)</f>
        <v>ウソップ</v>
      </c>
      <c r="C163" t="s">
        <v>1971</v>
      </c>
      <c r="D163" s="6" t="str">
        <f>VLOOKUP(C163,技マスタ!$A$1:$J$605,2,FALSE)</f>
        <v>新鮮卵星</v>
      </c>
      <c r="E163">
        <v>12</v>
      </c>
      <c r="F163">
        <v>100</v>
      </c>
      <c r="G163" t="s">
        <v>575</v>
      </c>
      <c r="H163" s="6" t="str">
        <f>IFERROR(VLOOKUP(G163,キャラマスタ[],2,FALSE),"")</f>
        <v>リッチー</v>
      </c>
    </row>
    <row r="164" spans="1:8">
      <c r="A164" t="s">
        <v>1806</v>
      </c>
      <c r="B164" s="6" t="str">
        <f>VLOOKUP(A164,キャラマスタ[],2,FALSE)</f>
        <v>スモーカー</v>
      </c>
      <c r="C164" t="s">
        <v>1972</v>
      </c>
      <c r="D164" s="6" t="str">
        <f>VLOOKUP(C164,技マスタ!$A$1:$J$605,2,FALSE)</f>
        <v>ホワイト・ブロー</v>
      </c>
      <c r="E164">
        <v>12</v>
      </c>
      <c r="F164">
        <v>100</v>
      </c>
      <c r="G164" t="s">
        <v>942</v>
      </c>
      <c r="H164" s="6" t="str">
        <f>IFERROR(VLOOKUP(G164,キャラマスタ[],2,FALSE),"")</f>
        <v>サンジ</v>
      </c>
    </row>
    <row r="165" spans="1:8">
      <c r="A165" t="s">
        <v>288</v>
      </c>
      <c r="B165" s="6" t="str">
        <f>VLOOKUP(A165,キャラマスタ[],2,FALSE)</f>
        <v>モンキー・D・ルフィ</v>
      </c>
      <c r="C165" t="s">
        <v>2067</v>
      </c>
      <c r="D165" s="6" t="str">
        <f>VLOOKUP(C165,技マスタ!$A$1:$J$605,2,FALSE)</f>
        <v>ゴムゴムの銃（ピストル）</v>
      </c>
      <c r="E165">
        <v>12</v>
      </c>
      <c r="F165">
        <v>100</v>
      </c>
      <c r="G165" t="s">
        <v>1806</v>
      </c>
      <c r="H165" s="6" t="str">
        <f>IFERROR(VLOOKUP(G165,キャラマスタ[],2,FALSE),"")</f>
        <v>スモーカー</v>
      </c>
    </row>
    <row r="166" spans="1:8">
      <c r="A166" t="s">
        <v>288</v>
      </c>
      <c r="B166" s="6" t="str">
        <f>VLOOKUP(A166,キャラマスタ[],2,FALSE)</f>
        <v>モンキー・D・ルフィ</v>
      </c>
      <c r="C166" t="s">
        <v>2068</v>
      </c>
      <c r="D166" s="6" t="str">
        <f>VLOOKUP(C166,技マスタ!$A$1:$J$605,2,FALSE)</f>
        <v>ゴムゴムの風船</v>
      </c>
      <c r="E166">
        <v>12</v>
      </c>
      <c r="F166">
        <v>101</v>
      </c>
      <c r="H166" s="6"/>
    </row>
    <row r="167" spans="1:8">
      <c r="A167" t="s">
        <v>288</v>
      </c>
      <c r="B167" s="6" t="str">
        <f>VLOOKUP(A167,キャラマスタ[],2,FALSE)</f>
        <v>モンキー・D・ルフィ</v>
      </c>
      <c r="C167" t="s">
        <v>1973</v>
      </c>
      <c r="D167" s="6" t="str">
        <f>VLOOKUP(C167,技マスタ!$A$1:$J$605,2,FALSE)</f>
        <v>ゴムゴムの生け花</v>
      </c>
      <c r="E167">
        <v>12</v>
      </c>
      <c r="F167">
        <v>104</v>
      </c>
      <c r="G167" t="s">
        <v>1908</v>
      </c>
      <c r="H167" s="6" t="str">
        <f>IFERROR(VLOOKUP(G167,キャラマスタ[],2,FALSE),"")</f>
        <v>ラブーン</v>
      </c>
    </row>
    <row r="168" spans="1:8">
      <c r="A168" t="s">
        <v>1914</v>
      </c>
      <c r="B168" s="6" t="str">
        <f>VLOOKUP(A168,キャラマスタ[],2,FALSE)</f>
        <v>雪だるさん</v>
      </c>
      <c r="C168" t="s">
        <v>1974</v>
      </c>
      <c r="D168" s="6" t="str">
        <f>VLOOKUP(C168,技マスタ!$A$1:$J$605,2,FALSE)</f>
        <v>雪だるパンチ</v>
      </c>
      <c r="E168">
        <v>12</v>
      </c>
      <c r="F168">
        <v>106</v>
      </c>
      <c r="G168" t="s">
        <v>1915</v>
      </c>
      <c r="H168" s="6" t="str">
        <f>IFERROR(VLOOKUP(G168,キャラマスタ[],2,FALSE),"")</f>
        <v>スノウクイーン</v>
      </c>
    </row>
    <row r="169" spans="1:8">
      <c r="A169" t="s">
        <v>1918</v>
      </c>
      <c r="B169" s="6" t="str">
        <f>VLOOKUP(A169,キャラマスタ[],2,FALSE)</f>
        <v>Mr.8</v>
      </c>
      <c r="C169" t="s">
        <v>1975</v>
      </c>
      <c r="D169" s="6" t="str">
        <f>VLOOKUP(C169,技マスタ!$A$1:$J$605,2,FALSE)</f>
        <v>イガラッパ</v>
      </c>
      <c r="E169">
        <v>12</v>
      </c>
      <c r="F169">
        <v>107</v>
      </c>
      <c r="G169" t="s">
        <v>308</v>
      </c>
      <c r="H169" s="6" t="str">
        <f>IFERROR(VLOOKUP(G169,キャラマスタ[],2,FALSE),"")</f>
        <v>ロロノア・ゾロ</v>
      </c>
    </row>
    <row r="170" spans="1:8">
      <c r="A170" t="s">
        <v>1916</v>
      </c>
      <c r="B170" s="6" t="str">
        <f>VLOOKUP(A170,キャラマスタ[],2,FALSE)</f>
        <v>ミス・キャサリーナ</v>
      </c>
      <c r="C170" t="s">
        <v>1976</v>
      </c>
      <c r="D170" s="6" t="str">
        <f>VLOOKUP(C170,技マスタ!$A$1:$J$605,2,FALSE)</f>
        <v>神のご加護目潰し</v>
      </c>
      <c r="E170">
        <v>12</v>
      </c>
      <c r="F170">
        <v>108</v>
      </c>
      <c r="G170" t="s">
        <v>308</v>
      </c>
      <c r="H170" s="6" t="str">
        <f>IFERROR(VLOOKUP(G170,キャラマスタ[],2,FALSE),"")</f>
        <v>ロロノア・ゾロ</v>
      </c>
    </row>
    <row r="171" spans="1:8">
      <c r="A171" t="s">
        <v>308</v>
      </c>
      <c r="B171" s="6" t="str">
        <f>VLOOKUP(A171,キャラマスタ[],2,FALSE)</f>
        <v>ロロノア・ゾロ</v>
      </c>
      <c r="C171" t="s">
        <v>1977</v>
      </c>
      <c r="D171" s="6" t="str">
        <f>VLOOKUP(C171,技マスタ!$A$1:$J$605,2,FALSE)</f>
        <v>二刀流”鷹波”</v>
      </c>
      <c r="E171">
        <v>12</v>
      </c>
      <c r="F171">
        <v>108</v>
      </c>
      <c r="H171" s="6" t="str">
        <f>IFERROR(VLOOKUP(G171,キャラマスタ[],2,FALSE),"")</f>
        <v/>
      </c>
    </row>
    <row r="172" spans="1:8">
      <c r="A172" t="s">
        <v>1920</v>
      </c>
      <c r="B172" s="6" t="str">
        <f>VLOOKUP(A172,キャラマスタ[],2,FALSE)</f>
        <v>ミス・マンデー</v>
      </c>
      <c r="C172" t="s">
        <v>1978</v>
      </c>
      <c r="D172" s="6" t="str">
        <f>VLOOKUP(C172,技マスタ!$A$1:$J$605,2,FALSE)</f>
        <v>カ・イ・リ・キ　メリケン</v>
      </c>
      <c r="E172">
        <v>12</v>
      </c>
      <c r="F172">
        <v>108</v>
      </c>
      <c r="G172" t="s">
        <v>308</v>
      </c>
      <c r="H172" s="6" t="str">
        <f>IFERROR(VLOOKUP(G172,キャラマスタ[],2,FALSE),"")</f>
        <v>ロロノア・ゾロ</v>
      </c>
    </row>
    <row r="173" spans="1:8">
      <c r="A173" t="s">
        <v>1918</v>
      </c>
      <c r="B173" s="6" t="str">
        <f>VLOOKUP(A173,キャラマスタ[],2,FALSE)</f>
        <v>Mr.8</v>
      </c>
      <c r="C173" t="s">
        <v>1975</v>
      </c>
      <c r="D173" s="6" t="str">
        <f>VLOOKUP(C173,技マスタ!$A$1:$J$605,2,FALSE)</f>
        <v>イガラッパ</v>
      </c>
      <c r="E173">
        <v>13</v>
      </c>
      <c r="F173">
        <v>109</v>
      </c>
      <c r="G173" t="s">
        <v>308</v>
      </c>
      <c r="H173" s="6" t="str">
        <f>IFERROR(VLOOKUP(G173,キャラマスタ[],2,FALSE),"")</f>
        <v>ロロノア・ゾロ</v>
      </c>
    </row>
    <row r="174" spans="1:8">
      <c r="A174" t="s">
        <v>1911</v>
      </c>
      <c r="B174" s="6" t="str">
        <f>VLOOKUP(A174,キャラマスタ[],2,FALSE)</f>
        <v>Mr.9</v>
      </c>
      <c r="C174" t="s">
        <v>1979</v>
      </c>
      <c r="D174" s="6" t="str">
        <f>VLOOKUP(C174,技マスタ!$A$1:$J$605,2,FALSE)</f>
        <v>熱血ナイン根性バット</v>
      </c>
      <c r="E174">
        <v>13</v>
      </c>
      <c r="F174">
        <v>109</v>
      </c>
      <c r="G174" t="s">
        <v>308</v>
      </c>
      <c r="H174" s="6" t="str">
        <f>IFERROR(VLOOKUP(G174,キャラマスタ[],2,FALSE),"")</f>
        <v>ロロノア・ゾロ</v>
      </c>
    </row>
    <row r="175" spans="1:8">
      <c r="A175" t="s">
        <v>1910</v>
      </c>
      <c r="B175" s="6" t="str">
        <f>VLOOKUP(A175,キャラマスタ[],2,FALSE)</f>
        <v>ミス・ウェンズデー</v>
      </c>
      <c r="C175" t="s">
        <v>2162</v>
      </c>
      <c r="D175" s="6" t="str">
        <f>VLOOKUP(C175,技マスタ!$A$1:$J$605,2,FALSE)</f>
        <v>魅惑のメマーイダンス</v>
      </c>
      <c r="E175">
        <v>13</v>
      </c>
      <c r="F175">
        <v>109</v>
      </c>
      <c r="G175" t="s">
        <v>308</v>
      </c>
      <c r="H175" s="6" t="str">
        <f>IFERROR(VLOOKUP(G175,キャラマスタ[],2,FALSE),"")</f>
        <v>ロロノア・ゾロ</v>
      </c>
    </row>
    <row r="176" spans="1:8">
      <c r="A176" t="s">
        <v>1910</v>
      </c>
      <c r="B176" s="6" t="str">
        <f>VLOOKUP(A176,キャラマスタ[],2,FALSE)</f>
        <v>ミス・ウェンズデー</v>
      </c>
      <c r="C176" t="s">
        <v>2163</v>
      </c>
      <c r="D176" s="6" t="str">
        <f>VLOOKUP(C176,技マスタ!$A$1:$J$605,2,FALSE)</f>
        <v>孔雀スラッシャー（クジャッキースラッシャー）</v>
      </c>
      <c r="E176">
        <v>13</v>
      </c>
      <c r="F176">
        <v>109</v>
      </c>
      <c r="G176" t="s">
        <v>308</v>
      </c>
      <c r="H176" s="6" t="str">
        <f>IFERROR(VLOOKUP(G176,キャラマスタ[],2,FALSE),"")</f>
        <v>ロロノア・ゾロ</v>
      </c>
    </row>
    <row r="177" spans="1:9">
      <c r="A177" t="s">
        <v>1918</v>
      </c>
      <c r="B177" s="6" t="str">
        <f>VLOOKUP(A177,キャラマスタ[],2,FALSE)</f>
        <v>Mr.8</v>
      </c>
      <c r="C177" t="s">
        <v>1975</v>
      </c>
      <c r="D177" s="6" t="str">
        <f>VLOOKUP(C177,技マスタ!$A$1:$J$605,2,FALSE)</f>
        <v>イガラッパ</v>
      </c>
      <c r="E177">
        <v>13</v>
      </c>
      <c r="F177">
        <v>109</v>
      </c>
      <c r="G177" t="s">
        <v>308</v>
      </c>
      <c r="H177" s="6" t="str">
        <f>IFERROR(VLOOKUP(G177,キャラマスタ[],2,FALSE),"")</f>
        <v>ロロノア・ゾロ</v>
      </c>
    </row>
    <row r="178" spans="1:9">
      <c r="A178" t="s">
        <v>1911</v>
      </c>
      <c r="B178" s="6" t="str">
        <f>VLOOKUP(A178,キャラマスタ[],2,FALSE)</f>
        <v>Mr.9</v>
      </c>
      <c r="C178" t="s">
        <v>2164</v>
      </c>
      <c r="D178" s="6" t="str">
        <f>VLOOKUP(C178,技マスタ!$A$1:$J$605,2,FALSE)</f>
        <v>カッ飛ばせ仕込みバット</v>
      </c>
      <c r="E178">
        <v>13</v>
      </c>
      <c r="F178">
        <v>109</v>
      </c>
      <c r="G178" t="s">
        <v>308</v>
      </c>
      <c r="H178" s="6" t="str">
        <f>IFERROR(VLOOKUP(G178,キャラマスタ[],2,FALSE),"")</f>
        <v>ロロノア・ゾロ</v>
      </c>
    </row>
    <row r="179" spans="1:9">
      <c r="A179" t="s">
        <v>1918</v>
      </c>
      <c r="B179" s="6" t="str">
        <f>VLOOKUP(A179,キャラマスタ[],2,FALSE)</f>
        <v>Mr.8</v>
      </c>
      <c r="C179" t="s">
        <v>2165</v>
      </c>
      <c r="D179" s="6" t="str">
        <f>VLOOKUP(C179,技マスタ!$A$1:$J$605,2,FALSE)</f>
        <v>イガラッパッパ</v>
      </c>
      <c r="E179">
        <v>13</v>
      </c>
      <c r="F179">
        <v>109</v>
      </c>
      <c r="G179" t="s">
        <v>308</v>
      </c>
      <c r="H179" s="6" t="str">
        <f>IFERROR(VLOOKUP(G179,キャラマスタ[],2,FALSE),"")</f>
        <v>ロロノア・ゾロ</v>
      </c>
    </row>
    <row r="180" spans="1:9">
      <c r="A180" t="s">
        <v>1918</v>
      </c>
      <c r="B180" s="6" t="str">
        <f>VLOOKUP(A180,キャラマスタ[],2,FALSE)</f>
        <v>Mr.8</v>
      </c>
      <c r="C180" t="s">
        <v>2165</v>
      </c>
      <c r="D180" s="6" t="str">
        <f>VLOOKUP(C180,技マスタ!$A$1:$J$605,2,FALSE)</f>
        <v>イガラッパッパ</v>
      </c>
      <c r="E180">
        <v>13</v>
      </c>
      <c r="F180">
        <v>110</v>
      </c>
      <c r="G180" t="s">
        <v>2072</v>
      </c>
      <c r="H180" s="6" t="str">
        <f>IFERROR(VLOOKUP(G180,キャラマスタ[],2,FALSE),"")</f>
        <v>Mr.5</v>
      </c>
    </row>
    <row r="181" spans="1:9">
      <c r="A181" t="s">
        <v>1911</v>
      </c>
      <c r="B181" s="6" t="str">
        <f>VLOOKUP(A181,キャラマスタ[],2,FALSE)</f>
        <v>Mr.9</v>
      </c>
      <c r="C181" t="s">
        <v>1979</v>
      </c>
      <c r="D181" s="6" t="str">
        <f>VLOOKUP(C181,技マスタ!$A$1:$J$605,2,FALSE)</f>
        <v>熱血ナイン根性バット</v>
      </c>
      <c r="E181">
        <v>13</v>
      </c>
      <c r="F181">
        <v>110</v>
      </c>
      <c r="G181" t="s">
        <v>2072</v>
      </c>
      <c r="H181" s="6" t="str">
        <f>IFERROR(VLOOKUP(G181,キャラマスタ[],2,FALSE),"")</f>
        <v>Mr.5</v>
      </c>
    </row>
    <row r="182" spans="1:9">
      <c r="A182" t="s">
        <v>2072</v>
      </c>
      <c r="B182" s="6" t="str">
        <f>VLOOKUP(A182,キャラマスタ[],2,FALSE)</f>
        <v>Mr.5</v>
      </c>
      <c r="C182" t="s">
        <v>2166</v>
      </c>
      <c r="D182" s="6" t="str">
        <f>VLOOKUP(C182,技マスタ!$A$1:$J$605,2,FALSE)</f>
        <v>鼻空想砲（ノーズファンシーキャノン）</v>
      </c>
      <c r="E182">
        <v>13</v>
      </c>
      <c r="F182">
        <v>110</v>
      </c>
      <c r="G182" t="s">
        <v>1911</v>
      </c>
      <c r="H182" s="6" t="str">
        <f>IFERROR(VLOOKUP(G182,キャラマスタ[],2,FALSE),"")</f>
        <v>Mr.9</v>
      </c>
      <c r="I182">
        <v>1</v>
      </c>
    </row>
    <row r="183" spans="1:9">
      <c r="A183" t="s">
        <v>2072</v>
      </c>
      <c r="B183" s="6" t="str">
        <f>VLOOKUP(A183,キャラマスタ[],2,FALSE)</f>
        <v>Mr.5</v>
      </c>
      <c r="C183" t="s">
        <v>2166</v>
      </c>
      <c r="D183" s="6" t="str">
        <f>VLOOKUP(C183,技マスタ!$A$1:$J$605,2,FALSE)</f>
        <v>鼻空想砲（ノーズファンシーキャノン）</v>
      </c>
      <c r="E183">
        <v>13</v>
      </c>
      <c r="F183">
        <v>111</v>
      </c>
      <c r="G183" t="s">
        <v>308</v>
      </c>
      <c r="H183" s="6" t="str">
        <f>IFERROR(VLOOKUP(G183,キャラマスタ[],2,FALSE),"")</f>
        <v>ロロノア・ゾロ</v>
      </c>
    </row>
    <row r="184" spans="1:9">
      <c r="A184" t="s">
        <v>2073</v>
      </c>
      <c r="B184" s="6" t="str">
        <f>VLOOKUP(A184,キャラマスタ[],2,FALSE)</f>
        <v>ミス・バレンタイン</v>
      </c>
      <c r="C184" t="s">
        <v>2167</v>
      </c>
      <c r="D184" s="6" t="str">
        <f>VLOOKUP(C184,技マスタ!$A$1:$J$605,2,FALSE)</f>
        <v>1万kgプレス</v>
      </c>
      <c r="E184">
        <v>13</v>
      </c>
      <c r="F184">
        <v>112</v>
      </c>
      <c r="G184" t="s">
        <v>308</v>
      </c>
      <c r="H184" s="6" t="str">
        <f>IFERROR(VLOOKUP(G184,キャラマスタ[],2,FALSE),"")</f>
        <v>ロロノア・ゾロ</v>
      </c>
    </row>
    <row r="185" spans="1:9">
      <c r="A185" t="s">
        <v>288</v>
      </c>
      <c r="B185" s="6" t="str">
        <f>VLOOKUP(A185,キャラマスタ[],2,FALSE)</f>
        <v>モンキー・D・ルフィ</v>
      </c>
      <c r="C185" t="s">
        <v>766</v>
      </c>
      <c r="D185" s="6" t="str">
        <f>VLOOKUP(C185,技マスタ!$A$1:$J$605,2,FALSE)</f>
        <v>ゴムゴムのバズーカ</v>
      </c>
      <c r="E185">
        <v>13</v>
      </c>
      <c r="F185">
        <v>112</v>
      </c>
      <c r="G185" t="s">
        <v>308</v>
      </c>
      <c r="H185" s="6" t="str">
        <f>IFERROR(VLOOKUP(G185,キャラマスタ[],2,FALSE),"")</f>
        <v>ロロノア・ゾロ</v>
      </c>
    </row>
    <row r="186" spans="1:9">
      <c r="A186" t="s">
        <v>308</v>
      </c>
      <c r="B186" s="6" t="str">
        <f>VLOOKUP(A186,キャラマスタ[],2,FALSE)</f>
        <v>ロロノア・ゾロ</v>
      </c>
      <c r="C186" t="s">
        <v>636</v>
      </c>
      <c r="D186" s="6" t="str">
        <f>VLOOKUP(C186,技マスタ!$A$1:$J$605,2,FALSE)</f>
        <v>鬼斬り</v>
      </c>
      <c r="E186">
        <v>13</v>
      </c>
      <c r="F186">
        <v>112</v>
      </c>
      <c r="G186" t="s">
        <v>411</v>
      </c>
      <c r="H186" s="6" t="str">
        <f>IFERROR(VLOOKUP(G186,キャラマスタ[],2,FALSE),"")</f>
        <v>モンキー・D・ルフィ</v>
      </c>
    </row>
    <row r="187" spans="1:9">
      <c r="B187" s="6" t="e">
        <f>VLOOKUP(A187,キャラマスタ[],2,FALSE)</f>
        <v>#N/A</v>
      </c>
      <c r="D187" s="6" t="e">
        <f>VLOOKUP(C187,技マスタ!$A$1:$J$605,2,FALSE)</f>
        <v>#N/A</v>
      </c>
      <c r="H187" s="6" t="str">
        <f>IFERROR(VLOOKUP(G187,キャラマスタ[],2,FALSE),"")</f>
        <v/>
      </c>
    </row>
    <row r="188" spans="1:9">
      <c r="B188" s="6" t="e">
        <f>VLOOKUP(A188,キャラマスタ[],2,FALSE)</f>
        <v>#N/A</v>
      </c>
      <c r="D188" s="6" t="e">
        <f>VLOOKUP(C188,技マスタ!$A$1:$J$605,2,FALSE)</f>
        <v>#N/A</v>
      </c>
      <c r="H188" s="6" t="str">
        <f>IFERROR(VLOOKUP(G188,キャラマスタ[],2,FALSE),"")</f>
        <v/>
      </c>
    </row>
    <row r="189" spans="1:9">
      <c r="B189" s="6" t="e">
        <f>VLOOKUP(A189,キャラマスタ[],2,FALSE)</f>
        <v>#N/A</v>
      </c>
      <c r="D189" s="6" t="e">
        <f>VLOOKUP(C189,技マスタ!$A$1:$J$605,2,FALSE)</f>
        <v>#N/A</v>
      </c>
      <c r="H189" s="6" t="str">
        <f>IFERROR(VLOOKUP(G189,キャラマスタ[],2,FALSE),"")</f>
        <v/>
      </c>
    </row>
    <row r="190" spans="1:9">
      <c r="B190" s="6" t="e">
        <f>VLOOKUP(A190,キャラマスタ[],2,FALSE)</f>
        <v>#N/A</v>
      </c>
      <c r="D190" s="6" t="e">
        <f>VLOOKUP(C190,技マスタ!$A$1:$J$605,2,FALSE)</f>
        <v>#N/A</v>
      </c>
      <c r="H190" s="6" t="str">
        <f>IFERROR(VLOOKUP(G190,キャラマスタ[],2,FALSE),"")</f>
        <v/>
      </c>
    </row>
    <row r="191" spans="1:9">
      <c r="B191" s="6" t="e">
        <f>VLOOKUP(A191,キャラマスタ[],2,FALSE)</f>
        <v>#N/A</v>
      </c>
      <c r="D191" s="6" t="e">
        <f>VLOOKUP(C191,技マスタ!$A$1:$J$605,2,FALSE)</f>
        <v>#N/A</v>
      </c>
      <c r="H191" s="6" t="str">
        <f>IFERROR(VLOOKUP(G191,キャラマスタ[],2,FALSE),"")</f>
        <v/>
      </c>
    </row>
  </sheetData>
  <phoneticPr fontId="1"/>
  <dataValidations count="1">
    <dataValidation type="list" allowBlank="1" showInputMessage="1" showErrorMessage="1" sqref="G68 A143:A191 G76:G87 G164:G166 G141:G162 G90 G94:G96 A66:A105 A107:A125 G98:G126 G129:G139 A127:A140 G169:G191" xr:uid="{F57E8DEB-3EA2-49B7-9328-A8AC03D91DA6}">
      <formula1>$A$2:$A$1056</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8F85343-EBFD-43E9-AA95-FB555F7F01C3}">
          <x14:formula1>
            <xm:f>キャラクターマスタ!$A$2:$A$1051</xm:f>
          </x14:formula1>
          <xm:sqref>A2:A7</xm:sqref>
        </x14:dataValidation>
        <x14:dataValidation type="list" allowBlank="1" showInputMessage="1" showErrorMessage="1" xr:uid="{54203FF5-B510-4924-AFAF-C04A5B39ECBB}">
          <x14:formula1>
            <xm:f>キャラクターマスタ!$A:$A</xm:f>
          </x14:formula1>
          <xm:sqref>A8:A65 G1:G67 G69:G75 G192:G1048576 A106 A126 G127:G128 A141:A142</xm:sqref>
        </x14:dataValidation>
        <x14:dataValidation type="list" allowBlank="1" showInputMessage="1" showErrorMessage="1" xr:uid="{6AC153F0-5431-4343-934E-270188C07E5E}">
          <x14:formula1>
            <xm:f>技マスタ!$A:$A</xm:f>
          </x14:formula1>
          <xm:sqref>C1:C1048576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32B8B-BE5D-45DD-9DC3-95EC70A6E1DE}">
  <sheetPr>
    <tabColor theme="4" tint="0.59999389629810485"/>
  </sheetPr>
  <dimension ref="A1:T71"/>
  <sheetViews>
    <sheetView topLeftCell="A55" workbookViewId="0">
      <selection activeCell="C67" sqref="C67"/>
    </sheetView>
  </sheetViews>
  <sheetFormatPr baseColWidth="10" defaultColWidth="8.83203125" defaultRowHeight="18"/>
  <cols>
    <col min="1" max="1" width="11" customWidth="1"/>
    <col min="2" max="2" width="20.6640625" style="6" bestFit="1" customWidth="1"/>
    <col min="3" max="3" width="10" bestFit="1" customWidth="1"/>
    <col min="4" max="4" width="15.1640625" style="6" bestFit="1" customWidth="1"/>
    <col min="5" max="5" width="18.5" bestFit="1" customWidth="1"/>
    <col min="6" max="11" width="10.83203125" customWidth="1"/>
    <col min="12" max="13" width="9" customWidth="1"/>
    <col min="14" max="15" width="10.83203125" customWidth="1"/>
    <col min="16" max="18" width="12.6640625" customWidth="1"/>
  </cols>
  <sheetData>
    <row r="1" spans="1:20" ht="19">
      <c r="A1" t="s">
        <v>491</v>
      </c>
      <c r="B1" s="6" t="s">
        <v>14</v>
      </c>
      <c r="C1" t="s">
        <v>435</v>
      </c>
      <c r="D1" s="6" t="s">
        <v>191</v>
      </c>
      <c r="E1" t="s">
        <v>246</v>
      </c>
      <c r="F1" t="s">
        <v>370</v>
      </c>
      <c r="G1" s="3" t="s">
        <v>366</v>
      </c>
      <c r="H1" s="3" t="s">
        <v>367</v>
      </c>
      <c r="I1" s="3" t="s">
        <v>368</v>
      </c>
      <c r="J1" s="3" t="s">
        <v>369</v>
      </c>
      <c r="K1" s="1" t="s">
        <v>226</v>
      </c>
      <c r="L1" t="s">
        <v>192</v>
      </c>
      <c r="M1" t="s">
        <v>521</v>
      </c>
      <c r="N1" t="s">
        <v>238</v>
      </c>
      <c r="O1" t="s">
        <v>509</v>
      </c>
      <c r="P1" t="s">
        <v>247</v>
      </c>
      <c r="Q1" t="s">
        <v>242</v>
      </c>
      <c r="R1" t="s">
        <v>243</v>
      </c>
      <c r="S1" t="s">
        <v>244</v>
      </c>
      <c r="T1" t="s">
        <v>235</v>
      </c>
    </row>
    <row r="2" spans="1:20">
      <c r="A2" t="s">
        <v>288</v>
      </c>
      <c r="B2" s="8" t="str">
        <f>VLOOKUP(A2,キャラマスタ[],2,FALSE)</f>
        <v>モンキー・D・ルフィ</v>
      </c>
      <c r="C2" s="3" t="s">
        <v>507</v>
      </c>
      <c r="D2" s="6" t="str">
        <f>VLOOKUP(テーブル7[[#This Row],[勢力ID]],勢力マスタ[],2,FALSE)</f>
        <v>麦わらの一味</v>
      </c>
      <c r="E2" t="s">
        <v>287</v>
      </c>
      <c r="F2" t="s">
        <v>390</v>
      </c>
      <c r="G2">
        <v>1</v>
      </c>
      <c r="H2">
        <v>1</v>
      </c>
      <c r="K2">
        <f>IF(テーブル7[[#This Row],[加入年]]="","",1539+テーブル7[[#This Row],[加入年]])</f>
        <v>1539</v>
      </c>
      <c r="L2">
        <v>0</v>
      </c>
      <c r="M2">
        <v>1.4</v>
      </c>
      <c r="N2">
        <v>0</v>
      </c>
      <c r="O2">
        <v>5</v>
      </c>
      <c r="P2" t="s">
        <v>248</v>
      </c>
    </row>
    <row r="3" spans="1:20">
      <c r="A3" t="s">
        <v>288</v>
      </c>
      <c r="B3" s="8" t="str">
        <f>VLOOKUP(A3,キャラマスタ[],2,FALSE)</f>
        <v>モンキー・D・ルフィ</v>
      </c>
      <c r="C3" s="3" t="s">
        <v>448</v>
      </c>
      <c r="D3" s="6" t="str">
        <f>VLOOKUP(テーブル7[[#This Row],[勢力ID]],勢力マスタ[],2,FALSE)</f>
        <v>無所属</v>
      </c>
      <c r="G3">
        <v>1</v>
      </c>
      <c r="H3">
        <v>1</v>
      </c>
      <c r="I3">
        <v>1</v>
      </c>
      <c r="J3">
        <v>1</v>
      </c>
      <c r="K3">
        <f>IF(テーブル7[[#This Row],[加入年]]="","",1539+テーブル7[[#This Row],[加入年]])</f>
        <v>1529</v>
      </c>
      <c r="L3">
        <v>-10</v>
      </c>
      <c r="M3">
        <v>-3650</v>
      </c>
      <c r="N3">
        <v>0</v>
      </c>
      <c r="O3">
        <v>1.4</v>
      </c>
      <c r="P3" t="s">
        <v>525</v>
      </c>
    </row>
    <row r="4" spans="1:20">
      <c r="A4" t="s">
        <v>289</v>
      </c>
      <c r="B4" s="8" t="str">
        <f>VLOOKUP(A4,キャラマスタ[],2,FALSE)</f>
        <v>ゴール・D・ロジャー</v>
      </c>
      <c r="C4" s="3" t="s">
        <v>440</v>
      </c>
      <c r="D4" s="6" t="str">
        <f>VLOOKUP(テーブル7[[#This Row],[勢力ID]],勢力マスタ[],2,FALSE)</f>
        <v>ロジャー海賊団</v>
      </c>
      <c r="E4" t="s">
        <v>287</v>
      </c>
      <c r="F4" t="s">
        <v>390</v>
      </c>
      <c r="G4">
        <v>1</v>
      </c>
      <c r="I4">
        <v>1</v>
      </c>
      <c r="K4" t="str">
        <f>IF(テーブル7[[#This Row],[加入年]]="","",1539+テーブル7[[#This Row],[加入年]])</f>
        <v/>
      </c>
      <c r="M4">
        <v>-8030</v>
      </c>
      <c r="N4">
        <v>-22</v>
      </c>
      <c r="O4">
        <v>-8030</v>
      </c>
      <c r="P4" t="s">
        <v>326</v>
      </c>
      <c r="R4">
        <v>-22</v>
      </c>
      <c r="S4" t="s">
        <v>327</v>
      </c>
      <c r="T4" t="s">
        <v>522</v>
      </c>
    </row>
    <row r="5" spans="1:20">
      <c r="A5" t="s">
        <v>292</v>
      </c>
      <c r="B5" s="8" t="str">
        <f>VLOOKUP(A5,キャラマスタ[],2,FALSE)</f>
        <v>シャンクス</v>
      </c>
      <c r="C5" s="3" t="s">
        <v>441</v>
      </c>
      <c r="D5" s="6" t="str">
        <f>VLOOKUP(テーブル7[[#This Row],[勢力ID]],勢力マスタ[],2,FALSE)</f>
        <v>赤髪海賊団</v>
      </c>
      <c r="E5" t="s">
        <v>286</v>
      </c>
      <c r="F5" t="s">
        <v>390</v>
      </c>
      <c r="G5">
        <v>1</v>
      </c>
      <c r="H5">
        <v>1</v>
      </c>
      <c r="K5">
        <f>IF(テーブル7[[#This Row],[加入年]]="","",1539+テーブル7[[#This Row],[加入年]])</f>
        <v>1517</v>
      </c>
      <c r="L5">
        <v>-22</v>
      </c>
      <c r="M5">
        <v>-8030</v>
      </c>
      <c r="P5" t="s">
        <v>248</v>
      </c>
      <c r="Q5">
        <v>-22</v>
      </c>
      <c r="R5">
        <v>-11</v>
      </c>
      <c r="S5" t="s">
        <v>245</v>
      </c>
    </row>
    <row r="6" spans="1:20">
      <c r="A6" t="s">
        <v>293</v>
      </c>
      <c r="B6" s="8" t="str">
        <f>VLOOKUP(A6,キャラマスタ[],2,FALSE)</f>
        <v>ラッキー・ルウ</v>
      </c>
      <c r="C6" s="3" t="s">
        <v>441</v>
      </c>
      <c r="D6" s="6" t="str">
        <f>VLOOKUP(テーブル7[[#This Row],[勢力ID]],勢力マスタ[],2,FALSE)</f>
        <v>赤髪海賊団</v>
      </c>
      <c r="E6" t="s">
        <v>328</v>
      </c>
      <c r="F6" t="s">
        <v>390</v>
      </c>
      <c r="G6">
        <v>1</v>
      </c>
      <c r="H6">
        <v>1</v>
      </c>
      <c r="K6">
        <f>IF(テーブル7[[#This Row],[加入年]]="","",1539+テーブル7[[#This Row],[加入年]])</f>
        <v>1528</v>
      </c>
      <c r="L6">
        <v>-11</v>
      </c>
      <c r="M6" s="4">
        <v>-4015</v>
      </c>
      <c r="P6" t="s">
        <v>249</v>
      </c>
      <c r="Q6">
        <v>-22</v>
      </c>
      <c r="R6">
        <v>-11</v>
      </c>
    </row>
    <row r="7" spans="1:20">
      <c r="A7" t="s">
        <v>294</v>
      </c>
      <c r="B7" s="8" t="str">
        <f>VLOOKUP(A7,キャラマスタ[],2,FALSE)</f>
        <v>ヤソップ</v>
      </c>
      <c r="C7" s="3" t="s">
        <v>441</v>
      </c>
      <c r="D7" s="6" t="str">
        <f>VLOOKUP(テーブル7[[#This Row],[勢力ID]],勢力マスタ[],2,FALSE)</f>
        <v>赤髪海賊団</v>
      </c>
      <c r="E7" t="s">
        <v>329</v>
      </c>
      <c r="F7" t="s">
        <v>390</v>
      </c>
      <c r="G7">
        <v>1</v>
      </c>
      <c r="H7">
        <v>1</v>
      </c>
      <c r="K7">
        <f>IF(テーブル7[[#This Row],[加入年]]="","",1539+テーブル7[[#This Row],[加入年]])</f>
        <v>1527</v>
      </c>
      <c r="L7">
        <v>-12</v>
      </c>
      <c r="M7">
        <v>-4200</v>
      </c>
      <c r="P7" t="s">
        <v>249</v>
      </c>
      <c r="Q7">
        <v>-22</v>
      </c>
      <c r="R7">
        <v>-11</v>
      </c>
    </row>
    <row r="8" spans="1:20">
      <c r="A8" t="s">
        <v>295</v>
      </c>
      <c r="B8" s="8" t="str">
        <f>VLOOKUP(A8,キャラマスタ[],2,FALSE)</f>
        <v>ベン・ベックマン</v>
      </c>
      <c r="C8" s="3" t="s">
        <v>441</v>
      </c>
      <c r="D8" s="6" t="str">
        <f>VLOOKUP(テーブル7[[#This Row],[勢力ID]],勢力マスタ[],2,FALSE)</f>
        <v>赤髪海賊団</v>
      </c>
      <c r="E8" t="s">
        <v>330</v>
      </c>
      <c r="F8" t="s">
        <v>390</v>
      </c>
      <c r="G8">
        <v>1</v>
      </c>
      <c r="H8">
        <v>1</v>
      </c>
      <c r="K8">
        <f>IF(テーブル7[[#This Row],[加入年]]="","",1539+テーブル7[[#This Row],[加入年]])</f>
        <v>1528</v>
      </c>
      <c r="L8">
        <v>-11</v>
      </c>
      <c r="M8" s="4">
        <v>-4015</v>
      </c>
      <c r="P8" t="s">
        <v>249</v>
      </c>
      <c r="Q8">
        <v>-22</v>
      </c>
      <c r="R8">
        <v>-11</v>
      </c>
    </row>
    <row r="9" spans="1:20">
      <c r="A9" t="s">
        <v>298</v>
      </c>
      <c r="B9" s="8" t="str">
        <f>VLOOKUP(A9,キャラマスタ[],2,FALSE)</f>
        <v>ヒグマ</v>
      </c>
      <c r="C9" s="3" t="s">
        <v>442</v>
      </c>
      <c r="D9" s="6" t="str">
        <f>VLOOKUP(テーブル7[[#This Row],[勢力ID]],勢力マスタ[],2,FALSE)</f>
        <v>ヒグマ山賊団</v>
      </c>
      <c r="E9" t="s">
        <v>333</v>
      </c>
      <c r="F9" t="s">
        <v>391</v>
      </c>
      <c r="G9">
        <v>1</v>
      </c>
      <c r="I9">
        <v>1</v>
      </c>
      <c r="J9">
        <v>1</v>
      </c>
      <c r="K9" t="str">
        <f>IF(テーブル7[[#This Row],[加入年]]="","",1539+テーブル7[[#This Row],[加入年]])</f>
        <v/>
      </c>
      <c r="M9">
        <v>-3645</v>
      </c>
      <c r="N9">
        <v>-10</v>
      </c>
      <c r="O9">
        <v>-3645</v>
      </c>
      <c r="P9" t="s">
        <v>334</v>
      </c>
      <c r="T9" t="s">
        <v>522</v>
      </c>
    </row>
    <row r="10" spans="1:20">
      <c r="A10" t="s">
        <v>413</v>
      </c>
      <c r="B10" s="8" t="str">
        <f>VLOOKUP(A10,キャラマスタ[],2,FALSE)</f>
        <v>コビー</v>
      </c>
      <c r="C10" s="3" t="s">
        <v>443</v>
      </c>
      <c r="D10" s="6" t="str">
        <f>VLOOKUP(テーブル7[[#This Row],[勢力ID]],勢力マスタ[],2,FALSE)</f>
        <v>アルビダ海賊団</v>
      </c>
      <c r="E10" t="s">
        <v>380</v>
      </c>
      <c r="F10" t="s">
        <v>390</v>
      </c>
      <c r="G10">
        <v>1</v>
      </c>
      <c r="H10">
        <v>2</v>
      </c>
      <c r="I10">
        <v>1</v>
      </c>
      <c r="J10">
        <v>2</v>
      </c>
      <c r="K10">
        <f>IF(テーブル7[[#This Row],[加入年]]="","",1539+テーブル7[[#This Row],[加入年]])</f>
        <v>1537</v>
      </c>
      <c r="L10">
        <v>-2</v>
      </c>
      <c r="M10">
        <f>-2*365</f>
        <v>-730</v>
      </c>
      <c r="N10">
        <v>0</v>
      </c>
      <c r="O10">
        <v>1.2</v>
      </c>
      <c r="P10" t="s">
        <v>250</v>
      </c>
    </row>
    <row r="11" spans="1:20">
      <c r="A11" t="s">
        <v>413</v>
      </c>
      <c r="B11" s="8" t="str">
        <f>VLOOKUP(A11,キャラマスタ[],2,FALSE)</f>
        <v>コビー</v>
      </c>
      <c r="C11" s="3" t="s">
        <v>448</v>
      </c>
      <c r="D11" s="6" t="str">
        <f>VLOOKUP(テーブル7[[#This Row],[勢力ID]],勢力マスタ[],2,FALSE)</f>
        <v>無所属</v>
      </c>
      <c r="G11">
        <v>1</v>
      </c>
      <c r="H11">
        <v>2</v>
      </c>
      <c r="I11">
        <v>1</v>
      </c>
      <c r="J11">
        <v>7</v>
      </c>
      <c r="K11">
        <v>1539</v>
      </c>
      <c r="L11">
        <v>0</v>
      </c>
      <c r="M11">
        <v>1.2</v>
      </c>
      <c r="N11">
        <v>0</v>
      </c>
      <c r="O11">
        <v>1.5</v>
      </c>
      <c r="P11" t="s">
        <v>524</v>
      </c>
    </row>
    <row r="12" spans="1:20">
      <c r="A12" t="s">
        <v>413</v>
      </c>
      <c r="B12" s="8" t="str">
        <f>VLOOKUP(A12,キャラマスタ[],2,FALSE)</f>
        <v>コビー</v>
      </c>
      <c r="C12" s="3" t="s">
        <v>446</v>
      </c>
      <c r="D12" s="6" t="str">
        <f>VLOOKUP(テーブル7[[#This Row],[勢力ID]],勢力マスタ[],2,FALSE)</f>
        <v>海軍</v>
      </c>
      <c r="E12" t="s">
        <v>381</v>
      </c>
      <c r="F12" t="s">
        <v>392</v>
      </c>
      <c r="G12">
        <v>1</v>
      </c>
      <c r="H12">
        <v>7</v>
      </c>
      <c r="K12">
        <f>IF(テーブル7[[#This Row],[加入年]]="","",1539+テーブル7[[#This Row],[加入年]])</f>
        <v>1539</v>
      </c>
      <c r="L12">
        <v>0</v>
      </c>
      <c r="M12">
        <v>1.5</v>
      </c>
      <c r="P12" t="s">
        <v>249</v>
      </c>
    </row>
    <row r="13" spans="1:20">
      <c r="A13" t="s">
        <v>304</v>
      </c>
      <c r="B13" s="8" t="str">
        <f>VLOOKUP(A13,キャラマスタ[],2,FALSE)</f>
        <v>アルビダ</v>
      </c>
      <c r="C13" s="3" t="s">
        <v>443</v>
      </c>
      <c r="D13" s="6" t="str">
        <f>VLOOKUP(テーブル7[[#This Row],[勢力ID]],勢力マスタ[],2,FALSE)</f>
        <v>アルビダ海賊団</v>
      </c>
      <c r="E13" t="s">
        <v>287</v>
      </c>
      <c r="F13" t="s">
        <v>390</v>
      </c>
      <c r="G13">
        <v>1</v>
      </c>
      <c r="K13">
        <f>IF(テーブル7[[#This Row],[加入年]]="","",1539+テーブル7[[#This Row],[加入年]])</f>
        <v>1537</v>
      </c>
      <c r="L13">
        <v>-2</v>
      </c>
      <c r="M13">
        <f>-2*365</f>
        <v>-730</v>
      </c>
      <c r="P13" t="s">
        <v>248</v>
      </c>
      <c r="R13">
        <v>-2</v>
      </c>
      <c r="S13" t="s">
        <v>335</v>
      </c>
    </row>
    <row r="14" spans="1:20">
      <c r="A14" t="s">
        <v>414</v>
      </c>
      <c r="B14" s="8" t="str">
        <f>VLOOKUP(A14,キャラマスタ[],2,FALSE)</f>
        <v>ロロノア・ゾロ</v>
      </c>
      <c r="C14" s="3" t="s">
        <v>448</v>
      </c>
      <c r="D14" s="6" t="str">
        <f>VLOOKUP(テーブル7[[#This Row],[勢力ID]],勢力マスタ[],2,FALSE)</f>
        <v>無所属</v>
      </c>
      <c r="G14">
        <v>1</v>
      </c>
      <c r="H14">
        <v>5</v>
      </c>
      <c r="I14">
        <v>1</v>
      </c>
      <c r="J14">
        <v>6</v>
      </c>
      <c r="K14">
        <f>IF(テーブル7[[#This Row],[加入年]]="","",1539+テーブル7[[#This Row],[加入年]])</f>
        <v>1528</v>
      </c>
      <c r="L14">
        <v>-11</v>
      </c>
      <c r="M14">
        <v>-4000</v>
      </c>
      <c r="P14" t="s">
        <v>250</v>
      </c>
    </row>
    <row r="15" spans="1:20">
      <c r="A15" t="s">
        <v>414</v>
      </c>
      <c r="B15" s="8" t="str">
        <f>VLOOKUP(A15,キャラマスタ[],2,FALSE)</f>
        <v>ロロノア・ゾロ</v>
      </c>
      <c r="C15" s="3" t="s">
        <v>447</v>
      </c>
      <c r="D15" s="6" t="str">
        <f>VLOOKUP(テーブル7[[#This Row],[勢力ID]],勢力マスタ[],2,FALSE)</f>
        <v>賞金稼ぎ</v>
      </c>
      <c r="F15" t="s">
        <v>393</v>
      </c>
      <c r="I15">
        <v>1</v>
      </c>
      <c r="J15">
        <v>6</v>
      </c>
      <c r="K15" t="str">
        <f>IF(テーブル7[[#This Row],[加入年]]="","",1539+テーブル7[[#This Row],[加入年]])</f>
        <v/>
      </c>
      <c r="M15">
        <v>-3500</v>
      </c>
      <c r="O15">
        <v>1.4</v>
      </c>
      <c r="P15" t="s">
        <v>526</v>
      </c>
    </row>
    <row r="16" spans="1:20">
      <c r="A16" t="s">
        <v>414</v>
      </c>
      <c r="B16" s="8" t="str">
        <f>VLOOKUP(A16,キャラマスタ[],2,FALSE)</f>
        <v>ロロノア・ゾロ</v>
      </c>
      <c r="C16" s="3" t="s">
        <v>507</v>
      </c>
      <c r="D16" s="6" t="str">
        <f>VLOOKUP(テーブル7[[#This Row],[勢力ID]],勢力マスタ[],2,FALSE)</f>
        <v>麦わらの一味</v>
      </c>
      <c r="E16" t="s">
        <v>331</v>
      </c>
      <c r="F16" t="s">
        <v>390</v>
      </c>
      <c r="G16">
        <v>1</v>
      </c>
      <c r="H16">
        <v>6</v>
      </c>
      <c r="K16">
        <f>IF(テーブル7[[#This Row],[加入年]]="","",1539+テーブル7[[#This Row],[加入年]])</f>
        <v>1539</v>
      </c>
      <c r="L16">
        <v>0</v>
      </c>
      <c r="M16">
        <v>1.4</v>
      </c>
      <c r="P16" t="s">
        <v>249</v>
      </c>
    </row>
    <row r="17" spans="1:20">
      <c r="A17" t="s">
        <v>415</v>
      </c>
      <c r="B17" s="8" t="str">
        <f>VLOOKUP(A17,キャラマスタ[],2,FALSE)</f>
        <v>ヘルメッポ</v>
      </c>
      <c r="C17" s="3" t="s">
        <v>446</v>
      </c>
      <c r="D17" s="6" t="str">
        <f>VLOOKUP(テーブル7[[#This Row],[勢力ID]],勢力マスタ[],2,FALSE)</f>
        <v>海軍</v>
      </c>
      <c r="E17" t="s">
        <v>381</v>
      </c>
      <c r="F17" t="s">
        <v>392</v>
      </c>
      <c r="G17">
        <v>1</v>
      </c>
      <c r="K17">
        <f>IF(テーブル7[[#This Row],[加入年]]="","",1539+テーブル7[[#This Row],[加入年]])</f>
        <v>1539</v>
      </c>
      <c r="L17">
        <v>0</v>
      </c>
      <c r="M17">
        <v>1.5</v>
      </c>
      <c r="P17" t="s">
        <v>249</v>
      </c>
    </row>
    <row r="18" spans="1:20">
      <c r="A18" t="s">
        <v>408</v>
      </c>
      <c r="B18" s="8" t="str">
        <f>VLOOKUP(A18,キャラマスタ[],2,FALSE)</f>
        <v>モーガン</v>
      </c>
      <c r="C18" s="3" t="s">
        <v>446</v>
      </c>
      <c r="D18" s="6" t="str">
        <f>VLOOKUP(テーブル7[[#This Row],[勢力ID]],勢力マスタ[],2,FALSE)</f>
        <v>海軍</v>
      </c>
      <c r="E18" t="s">
        <v>383</v>
      </c>
      <c r="F18" t="s">
        <v>382</v>
      </c>
      <c r="G18">
        <v>1</v>
      </c>
      <c r="K18">
        <f>IF(テーブル7[[#This Row],[加入年]]="","",1539+テーブル7[[#This Row],[加入年]])</f>
        <v>1536</v>
      </c>
      <c r="L18">
        <v>-3</v>
      </c>
      <c r="M18">
        <v>-1095</v>
      </c>
      <c r="O18">
        <v>1.9</v>
      </c>
      <c r="P18" t="s">
        <v>249</v>
      </c>
      <c r="R18">
        <v>-3</v>
      </c>
      <c r="S18" t="s">
        <v>336</v>
      </c>
    </row>
    <row r="19" spans="1:20">
      <c r="A19" t="s">
        <v>416</v>
      </c>
      <c r="B19" s="8" t="str">
        <f>VLOOKUP(A19,キャラマスタ[],2,FALSE)</f>
        <v>ナミ</v>
      </c>
      <c r="C19" s="3" t="s">
        <v>448</v>
      </c>
      <c r="D19" s="6" t="str">
        <f>VLOOKUP(テーブル7[[#This Row],[勢力ID]],勢力マスタ[],2,FALSE)</f>
        <v>無所属</v>
      </c>
      <c r="E19" t="s">
        <v>653</v>
      </c>
      <c r="G19">
        <v>2</v>
      </c>
      <c r="H19">
        <v>9</v>
      </c>
      <c r="K19">
        <f>IF(テーブル7[[#This Row],[加入年]]="","",1539+テーブル7[[#This Row],[加入年]])</f>
        <v>1539</v>
      </c>
      <c r="L19">
        <v>0</v>
      </c>
      <c r="M19">
        <v>1.2</v>
      </c>
    </row>
    <row r="20" spans="1:20">
      <c r="A20" t="s">
        <v>416</v>
      </c>
      <c r="B20" s="8" t="str">
        <f>VLOOKUP(A20,キャラマスタ[],2,FALSE)</f>
        <v>ナミ</v>
      </c>
      <c r="C20" s="3" t="s">
        <v>507</v>
      </c>
      <c r="D20" s="6" t="str">
        <f>VLOOKUP(テーブル7[[#This Row],[勢力ID]],勢力マスタ[],2,FALSE)</f>
        <v>麦わらの一味</v>
      </c>
      <c r="E20" t="s">
        <v>337</v>
      </c>
      <c r="G20">
        <v>2</v>
      </c>
      <c r="H20">
        <v>14</v>
      </c>
      <c r="K20">
        <f>IF(テーブル7[[#This Row],[加入年]]="","",1539+テーブル7[[#This Row],[加入年]])</f>
        <v>1539</v>
      </c>
      <c r="L20">
        <v>0</v>
      </c>
      <c r="M20">
        <v>1.8</v>
      </c>
      <c r="N20">
        <v>0</v>
      </c>
      <c r="O20">
        <v>8.1</v>
      </c>
      <c r="P20" t="s">
        <v>249</v>
      </c>
    </row>
    <row r="21" spans="1:20">
      <c r="A21" t="s">
        <v>570</v>
      </c>
      <c r="B21" s="8" t="str">
        <f>VLOOKUP(A21,キャラマスタ[],2,FALSE)</f>
        <v>バギー</v>
      </c>
      <c r="C21" s="3" t="s">
        <v>449</v>
      </c>
      <c r="D21" s="6" t="str">
        <f>VLOOKUP(テーブル7[[#This Row],[勢力ID]],勢力マスタ[],2,FALSE)</f>
        <v>バギー海賊団</v>
      </c>
      <c r="E21" t="s">
        <v>654</v>
      </c>
      <c r="G21">
        <v>2</v>
      </c>
      <c r="H21">
        <v>9</v>
      </c>
      <c r="K21">
        <f>IF(テーブル7[[#This Row],[加入年]]="","",1539+テーブル7[[#This Row],[加入年]])</f>
        <v>1517</v>
      </c>
      <c r="L21">
        <v>-22</v>
      </c>
      <c r="M21">
        <v>-8030</v>
      </c>
      <c r="P21" t="s">
        <v>248</v>
      </c>
      <c r="Q21">
        <v>-22</v>
      </c>
      <c r="T21" t="s">
        <v>522</v>
      </c>
    </row>
    <row r="22" spans="1:20">
      <c r="A22" t="s">
        <v>574</v>
      </c>
      <c r="B22" s="8" t="str">
        <f>VLOOKUP(A22,キャラマスタ[],2,FALSE)</f>
        <v>モージ</v>
      </c>
      <c r="C22" s="3" t="s">
        <v>449</v>
      </c>
      <c r="D22" s="6" t="str">
        <f>VLOOKUP(テーブル7[[#This Row],[勢力ID]],勢力マスタ[],2,FALSE)</f>
        <v>バギー海賊団</v>
      </c>
      <c r="E22" t="s">
        <v>55</v>
      </c>
      <c r="G22">
        <v>2</v>
      </c>
      <c r="H22">
        <v>12</v>
      </c>
      <c r="K22">
        <f>IF(テーブル7[[#This Row],[加入年]]="","",1539+テーブル7[[#This Row],[加入年]])</f>
        <v>1528</v>
      </c>
      <c r="L22">
        <v>-11</v>
      </c>
      <c r="M22">
        <v>-4000</v>
      </c>
      <c r="P22" t="s">
        <v>249</v>
      </c>
      <c r="Q22">
        <v>-12</v>
      </c>
      <c r="R22">
        <v>-5</v>
      </c>
    </row>
    <row r="23" spans="1:20">
      <c r="A23" t="s">
        <v>576</v>
      </c>
      <c r="B23" s="8" t="str">
        <f>VLOOKUP(A23,キャラマスタ[],2,FALSE)</f>
        <v>シュシュ</v>
      </c>
      <c r="C23" s="3" t="s">
        <v>448</v>
      </c>
      <c r="D23" s="6" t="str">
        <f>VLOOKUP(テーブル7[[#This Row],[勢力ID]],勢力マスタ[],2,FALSE)</f>
        <v>無所属</v>
      </c>
      <c r="G23">
        <v>2</v>
      </c>
      <c r="H23">
        <v>12</v>
      </c>
      <c r="K23">
        <f>IF(テーブル7[[#This Row],[加入年]]="","",1539+テーブル7[[#This Row],[加入年]])</f>
        <v>1529</v>
      </c>
      <c r="L23">
        <v>-10</v>
      </c>
      <c r="M23">
        <v>-3640</v>
      </c>
      <c r="P23" t="s">
        <v>249</v>
      </c>
    </row>
    <row r="24" spans="1:20">
      <c r="A24" t="s">
        <v>580</v>
      </c>
      <c r="B24" s="8" t="str">
        <f>VLOOKUP(A24,キャラマスタ[],2,FALSE)</f>
        <v>カバジ</v>
      </c>
      <c r="C24" s="3" t="s">
        <v>449</v>
      </c>
      <c r="D24" s="6" t="str">
        <f>VLOOKUP(テーブル7[[#This Row],[勢力ID]],勢力マスタ[],2,FALSE)</f>
        <v>バギー海賊団</v>
      </c>
      <c r="E24" t="s">
        <v>554</v>
      </c>
      <c r="G24">
        <v>2</v>
      </c>
      <c r="H24">
        <v>15</v>
      </c>
      <c r="K24">
        <f>IF(テーブル7[[#This Row],[加入年]]="","",1539+テーブル7[[#This Row],[加入年]])</f>
        <v>1528</v>
      </c>
      <c r="L24">
        <v>-11</v>
      </c>
      <c r="M24">
        <v>-4000</v>
      </c>
      <c r="P24" t="s">
        <v>249</v>
      </c>
      <c r="Q24">
        <v>-13</v>
      </c>
      <c r="R24">
        <v>-4</v>
      </c>
    </row>
    <row r="25" spans="1:20">
      <c r="A25" t="s">
        <v>577</v>
      </c>
      <c r="B25" s="8" t="str">
        <f>VLOOKUP(A25,キャラマスタ[],2,FALSE)</f>
        <v>ブードル</v>
      </c>
      <c r="C25" s="3" t="s">
        <v>448</v>
      </c>
      <c r="D25" s="6" t="str">
        <f>VLOOKUP(テーブル7[[#This Row],[勢力ID]],勢力マスタ[],2,FALSE)</f>
        <v>無所属</v>
      </c>
      <c r="G25">
        <v>2</v>
      </c>
      <c r="H25">
        <v>12</v>
      </c>
      <c r="K25">
        <f>IF(テーブル7[[#This Row],[加入年]]="","",1539+テーブル7[[#This Row],[加入年]])</f>
        <v>1499</v>
      </c>
      <c r="L25">
        <v>-40</v>
      </c>
      <c r="M25">
        <v>-14600</v>
      </c>
      <c r="P25" t="s">
        <v>249</v>
      </c>
    </row>
    <row r="26" spans="1:20">
      <c r="A26" t="s">
        <v>292</v>
      </c>
      <c r="B26" s="8" t="str">
        <f>VLOOKUP(A26,キャラマスタ[],2,FALSE)</f>
        <v>シャンクス</v>
      </c>
      <c r="C26" s="3" t="s">
        <v>440</v>
      </c>
      <c r="D26" s="6" t="str">
        <f>VLOOKUP(テーブル7[[#This Row],[勢力ID]],勢力マスタ[],2,FALSE)</f>
        <v>ロジャー海賊団</v>
      </c>
      <c r="E26" t="s">
        <v>376</v>
      </c>
      <c r="G26">
        <v>3</v>
      </c>
      <c r="H26">
        <v>19</v>
      </c>
      <c r="K26">
        <f>IF(テーブル7[[#This Row],[加入年]]="","",1539+テーブル7[[#This Row],[加入年]])</f>
        <v>1514</v>
      </c>
      <c r="L26">
        <v>-25</v>
      </c>
      <c r="M26">
        <v>-9125</v>
      </c>
      <c r="N26">
        <v>-22</v>
      </c>
      <c r="O26">
        <v>-8030</v>
      </c>
      <c r="P26" t="s">
        <v>249</v>
      </c>
      <c r="Q26">
        <v>-37</v>
      </c>
      <c r="R26">
        <v>-25</v>
      </c>
    </row>
    <row r="27" spans="1:20">
      <c r="A27" t="s">
        <v>570</v>
      </c>
      <c r="B27" s="8" t="str">
        <f>VLOOKUP(A27,キャラマスタ[],2,FALSE)</f>
        <v>バギー</v>
      </c>
      <c r="C27" s="3" t="s">
        <v>440</v>
      </c>
      <c r="D27" s="6" t="str">
        <f>VLOOKUP(テーブル7[[#This Row],[勢力ID]],勢力マスタ[],2,FALSE)</f>
        <v>ロジャー海賊団</v>
      </c>
      <c r="E27" t="s">
        <v>376</v>
      </c>
      <c r="G27">
        <v>3</v>
      </c>
      <c r="H27">
        <v>19</v>
      </c>
      <c r="K27">
        <f>IF(テーブル7[[#This Row],[加入年]]="","",1539+テーブル7[[#This Row],[加入年]])</f>
        <v>1514</v>
      </c>
      <c r="L27">
        <v>-25</v>
      </c>
      <c r="M27">
        <v>-9125</v>
      </c>
      <c r="N27">
        <v>-22</v>
      </c>
      <c r="O27">
        <v>-8030</v>
      </c>
      <c r="P27" t="s">
        <v>249</v>
      </c>
      <c r="Q27">
        <v>-37</v>
      </c>
      <c r="R27">
        <v>-25</v>
      </c>
    </row>
    <row r="28" spans="1:20">
      <c r="A28" t="s">
        <v>723</v>
      </c>
      <c r="B28" s="8" t="str">
        <f>VLOOKUP(A28,キャラマスタ[],2,FALSE)</f>
        <v>クロ</v>
      </c>
      <c r="C28" s="3" t="s">
        <v>737</v>
      </c>
      <c r="D28" s="6" t="str">
        <f>VLOOKUP(テーブル7[[#This Row],[勢力ID]],勢力マスタ[],2,FALSE)</f>
        <v>クロネコ海賊団</v>
      </c>
      <c r="E28" t="s">
        <v>734</v>
      </c>
      <c r="I28">
        <v>3</v>
      </c>
      <c r="J28">
        <v>26</v>
      </c>
      <c r="K28">
        <f>IF(テーブル7[[#This Row],[加入年]]="","",1539+テーブル7[[#This Row],[加入年]])</f>
        <v>1531</v>
      </c>
      <c r="L28">
        <v>-8</v>
      </c>
      <c r="M28">
        <v>-2920</v>
      </c>
      <c r="N28">
        <v>-3</v>
      </c>
      <c r="O28">
        <v>-1095</v>
      </c>
      <c r="P28" t="s">
        <v>810</v>
      </c>
    </row>
    <row r="29" spans="1:20">
      <c r="A29" t="s">
        <v>723</v>
      </c>
      <c r="B29" s="8" t="str">
        <f>VLOOKUP(A29,キャラマスタ[],2,FALSE)</f>
        <v>クロ</v>
      </c>
      <c r="C29" s="3" t="s">
        <v>448</v>
      </c>
      <c r="D29" s="6" t="str">
        <f>VLOOKUP(テーブル7[[#This Row],[勢力ID]],勢力マスタ[],2,FALSE)</f>
        <v>無所属</v>
      </c>
      <c r="G29">
        <v>3</v>
      </c>
      <c r="H29">
        <v>25</v>
      </c>
      <c r="K29">
        <f>IF(テーブル7[[#This Row],[加入年]]="","",1539+テーブル7[[#This Row],[加入年]])</f>
        <v>1536</v>
      </c>
      <c r="L29">
        <v>-3</v>
      </c>
      <c r="M29">
        <v>-1095</v>
      </c>
      <c r="P29" t="s">
        <v>249</v>
      </c>
    </row>
    <row r="30" spans="1:20">
      <c r="A30" t="s">
        <v>718</v>
      </c>
      <c r="B30" s="8" t="str">
        <f>VLOOKUP(A30,キャラマスタ[],2,FALSE)</f>
        <v>ウソップ</v>
      </c>
      <c r="C30" s="3" t="s">
        <v>450</v>
      </c>
      <c r="D30" s="6" t="str">
        <f>VLOOKUP(テーブル7[[#This Row],[勢力ID]],勢力マスタ[],2,FALSE)</f>
        <v>ウソップ海賊団</v>
      </c>
      <c r="E30" t="s">
        <v>734</v>
      </c>
      <c r="G30">
        <v>5</v>
      </c>
      <c r="H30">
        <v>40</v>
      </c>
      <c r="I30">
        <v>5</v>
      </c>
      <c r="J30">
        <v>40</v>
      </c>
      <c r="K30">
        <f>IF(テーブル7[[#This Row],[加入年]]="","",1539+テーブル7[[#This Row],[加入年]])</f>
        <v>1534</v>
      </c>
      <c r="L30">
        <v>-5</v>
      </c>
      <c r="M30">
        <v>-1825</v>
      </c>
      <c r="N30">
        <v>0</v>
      </c>
      <c r="O30">
        <v>3.2</v>
      </c>
      <c r="P30" t="s">
        <v>524</v>
      </c>
    </row>
    <row r="31" spans="1:20">
      <c r="A31" t="s">
        <v>718</v>
      </c>
      <c r="B31" s="8" t="str">
        <f>VLOOKUP(A31,キャラマスタ[],2,FALSE)</f>
        <v>ウソップ</v>
      </c>
      <c r="C31" s="3" t="s">
        <v>448</v>
      </c>
      <c r="D31" s="6" t="str">
        <f>VLOOKUP(テーブル7[[#This Row],[勢力ID]],勢力マスタ[],2,FALSE)</f>
        <v>無所属</v>
      </c>
      <c r="K31">
        <f>IF(テーブル7[[#This Row],[加入年]]="","",1539+テーブル7[[#This Row],[加入年]])</f>
        <v>1527</v>
      </c>
      <c r="L31">
        <v>-12</v>
      </c>
      <c r="M31">
        <v>-4200</v>
      </c>
    </row>
    <row r="32" spans="1:20">
      <c r="A32" t="s">
        <v>717</v>
      </c>
      <c r="B32" s="8" t="str">
        <f>VLOOKUP(A32,キャラマスタ[],2,FALSE)</f>
        <v>ガイモン</v>
      </c>
      <c r="C32" s="3" t="s">
        <v>448</v>
      </c>
      <c r="D32" s="6" t="str">
        <f>VLOOKUP(テーブル7[[#This Row],[勢力ID]],勢力マスタ[],2,FALSE)</f>
        <v>無所属</v>
      </c>
      <c r="K32">
        <f>IF(テーブル7[[#This Row],[加入年]]="","",1539+テーブル7[[#This Row],[加入年]])</f>
        <v>1519</v>
      </c>
      <c r="L32">
        <v>-20</v>
      </c>
      <c r="M32">
        <v>-7300</v>
      </c>
    </row>
    <row r="33" spans="1:18">
      <c r="A33" t="s">
        <v>819</v>
      </c>
      <c r="B33" s="8" t="str">
        <f>VLOOKUP(A33,キャラマスタ[],2,FALSE)</f>
        <v>シャム</v>
      </c>
      <c r="C33" s="3" t="s">
        <v>737</v>
      </c>
      <c r="D33" s="6" t="str">
        <f>VLOOKUP(テーブル7[[#This Row],[勢力ID]],勢力マスタ[],2,FALSE)</f>
        <v>クロネコ海賊団</v>
      </c>
      <c r="E33" t="s">
        <v>823</v>
      </c>
      <c r="G33">
        <v>4</v>
      </c>
      <c r="H33">
        <v>31</v>
      </c>
      <c r="K33">
        <f>IF(テーブル7[[#This Row],[加入年]]="","",1539+テーブル7[[#This Row],[加入年]])</f>
        <v>1536</v>
      </c>
      <c r="L33">
        <v>-3</v>
      </c>
      <c r="M33">
        <v>-1095</v>
      </c>
      <c r="P33" t="s">
        <v>249</v>
      </c>
      <c r="Q33">
        <v>-5</v>
      </c>
      <c r="R33">
        <v>-3</v>
      </c>
    </row>
    <row r="34" spans="1:18">
      <c r="A34" t="s">
        <v>821</v>
      </c>
      <c r="B34" s="8" t="str">
        <f>VLOOKUP(A34,キャラマスタ[],2,FALSE)</f>
        <v>ブチ</v>
      </c>
      <c r="C34" s="3" t="s">
        <v>737</v>
      </c>
      <c r="D34" s="6" t="str">
        <f>VLOOKUP(テーブル7[[#This Row],[勢力ID]],勢力マスタ[],2,FALSE)</f>
        <v>クロネコ海賊団</v>
      </c>
      <c r="E34" t="s">
        <v>823</v>
      </c>
      <c r="G34">
        <v>4</v>
      </c>
      <c r="H34">
        <v>31</v>
      </c>
      <c r="K34">
        <f>IF(テーブル7[[#This Row],[加入年]]="","",1539+テーブル7[[#This Row],[加入年]])</f>
        <v>1536</v>
      </c>
      <c r="L34">
        <v>-3</v>
      </c>
      <c r="M34">
        <v>-1095</v>
      </c>
      <c r="P34" t="s">
        <v>249</v>
      </c>
      <c r="Q34">
        <v>-5</v>
      </c>
      <c r="R34">
        <v>-3</v>
      </c>
    </row>
    <row r="35" spans="1:18">
      <c r="A35" t="s">
        <v>727</v>
      </c>
      <c r="B35" s="8" t="str">
        <f>VLOOKUP(A35,キャラマスタ[],2,FALSE)</f>
        <v>ジャンゴ</v>
      </c>
      <c r="C35" s="3" t="s">
        <v>737</v>
      </c>
      <c r="D35" s="6" t="str">
        <f>VLOOKUP(テーブル7[[#This Row],[勢力ID]],勢力マスタ[],2,FALSE)</f>
        <v>クロネコ海賊団</v>
      </c>
      <c r="E35" t="s">
        <v>39</v>
      </c>
      <c r="G35">
        <v>4</v>
      </c>
      <c r="H35">
        <v>28</v>
      </c>
      <c r="K35">
        <f>IF(テーブル7[[#This Row],[加入年]]="","",1539+テーブル7[[#This Row],[加入年]])</f>
        <v>1536</v>
      </c>
      <c r="L35">
        <v>-3</v>
      </c>
      <c r="M35">
        <v>-1095</v>
      </c>
      <c r="P35" t="s">
        <v>249</v>
      </c>
      <c r="Q35">
        <v>-7</v>
      </c>
      <c r="R35">
        <v>-3</v>
      </c>
    </row>
    <row r="36" spans="1:18">
      <c r="A36" t="s">
        <v>718</v>
      </c>
      <c r="B36" s="8" t="str">
        <f>VLOOKUP(A36,キャラマスタ[],2,FALSE)</f>
        <v>ウソップ</v>
      </c>
      <c r="C36" s="3" t="s">
        <v>507</v>
      </c>
      <c r="D36" s="6" t="str">
        <f>VLOOKUP(テーブル7[[#This Row],[勢力ID]],勢力マスタ[],2,FALSE)</f>
        <v>麦わらの一味</v>
      </c>
      <c r="E36" t="s">
        <v>956</v>
      </c>
      <c r="G36">
        <v>5</v>
      </c>
      <c r="H36">
        <v>41</v>
      </c>
      <c r="K36">
        <f>IF(テーブル7[[#This Row],[加入年]]="","",1539+テーブル7[[#This Row],[加入年]])</f>
        <v>1539</v>
      </c>
      <c r="L36">
        <v>0</v>
      </c>
      <c r="M36">
        <v>3.3</v>
      </c>
      <c r="P36" t="s">
        <v>249</v>
      </c>
    </row>
    <row r="37" spans="1:18">
      <c r="A37" t="s">
        <v>1088</v>
      </c>
      <c r="B37" s="8" t="str">
        <f>VLOOKUP(A37,キャラマスタ[],2,FALSE)</f>
        <v>ヨサク</v>
      </c>
      <c r="C37" s="3" t="s">
        <v>447</v>
      </c>
      <c r="D37" s="6" t="str">
        <f>VLOOKUP(テーブル7[[#This Row],[勢力ID]],勢力マスタ[],2,FALSE)</f>
        <v>賞金稼ぎ</v>
      </c>
      <c r="G37">
        <v>5</v>
      </c>
      <c r="H37">
        <v>42</v>
      </c>
      <c r="K37">
        <f>IF(テーブル7[[#This Row],[加入年]]="","",1539+テーブル7[[#This Row],[加入年]])</f>
        <v>1539</v>
      </c>
      <c r="L37">
        <v>0</v>
      </c>
      <c r="M37">
        <v>3.5</v>
      </c>
      <c r="P37" t="s">
        <v>249</v>
      </c>
    </row>
    <row r="38" spans="1:18">
      <c r="A38" t="s">
        <v>1089</v>
      </c>
      <c r="B38" s="8" t="str">
        <f>VLOOKUP(A38,キャラマスタ[],2,FALSE)</f>
        <v>ジョニー</v>
      </c>
      <c r="C38" s="3" t="s">
        <v>447</v>
      </c>
      <c r="D38" s="6" t="str">
        <f>VLOOKUP(テーブル7[[#This Row],[勢力ID]],勢力マスタ[],2,FALSE)</f>
        <v>賞金稼ぎ</v>
      </c>
      <c r="G38">
        <v>5</v>
      </c>
      <c r="H38">
        <v>42</v>
      </c>
      <c r="K38">
        <f>IF(テーブル7[[#This Row],[加入年]]="","",1539+テーブル7[[#This Row],[加入年]])</f>
        <v>1539</v>
      </c>
      <c r="L38">
        <v>0</v>
      </c>
      <c r="M38">
        <v>3.5</v>
      </c>
      <c r="P38" t="s">
        <v>249</v>
      </c>
    </row>
    <row r="39" spans="1:18">
      <c r="A39" t="s">
        <v>1087</v>
      </c>
      <c r="B39" s="8" t="str">
        <f>VLOOKUP(A39,キャラマスタ[],2,FALSE)</f>
        <v>フルボディ</v>
      </c>
      <c r="C39" s="3" t="s">
        <v>446</v>
      </c>
      <c r="D39" s="6" t="str">
        <f>VLOOKUP(テーブル7[[#This Row],[勢力ID]],勢力マスタ[],2,FALSE)</f>
        <v>海軍</v>
      </c>
      <c r="E39" t="s">
        <v>898</v>
      </c>
      <c r="F39" t="s">
        <v>1074</v>
      </c>
      <c r="G39">
        <v>5</v>
      </c>
      <c r="H39">
        <v>43</v>
      </c>
      <c r="K39">
        <f>IF(テーブル7[[#This Row],[加入年]]="","",1539+テーブル7[[#This Row],[加入年]])</f>
        <v>1539</v>
      </c>
      <c r="L39">
        <v>0</v>
      </c>
      <c r="M39">
        <v>5</v>
      </c>
      <c r="P39" t="s">
        <v>249</v>
      </c>
    </row>
    <row r="40" spans="1:18">
      <c r="A40" t="s">
        <v>1092</v>
      </c>
      <c r="B40" s="8" t="str">
        <f>VLOOKUP(A40,キャラマスタ[],2,FALSE)</f>
        <v>サンジ</v>
      </c>
      <c r="C40" s="3" t="s">
        <v>959</v>
      </c>
      <c r="D40" s="6" t="str">
        <f>VLOOKUP(テーブル7[[#This Row],[勢力ID]],勢力マスタ[],2,FALSE)</f>
        <v>海上レストランバラティエ</v>
      </c>
      <c r="E40" t="s">
        <v>1075</v>
      </c>
      <c r="G40">
        <v>5</v>
      </c>
      <c r="H40">
        <v>43</v>
      </c>
      <c r="K40">
        <f>IF(テーブル7[[#This Row],[加入年]]="","",1539+テーブル7[[#This Row],[加入年]])</f>
        <v>1530</v>
      </c>
      <c r="L40">
        <v>-9</v>
      </c>
      <c r="M40">
        <v>-3200</v>
      </c>
      <c r="N40">
        <v>0</v>
      </c>
      <c r="O40">
        <v>7.5</v>
      </c>
      <c r="P40" t="s">
        <v>249</v>
      </c>
    </row>
    <row r="41" spans="1:18">
      <c r="A41" t="s">
        <v>1086</v>
      </c>
      <c r="B41" s="8" t="str">
        <f>VLOOKUP(A41,キャラマスタ[],2,FALSE)</f>
        <v>ゼフ</v>
      </c>
      <c r="C41" s="3" t="s">
        <v>959</v>
      </c>
      <c r="D41" s="6" t="str">
        <f>VLOOKUP(テーブル7[[#This Row],[勢力ID]],勢力マスタ[],2,FALSE)</f>
        <v>海上レストランバラティエ</v>
      </c>
      <c r="E41" t="s">
        <v>909</v>
      </c>
      <c r="G41">
        <v>5</v>
      </c>
      <c r="H41">
        <v>43</v>
      </c>
      <c r="K41">
        <f>IF(テーブル7[[#This Row],[加入年]]="","",1539+テーブル7[[#This Row],[加入年]])</f>
        <v>1530</v>
      </c>
      <c r="L41">
        <v>-9</v>
      </c>
      <c r="M41">
        <v>-3200</v>
      </c>
      <c r="P41" t="s">
        <v>249</v>
      </c>
    </row>
    <row r="42" spans="1:18">
      <c r="A42" t="s">
        <v>1091</v>
      </c>
      <c r="B42" s="8" t="str">
        <f>VLOOKUP(A42,キャラマスタ[],2,FALSE)</f>
        <v>ギン</v>
      </c>
      <c r="C42" s="3" t="s">
        <v>960</v>
      </c>
      <c r="D42" s="6" t="str">
        <f>VLOOKUP(テーブル7[[#This Row],[勢力ID]],勢力マスタ[],2,FALSE)</f>
        <v>クリーク海賊団</v>
      </c>
      <c r="E42" t="s">
        <v>1302</v>
      </c>
      <c r="G42">
        <v>6</v>
      </c>
      <c r="H42">
        <v>45</v>
      </c>
      <c r="K42">
        <f>IF(テーブル7[[#This Row],[加入年]]="","",1539+テーブル7[[#This Row],[加入年]])</f>
        <v>1539</v>
      </c>
      <c r="L42">
        <v>0</v>
      </c>
      <c r="M42">
        <v>-5</v>
      </c>
      <c r="P42" t="s">
        <v>249</v>
      </c>
    </row>
    <row r="43" spans="1:18">
      <c r="A43" t="s">
        <v>288</v>
      </c>
      <c r="B43" s="8" t="str">
        <f>VLOOKUP(A43,キャラマスタ[],2,FALSE)</f>
        <v>モンキー・D・ルフィ</v>
      </c>
      <c r="C43" s="3" t="s">
        <v>959</v>
      </c>
      <c r="D43" s="6" t="str">
        <f>VLOOKUP(テーブル7[[#This Row],[勢力ID]],勢力マスタ[],2,FALSE)</f>
        <v>海上レストランバラティエ</v>
      </c>
      <c r="E43" t="s">
        <v>1170</v>
      </c>
      <c r="G43">
        <v>6</v>
      </c>
      <c r="H43">
        <v>45</v>
      </c>
      <c r="K43">
        <f>IF(テーブル7[[#This Row],[加入年]]="","",1539+テーブル7[[#This Row],[加入年]])</f>
        <v>1539</v>
      </c>
      <c r="L43">
        <v>0</v>
      </c>
      <c r="M43">
        <v>5</v>
      </c>
      <c r="N43">
        <v>0</v>
      </c>
      <c r="O43">
        <v>8</v>
      </c>
      <c r="P43" t="s">
        <v>249</v>
      </c>
    </row>
    <row r="44" spans="1:18">
      <c r="A44" t="s">
        <v>1099</v>
      </c>
      <c r="B44" s="8" t="str">
        <f>VLOOKUP(A44,キャラマスタ[],2,FALSE)</f>
        <v>クリーク</v>
      </c>
      <c r="C44" s="3" t="s">
        <v>960</v>
      </c>
      <c r="D44" s="6" t="str">
        <f>VLOOKUP(テーブル7[[#This Row],[勢力ID]],勢力マスタ[],2,FALSE)</f>
        <v>クリーク海賊団</v>
      </c>
      <c r="E44" t="s">
        <v>1171</v>
      </c>
      <c r="G44">
        <v>6</v>
      </c>
      <c r="H44">
        <v>46</v>
      </c>
      <c r="K44">
        <f>IF(テーブル7[[#This Row],[加入年]]="","",1539+テーブル7[[#This Row],[加入年]])</f>
        <v>1539</v>
      </c>
      <c r="L44">
        <v>0</v>
      </c>
      <c r="M44">
        <v>-5</v>
      </c>
      <c r="P44" t="s">
        <v>249</v>
      </c>
    </row>
    <row r="45" spans="1:18">
      <c r="A45" t="s">
        <v>1086</v>
      </c>
      <c r="B45" s="8" t="str">
        <f>VLOOKUP(A45,キャラマスタ[],2,FALSE)</f>
        <v>ゼフ</v>
      </c>
      <c r="C45" s="3" t="s">
        <v>1145</v>
      </c>
      <c r="D45" s="6" t="str">
        <f>VLOOKUP(テーブル7[[#This Row],[勢力ID]],勢力マスタ[],2,FALSE)</f>
        <v>クック海賊団</v>
      </c>
      <c r="E45" t="s">
        <v>1176</v>
      </c>
      <c r="G45">
        <v>6</v>
      </c>
      <c r="H45">
        <v>48</v>
      </c>
      <c r="K45">
        <f>IF(テーブル7[[#This Row],[加入年]]="","",1539+テーブル7[[#This Row],[加入年]])</f>
        <v>1529</v>
      </c>
      <c r="L45">
        <v>-10</v>
      </c>
      <c r="M45">
        <v>-3650</v>
      </c>
      <c r="P45" t="s">
        <v>249</v>
      </c>
    </row>
    <row r="46" spans="1:18">
      <c r="A46" t="s">
        <v>1100</v>
      </c>
      <c r="B46" s="8" t="str">
        <f>VLOOKUP(A46,キャラマスタ[],2,FALSE)</f>
        <v>ジュラキュール・ミホーク</v>
      </c>
      <c r="C46" t="s">
        <v>1144</v>
      </c>
      <c r="D46" s="6" t="str">
        <f>VLOOKUP(テーブル7[[#This Row],[勢力ID]],勢力マスタ[],2,FALSE)</f>
        <v>王下七武海</v>
      </c>
      <c r="G46">
        <v>6</v>
      </c>
      <c r="H46">
        <v>51</v>
      </c>
      <c r="K46">
        <f>IF(テーブル7[[#This Row],[加入年]]="","",1539+テーブル7[[#This Row],[加入年]])</f>
        <v>1539</v>
      </c>
      <c r="L46">
        <v>0</v>
      </c>
      <c r="M46">
        <v>7</v>
      </c>
      <c r="P46" t="s">
        <v>249</v>
      </c>
    </row>
    <row r="47" spans="1:18">
      <c r="A47" t="s">
        <v>1236</v>
      </c>
      <c r="B47" s="8" t="str">
        <f>VLOOKUP(A47,キャラマスタ[],2,FALSE)</f>
        <v>パール</v>
      </c>
      <c r="C47" s="3" t="s">
        <v>960</v>
      </c>
      <c r="D47" s="6" t="str">
        <f>VLOOKUP(テーブル7[[#This Row],[勢力ID]],勢力マスタ[],2,FALSE)</f>
        <v>クリーク海賊団</v>
      </c>
      <c r="E47" t="s">
        <v>1421</v>
      </c>
      <c r="G47">
        <v>7</v>
      </c>
      <c r="H47">
        <v>54</v>
      </c>
      <c r="K47">
        <f>IF(テーブル7[[#This Row],[加入年]]="","",1539+テーブル7[[#This Row],[加入年]])</f>
        <v>1539</v>
      </c>
      <c r="L47">
        <v>0</v>
      </c>
      <c r="M47">
        <v>7.2</v>
      </c>
      <c r="P47" t="s">
        <v>249</v>
      </c>
    </row>
    <row r="48" spans="1:18">
      <c r="A48" t="s">
        <v>1090</v>
      </c>
      <c r="B48" s="8" t="str">
        <f>VLOOKUP(A48,キャラマスタ[],2,FALSE)</f>
        <v>サンジ</v>
      </c>
      <c r="C48" s="3" t="s">
        <v>1291</v>
      </c>
      <c r="D48" s="6" t="str">
        <f>VLOOKUP(テーブル7[[#This Row],[勢力ID]],勢力マスタ[],2,FALSE)</f>
        <v>客船</v>
      </c>
      <c r="E48" t="s">
        <v>1298</v>
      </c>
      <c r="G48">
        <v>7</v>
      </c>
      <c r="H48">
        <v>56</v>
      </c>
      <c r="K48">
        <f>IF(テーブル7[[#This Row],[加入年]]="","",1539+テーブル7[[#This Row],[加入年]])</f>
        <v>1530</v>
      </c>
      <c r="L48">
        <v>-9</v>
      </c>
      <c r="M48">
        <v>-3285</v>
      </c>
      <c r="N48">
        <v>-9</v>
      </c>
      <c r="O48">
        <v>-3200</v>
      </c>
      <c r="P48" t="s">
        <v>249</v>
      </c>
    </row>
    <row r="49" spans="1:16">
      <c r="A49" t="s">
        <v>288</v>
      </c>
      <c r="B49" s="8" t="str">
        <f>VLOOKUP(A49,キャラマスタ[],2,FALSE)</f>
        <v>モンキー・D・ルフィ</v>
      </c>
      <c r="C49" s="3" t="s">
        <v>507</v>
      </c>
      <c r="D49" s="6" t="str">
        <f>VLOOKUP(テーブル7[[#This Row],[勢力ID]],勢力マスタ[],2,FALSE)</f>
        <v>麦わらの一味</v>
      </c>
      <c r="E49" t="s">
        <v>1414</v>
      </c>
      <c r="G49">
        <v>8</v>
      </c>
      <c r="H49">
        <v>67</v>
      </c>
      <c r="K49">
        <f>IF(テーブル7[[#This Row],[加入年]]="","",1539+テーブル7[[#This Row],[加入年]])</f>
        <v>1539</v>
      </c>
      <c r="L49">
        <v>0</v>
      </c>
      <c r="M49">
        <v>8</v>
      </c>
      <c r="P49" t="s">
        <v>249</v>
      </c>
    </row>
    <row r="50" spans="1:16">
      <c r="A50" t="s">
        <v>1090</v>
      </c>
      <c r="B50" s="8" t="str">
        <f>VLOOKUP(A50,キャラマスタ[],2,FALSE)</f>
        <v>サンジ</v>
      </c>
      <c r="C50" s="3" t="s">
        <v>507</v>
      </c>
      <c r="D50" s="6" t="str">
        <f>VLOOKUP(テーブル7[[#This Row],[勢力ID]],勢力マスタ[],2,FALSE)</f>
        <v>麦わらの一味</v>
      </c>
      <c r="E50" t="s">
        <v>1417</v>
      </c>
      <c r="G50">
        <v>8</v>
      </c>
      <c r="H50">
        <v>68</v>
      </c>
      <c r="K50">
        <f>IF(テーブル7[[#This Row],[加入年]]="","",1539+テーブル7[[#This Row],[加入年]])</f>
        <v>1539</v>
      </c>
      <c r="L50">
        <v>0</v>
      </c>
      <c r="M50">
        <v>8.1</v>
      </c>
      <c r="P50" t="s">
        <v>249</v>
      </c>
    </row>
    <row r="51" spans="1:16">
      <c r="A51" t="s">
        <v>1418</v>
      </c>
      <c r="B51" s="8" t="str">
        <f>VLOOKUP(A51,キャラマスタ[],2,FALSE)</f>
        <v>ネズミ</v>
      </c>
      <c r="C51" s="3" t="s">
        <v>446</v>
      </c>
      <c r="D51" s="6" t="str">
        <f>VLOOKUP(テーブル7[[#This Row],[勢力ID]],勢力マスタ[],2,FALSE)</f>
        <v>海軍</v>
      </c>
      <c r="E51" t="s">
        <v>1419</v>
      </c>
      <c r="F51" t="s">
        <v>1420</v>
      </c>
      <c r="G51">
        <v>8</v>
      </c>
      <c r="H51">
        <v>69</v>
      </c>
      <c r="K51">
        <f>IF(テーブル7[[#This Row],[加入年]]="","",1539+テーブル7[[#This Row],[加入年]])</f>
        <v>1539</v>
      </c>
      <c r="L51">
        <v>0</v>
      </c>
      <c r="M51">
        <v>8.1</v>
      </c>
      <c r="P51" t="s">
        <v>249</v>
      </c>
    </row>
    <row r="52" spans="1:16">
      <c r="A52" t="s">
        <v>1422</v>
      </c>
      <c r="B52" s="8" t="str">
        <f>VLOOKUP(A52,キャラマスタ[],2,FALSE)</f>
        <v>アーロン</v>
      </c>
      <c r="C52" t="s">
        <v>1292</v>
      </c>
      <c r="D52" s="6" t="str">
        <f>VLOOKUP(テーブル7[[#This Row],[勢力ID]],勢力マスタ[],2,FALSE)</f>
        <v>アーロン一味</v>
      </c>
      <c r="E52" t="s">
        <v>1414</v>
      </c>
      <c r="G52">
        <v>8</v>
      </c>
      <c r="H52">
        <v>69</v>
      </c>
      <c r="K52">
        <f>IF(テーブル7[[#This Row],[加入年]]="","",1539+テーブル7[[#This Row],[加入年]])</f>
        <v>1531</v>
      </c>
      <c r="L52">
        <v>-8</v>
      </c>
      <c r="M52">
        <v>-2920</v>
      </c>
      <c r="P52" t="s">
        <v>249</v>
      </c>
    </row>
    <row r="53" spans="1:16">
      <c r="A53" t="s">
        <v>1424</v>
      </c>
      <c r="B53" s="8" t="str">
        <f>VLOOKUP(A53,キャラマスタ[],2,FALSE)</f>
        <v>はっちゃん</v>
      </c>
      <c r="C53" t="s">
        <v>1292</v>
      </c>
      <c r="D53" s="6" t="str">
        <f>VLOOKUP(テーブル7[[#This Row],[勢力ID]],勢力マスタ[],2,FALSE)</f>
        <v>アーロン一味</v>
      </c>
      <c r="E53" t="s">
        <v>1425</v>
      </c>
      <c r="G53">
        <v>8</v>
      </c>
      <c r="H53">
        <v>69</v>
      </c>
      <c r="K53">
        <f>IF(テーブル7[[#This Row],[加入年]]="","",1539+テーブル7[[#This Row],[加入年]])</f>
        <v>1531</v>
      </c>
      <c r="L53">
        <v>-8</v>
      </c>
      <c r="M53">
        <v>-2920</v>
      </c>
      <c r="P53" t="s">
        <v>249</v>
      </c>
    </row>
    <row r="54" spans="1:16">
      <c r="A54" t="s">
        <v>321</v>
      </c>
      <c r="B54" s="8" t="str">
        <f>VLOOKUP(A54,キャラマスタ[],2,FALSE)</f>
        <v>ナミ</v>
      </c>
      <c r="C54" t="s">
        <v>1292</v>
      </c>
      <c r="D54" s="6" t="str">
        <f>VLOOKUP(テーブル7[[#This Row],[勢力ID]],勢力マスタ[],2,FALSE)</f>
        <v>アーロン一味</v>
      </c>
      <c r="E54" t="s">
        <v>1425</v>
      </c>
      <c r="G54">
        <v>8</v>
      </c>
      <c r="H54">
        <v>69</v>
      </c>
      <c r="K54">
        <f>IF(テーブル7[[#This Row],[加入年]]="","",1539+テーブル7[[#This Row],[加入年]])</f>
        <v>1531</v>
      </c>
      <c r="L54">
        <v>-8</v>
      </c>
      <c r="M54">
        <v>-2919</v>
      </c>
      <c r="P54" t="s">
        <v>249</v>
      </c>
    </row>
    <row r="55" spans="1:16">
      <c r="A55" t="s">
        <v>1453</v>
      </c>
      <c r="B55" s="8" t="str">
        <f>VLOOKUP(A55,キャラマスタ[],2,FALSE)</f>
        <v>モーム</v>
      </c>
      <c r="C55" t="s">
        <v>1292</v>
      </c>
      <c r="D55" s="6" t="str">
        <f>VLOOKUP(テーブル7[[#This Row],[勢力ID]],勢力マスタ[],2,FALSE)</f>
        <v>アーロン一味</v>
      </c>
      <c r="E55" t="s">
        <v>1519</v>
      </c>
      <c r="G55">
        <v>9</v>
      </c>
      <c r="H55">
        <v>73</v>
      </c>
      <c r="K55">
        <f>IF(テーブル7[[#This Row],[加入年]]="","",1539+テーブル7[[#This Row],[加入年]])</f>
        <v>1531</v>
      </c>
      <c r="L55">
        <v>-8</v>
      </c>
      <c r="M55">
        <v>-2920</v>
      </c>
      <c r="P55" t="s">
        <v>249</v>
      </c>
    </row>
    <row r="56" spans="1:16">
      <c r="A56" t="s">
        <v>321</v>
      </c>
      <c r="B56" s="8" t="str">
        <f>VLOOKUP(A56,キャラマスタ[],2,FALSE)</f>
        <v>ナミ</v>
      </c>
      <c r="C56" s="3" t="s">
        <v>448</v>
      </c>
      <c r="D56" s="6" t="str">
        <f>VLOOKUP(テーブル7[[#This Row],[勢力ID]],勢力マスタ[],2,FALSE)</f>
        <v>無所属</v>
      </c>
      <c r="G56">
        <v>9</v>
      </c>
      <c r="H56">
        <v>77</v>
      </c>
      <c r="K56">
        <f>IF(テーブル7[[#This Row],[加入年]]="","",1539+テーブル7[[#This Row],[加入年]])</f>
        <v>1531</v>
      </c>
      <c r="L56">
        <v>-8</v>
      </c>
      <c r="M56">
        <v>-2920</v>
      </c>
      <c r="P56" t="s">
        <v>249</v>
      </c>
    </row>
    <row r="57" spans="1:16">
      <c r="A57" t="s">
        <v>321</v>
      </c>
      <c r="B57" s="8" t="str">
        <f>VLOOKUP(A57,キャラマスタ[],2,FALSE)</f>
        <v>ナミ</v>
      </c>
      <c r="C57" t="s">
        <v>1292</v>
      </c>
      <c r="D57" s="6" t="str">
        <f>VLOOKUP(テーブル7[[#This Row],[勢力ID]],勢力マスタ[],2,FALSE)</f>
        <v>アーロン一味</v>
      </c>
      <c r="E57" t="s">
        <v>1340</v>
      </c>
      <c r="G57">
        <v>8</v>
      </c>
      <c r="H57">
        <v>69</v>
      </c>
      <c r="I57">
        <v>11</v>
      </c>
      <c r="J57">
        <v>94</v>
      </c>
      <c r="K57">
        <f>IF(テーブル7[[#This Row],[加入年]]="","",1539+テーブル7[[#This Row],[加入年]])</f>
        <v>1539</v>
      </c>
      <c r="L57">
        <v>0</v>
      </c>
      <c r="M57">
        <v>8.1</v>
      </c>
      <c r="N57">
        <v>0</v>
      </c>
      <c r="O57">
        <v>8.6999999999999993</v>
      </c>
      <c r="P57" t="s">
        <v>250</v>
      </c>
    </row>
    <row r="58" spans="1:16">
      <c r="A58" t="s">
        <v>321</v>
      </c>
      <c r="B58" s="8" t="str">
        <f>VLOOKUP(A58,キャラマスタ[],2,FALSE)</f>
        <v>ナミ</v>
      </c>
      <c r="C58" s="3" t="s">
        <v>507</v>
      </c>
      <c r="D58" s="6" t="str">
        <f>VLOOKUP(テーブル7[[#This Row],[勢力ID]],勢力マスタ[],2,FALSE)</f>
        <v>麦わらの一味</v>
      </c>
      <c r="E58" t="s">
        <v>1833</v>
      </c>
      <c r="G58">
        <v>11</v>
      </c>
      <c r="H58">
        <v>94</v>
      </c>
      <c r="K58">
        <f>IF(テーブル7[[#This Row],[加入年]]="","",1539+テーブル7[[#This Row],[加入年]])</f>
        <v>1539</v>
      </c>
      <c r="L58">
        <v>0</v>
      </c>
      <c r="M58">
        <v>8.6999999999999993</v>
      </c>
      <c r="P58" t="s">
        <v>249</v>
      </c>
    </row>
    <row r="59" spans="1:16">
      <c r="A59" t="s">
        <v>1797</v>
      </c>
      <c r="B59" s="8" t="str">
        <f>VLOOKUP(A59,キャラマスタ[],2,FALSE)</f>
        <v>ブランニュー</v>
      </c>
      <c r="C59" s="3" t="s">
        <v>446</v>
      </c>
      <c r="D59" s="6" t="str">
        <f>VLOOKUP(テーブル7[[#This Row],[勢力ID]],勢力マスタ[],2,FALSE)</f>
        <v>海軍</v>
      </c>
      <c r="E59" t="s">
        <v>898</v>
      </c>
      <c r="F59" t="s">
        <v>1834</v>
      </c>
      <c r="G59">
        <v>11</v>
      </c>
      <c r="H59">
        <v>96</v>
      </c>
      <c r="K59">
        <f>IF(テーブル7[[#This Row],[加入年]]="","",1539+テーブル7[[#This Row],[加入年]])</f>
        <v>1539</v>
      </c>
      <c r="L59">
        <v>0</v>
      </c>
      <c r="M59">
        <v>11</v>
      </c>
      <c r="P59" t="s">
        <v>249</v>
      </c>
    </row>
    <row r="60" spans="1:16">
      <c r="A60" t="s">
        <v>292</v>
      </c>
      <c r="B60" s="8" t="str">
        <f>VLOOKUP(A60,キャラマスタ[],2,FALSE)</f>
        <v>シャンクス</v>
      </c>
      <c r="C60" s="3" t="s">
        <v>441</v>
      </c>
      <c r="D60" s="6" t="str">
        <f>VLOOKUP(テーブル7[[#This Row],[勢力ID]],勢力マスタ[],2,FALSE)</f>
        <v>赤髪海賊団</v>
      </c>
      <c r="E60" t="s">
        <v>1850</v>
      </c>
      <c r="F60" t="s">
        <v>372</v>
      </c>
      <c r="G60">
        <v>11</v>
      </c>
      <c r="H60">
        <v>96</v>
      </c>
      <c r="K60">
        <f>IF(テーブル7[[#This Row],[加入年]]="","",1539+テーブル7[[#This Row],[加入年]])</f>
        <v>1539</v>
      </c>
      <c r="L60">
        <v>0</v>
      </c>
      <c r="M60">
        <v>11</v>
      </c>
      <c r="P60" t="s">
        <v>249</v>
      </c>
    </row>
    <row r="61" spans="1:16">
      <c r="A61" t="s">
        <v>1806</v>
      </c>
      <c r="B61" s="8" t="str">
        <f>VLOOKUP(A61,キャラマスタ[],2,FALSE)</f>
        <v>スモーカー</v>
      </c>
      <c r="C61" s="3" t="s">
        <v>446</v>
      </c>
      <c r="D61" s="6" t="str">
        <f>VLOOKUP(テーブル7[[#This Row],[勢力ID]],勢力マスタ[],2,FALSE)</f>
        <v>海軍</v>
      </c>
      <c r="E61" t="s">
        <v>898</v>
      </c>
      <c r="F61" t="s">
        <v>83</v>
      </c>
      <c r="G61">
        <v>11</v>
      </c>
      <c r="H61">
        <v>98</v>
      </c>
      <c r="K61">
        <f>IF(テーブル7[[#This Row],[加入年]]="","",1539+テーブル7[[#This Row],[加入年]])</f>
        <v>1539</v>
      </c>
      <c r="L61">
        <v>0</v>
      </c>
      <c r="M61">
        <v>11.2</v>
      </c>
      <c r="P61" t="s">
        <v>249</v>
      </c>
    </row>
    <row r="62" spans="1:16">
      <c r="A62" t="s">
        <v>1869</v>
      </c>
      <c r="B62" s="8" t="str">
        <f>VLOOKUP(A62,キャラマスタ[],2,FALSE)</f>
        <v>たしぎ</v>
      </c>
      <c r="C62" s="3" t="s">
        <v>446</v>
      </c>
      <c r="D62" s="6" t="str">
        <f>VLOOKUP(テーブル7[[#This Row],[勢力ID]],勢力マスタ[],2,FALSE)</f>
        <v>海軍</v>
      </c>
      <c r="E62" t="s">
        <v>898</v>
      </c>
      <c r="F62" t="s">
        <v>1870</v>
      </c>
      <c r="G62">
        <v>11</v>
      </c>
      <c r="H62">
        <v>98</v>
      </c>
      <c r="K62">
        <f>IF(テーブル7[[#This Row],[加入年]]="","",1539+テーブル7[[#This Row],[加入年]])</f>
        <v>1539</v>
      </c>
      <c r="L62">
        <v>0</v>
      </c>
      <c r="M62">
        <v>11.2</v>
      </c>
      <c r="P62" t="s">
        <v>249</v>
      </c>
    </row>
    <row r="63" spans="1:16">
      <c r="A63" t="s">
        <v>1891</v>
      </c>
      <c r="B63" s="8" t="str">
        <f>VLOOKUP(A63,キャラマスタ[],2,FALSE)</f>
        <v>モンキー・D・ガープ</v>
      </c>
      <c r="C63" s="3" t="s">
        <v>446</v>
      </c>
      <c r="D63" s="6" t="str">
        <f>VLOOKUP(テーブル7[[#This Row],[勢力ID]],勢力マスタ[],2,FALSE)</f>
        <v>海軍</v>
      </c>
      <c r="E63" t="s">
        <v>898</v>
      </c>
      <c r="F63" t="s">
        <v>1902</v>
      </c>
      <c r="G63">
        <v>11</v>
      </c>
      <c r="H63">
        <v>92</v>
      </c>
      <c r="K63">
        <f>IF(テーブル7[[#This Row],[加入年]]="","",1539+テーブル7[[#This Row],[加入年]])</f>
        <v>1539</v>
      </c>
      <c r="L63">
        <v>0</v>
      </c>
      <c r="M63">
        <v>3</v>
      </c>
      <c r="P63" t="s">
        <v>249</v>
      </c>
    </row>
    <row r="64" spans="1:16">
      <c r="A64" t="s">
        <v>1909</v>
      </c>
      <c r="B64" s="8" t="str">
        <f>VLOOKUP(A64,キャラマスタ[],2,FALSE)</f>
        <v>クロッカス</v>
      </c>
      <c r="C64" t="s">
        <v>448</v>
      </c>
      <c r="D64" s="6" t="str">
        <f>VLOOKUP(テーブル7[[#This Row],[勢力ID]],勢力マスタ[],2,FALSE)</f>
        <v>無所属</v>
      </c>
      <c r="E64" t="s">
        <v>2050</v>
      </c>
      <c r="F64" t="s">
        <v>2051</v>
      </c>
      <c r="G64">
        <v>12</v>
      </c>
      <c r="H64">
        <v>103</v>
      </c>
      <c r="K64">
        <f>IF(テーブル7[[#This Row],[加入年]]="","",1539+テーブル7[[#This Row],[加入年]])</f>
        <v>1489</v>
      </c>
      <c r="L64">
        <v>-50</v>
      </c>
      <c r="M64" s="18">
        <v>-18250</v>
      </c>
      <c r="P64" t="s">
        <v>249</v>
      </c>
    </row>
    <row r="65" spans="1:16">
      <c r="A65" t="s">
        <v>1907</v>
      </c>
      <c r="B65" s="8" t="str">
        <f>VLOOKUP(A65,キャラマスタ[],2,FALSE)</f>
        <v>モンキー・D・ドラゴン</v>
      </c>
      <c r="C65" t="s">
        <v>1293</v>
      </c>
      <c r="D65" s="6" t="str">
        <f>VLOOKUP(テーブル7[[#This Row],[勢力ID]],勢力マスタ[],2,FALSE)</f>
        <v>革命軍</v>
      </c>
      <c r="E65" t="s">
        <v>1924</v>
      </c>
      <c r="G65">
        <v>12</v>
      </c>
      <c r="H65">
        <v>100</v>
      </c>
      <c r="K65">
        <f>IF(テーブル7[[#This Row],[加入年]]="","",1539+テーブル7[[#This Row],[加入年]])</f>
        <v>1539</v>
      </c>
      <c r="L65">
        <v>0</v>
      </c>
      <c r="M65">
        <v>11.2</v>
      </c>
      <c r="P65" t="s">
        <v>249</v>
      </c>
    </row>
    <row r="66" spans="1:16">
      <c r="A66" t="s">
        <v>1910</v>
      </c>
      <c r="B66" s="8" t="str">
        <f>VLOOKUP(A66,キャラマスタ[],2,FALSE)</f>
        <v>ミス・ウェンズデー</v>
      </c>
      <c r="C66" t="s">
        <v>2156</v>
      </c>
      <c r="D66" s="6" t="str">
        <f>VLOOKUP(テーブル7[[#This Row],[勢力ID]],勢力マスタ[],2,FALSE)</f>
        <v>バロック・ワークス</v>
      </c>
      <c r="E66" t="s">
        <v>2069</v>
      </c>
      <c r="G66">
        <v>12</v>
      </c>
      <c r="H66">
        <v>107</v>
      </c>
      <c r="K66">
        <f>IF(テーブル7[[#This Row],[加入年]]="","",1539+テーブル7[[#This Row],[加入年]])</f>
        <v>1539</v>
      </c>
      <c r="L66">
        <v>0</v>
      </c>
      <c r="M66">
        <v>11.5</v>
      </c>
      <c r="P66" t="s">
        <v>249</v>
      </c>
    </row>
    <row r="67" spans="1:16">
      <c r="A67" t="s">
        <v>1918</v>
      </c>
      <c r="B67" s="8" t="str">
        <f>VLOOKUP(A67,キャラマスタ[],2,FALSE)</f>
        <v>Mr.8</v>
      </c>
      <c r="C67" t="s">
        <v>2156</v>
      </c>
      <c r="D67" s="6" t="str">
        <f>VLOOKUP(テーブル7[[#This Row],[勢力ID]],勢力マスタ[],2,FALSE)</f>
        <v>バロック・ワークス</v>
      </c>
      <c r="E67" t="s">
        <v>2069</v>
      </c>
      <c r="G67">
        <v>12</v>
      </c>
      <c r="H67">
        <v>107</v>
      </c>
      <c r="K67">
        <f>IF(テーブル7[[#This Row],[加入年]]="","",1539+テーブル7[[#This Row],[加入年]])</f>
        <v>1539</v>
      </c>
      <c r="L67">
        <v>0</v>
      </c>
      <c r="M67">
        <v>11.5</v>
      </c>
      <c r="P67" t="s">
        <v>249</v>
      </c>
    </row>
    <row r="68" spans="1:16">
      <c r="B68" s="8" t="e">
        <f>VLOOKUP(A68,キャラマスタ[],2,FALSE)</f>
        <v>#N/A</v>
      </c>
      <c r="C68" s="3"/>
      <c r="D68" s="6" t="e">
        <f>VLOOKUP(テーブル7[[#This Row],[勢力ID]],勢力マスタ[],2,FALSE)</f>
        <v>#N/A</v>
      </c>
      <c r="K68" t="str">
        <f>IF(テーブル7[[#This Row],[加入年]]="","",1539+テーブル7[[#This Row],[加入年]])</f>
        <v/>
      </c>
    </row>
    <row r="69" spans="1:16">
      <c r="B69" s="8" t="e">
        <f>VLOOKUP(A69,キャラマスタ[],2,FALSE)</f>
        <v>#N/A</v>
      </c>
      <c r="C69" s="3"/>
      <c r="D69" s="6" t="e">
        <f>VLOOKUP(テーブル7[[#This Row],[勢力ID]],勢力マスタ[],2,FALSE)</f>
        <v>#N/A</v>
      </c>
      <c r="K69" t="str">
        <f>IF(テーブル7[[#This Row],[加入年]]="","",1539+テーブル7[[#This Row],[加入年]])</f>
        <v/>
      </c>
    </row>
    <row r="70" spans="1:16">
      <c r="B70" s="8" t="e">
        <f>VLOOKUP(A70,キャラマスタ[],2,FALSE)</f>
        <v>#N/A</v>
      </c>
      <c r="C70" s="3"/>
      <c r="D70" s="6" t="e">
        <f>VLOOKUP(テーブル7[[#This Row],[勢力ID]],勢力マスタ[],2,FALSE)</f>
        <v>#N/A</v>
      </c>
      <c r="K70" t="str">
        <f>IF(テーブル7[[#This Row],[加入年]]="","",1539+テーブル7[[#This Row],[加入年]])</f>
        <v/>
      </c>
    </row>
    <row r="71" spans="1:16">
      <c r="B71" s="8" t="e">
        <f>VLOOKUP(A71,キャラマスタ[],2,FALSE)</f>
        <v>#N/A</v>
      </c>
      <c r="C71" s="3"/>
      <c r="D71" s="6" t="e">
        <f>VLOOKUP(テーブル7[[#This Row],[勢力ID]],勢力マスタ[],2,FALSE)</f>
        <v>#N/A</v>
      </c>
      <c r="K71" t="str">
        <f>IF(テーブル7[[#This Row],[加入年]]="","",1539+テーブル7[[#This Row],[加入年]])</f>
        <v/>
      </c>
    </row>
  </sheetData>
  <phoneticPr fontId="1"/>
  <dataValidations count="1">
    <dataValidation type="list" allowBlank="1" showInputMessage="1" showErrorMessage="1" sqref="A2:A36 A43 A49 A60" xr:uid="{C7A2820D-3359-4A72-B0B2-C8B3E1FEA324}">
      <formula1>$A$2:$A$1025</formula1>
    </dataValidation>
  </dataValidations>
  <pageMargins left="0.7" right="0.7" top="0.75" bottom="0.75" header="0.3" footer="0.3"/>
  <pageSetup paperSize="9" orientation="portrait" verticalDpi="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15E539D-96D5-4C6D-93E0-A0CC00E09F97}">
          <x14:formula1>
            <xm:f>勢力マスタ!$A:$A</xm:f>
          </x14:formula1>
          <xm:sqref>C2:C45 C47:C51 C56 C59:C63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B9EA9-226A-EC4F-A343-80EFA0B80826}">
  <sheetPr>
    <tabColor theme="4" tint="0.59999389629810485"/>
  </sheetPr>
  <dimension ref="A1:I9"/>
  <sheetViews>
    <sheetView workbookViewId="0"/>
  </sheetViews>
  <sheetFormatPr baseColWidth="10" defaultColWidth="11" defaultRowHeight="18"/>
  <cols>
    <col min="2" max="2" width="13" style="6" bestFit="1" customWidth="1"/>
    <col min="3" max="3" width="10.83203125" style="6"/>
    <col min="5" max="5" width="20.6640625" style="6" bestFit="1" customWidth="1"/>
    <col min="6" max="6" width="10.1640625" customWidth="1"/>
    <col min="7" max="8" width="8.33203125" customWidth="1"/>
    <col min="9" max="9" width="14" customWidth="1"/>
  </cols>
  <sheetData>
    <row r="1" spans="1:9">
      <c r="A1" t="s">
        <v>469</v>
      </c>
      <c r="B1" s="6" t="s">
        <v>171</v>
      </c>
      <c r="C1" s="6" t="s">
        <v>169</v>
      </c>
      <c r="D1" t="s">
        <v>394</v>
      </c>
      <c r="E1" s="6" t="s">
        <v>170</v>
      </c>
      <c r="F1" t="s">
        <v>225</v>
      </c>
      <c r="G1" t="s">
        <v>470</v>
      </c>
      <c r="H1" t="s">
        <v>471</v>
      </c>
      <c r="I1" t="s">
        <v>472</v>
      </c>
    </row>
    <row r="2" spans="1:9">
      <c r="A2" t="s">
        <v>399</v>
      </c>
      <c r="B2" s="6" t="str">
        <f>VLOOKUP(A2,悪魔の実マスタ[],2,FALSE)</f>
        <v>ゴムゴムの実</v>
      </c>
      <c r="C2" s="6" t="str">
        <f>VLOOKUP(A2,悪魔の実マスタ[],3,FALSE)</f>
        <v>超人系</v>
      </c>
      <c r="D2" t="s">
        <v>288</v>
      </c>
      <c r="E2" s="6" t="str">
        <f>VLOOKUP(D2,キャラマスタ[],2,FALSE)</f>
        <v>モンキー・D・ルフィ</v>
      </c>
      <c r="F2">
        <v>1</v>
      </c>
      <c r="G2">
        <v>1</v>
      </c>
      <c r="H2">
        <v>-10</v>
      </c>
    </row>
    <row r="3" spans="1:9">
      <c r="A3" t="s">
        <v>592</v>
      </c>
      <c r="B3" s="6" t="str">
        <f>VLOOKUP(A3,悪魔の実マスタ[],2,FALSE)</f>
        <v>バラバラの実</v>
      </c>
      <c r="C3" s="6" t="str">
        <f>VLOOKUP(A3,悪魔の実マスタ[],3,FALSE)</f>
        <v>超人系</v>
      </c>
      <c r="D3" t="s">
        <v>571</v>
      </c>
      <c r="E3" s="6" t="str">
        <f>VLOOKUP(D3,キャラマスタ[],2,FALSE)</f>
        <v>バギー</v>
      </c>
      <c r="F3">
        <v>3</v>
      </c>
      <c r="G3">
        <v>19</v>
      </c>
      <c r="H3">
        <v>-25</v>
      </c>
    </row>
    <row r="4" spans="1:9">
      <c r="A4" t="s">
        <v>1815</v>
      </c>
      <c r="B4" s="6" t="str">
        <f>VLOOKUP(A4,悪魔の実マスタ[],2,FALSE)</f>
        <v>スベスベの実</v>
      </c>
      <c r="C4" s="6" t="str">
        <f>VLOOKUP(A4,悪魔の実マスタ[],3,FALSE)</f>
        <v>超人系</v>
      </c>
      <c r="D4" s="15" t="s">
        <v>433</v>
      </c>
      <c r="E4" s="6" t="str">
        <f>VLOOKUP(D4,キャラマスタ[],2,FALSE)</f>
        <v>アルビダ</v>
      </c>
      <c r="F4">
        <v>11</v>
      </c>
      <c r="G4">
        <v>98</v>
      </c>
      <c r="H4">
        <v>0</v>
      </c>
    </row>
    <row r="5" spans="1:9">
      <c r="A5" t="s">
        <v>1816</v>
      </c>
      <c r="B5" s="6" t="str">
        <f>VLOOKUP(A5,悪魔の実マスタ[],2,FALSE)</f>
        <v>モクモクの実</v>
      </c>
      <c r="C5" s="6" t="str">
        <f>VLOOKUP(A5,悪魔の実マスタ[],3,FALSE)</f>
        <v>自然系</v>
      </c>
      <c r="D5" s="9" t="s">
        <v>1806</v>
      </c>
      <c r="E5" s="6" t="str">
        <f>VLOOKUP(D5,キャラマスタ[],2,FALSE)</f>
        <v>スモーカー</v>
      </c>
      <c r="F5">
        <v>11</v>
      </c>
      <c r="G5">
        <v>99</v>
      </c>
      <c r="H5">
        <v>0</v>
      </c>
    </row>
    <row r="6" spans="1:9">
      <c r="A6" t="s">
        <v>1817</v>
      </c>
      <c r="B6" s="6" t="str">
        <f>VLOOKUP(A6,悪魔の実マスタ[],2,FALSE)</f>
        <v>ボムボムの実</v>
      </c>
      <c r="C6" s="6" t="str">
        <f>VLOOKUP(A6,悪魔の実マスタ[],3,FALSE)</f>
        <v>超人系</v>
      </c>
      <c r="D6" t="s">
        <v>2072</v>
      </c>
      <c r="E6" s="6" t="str">
        <f>VLOOKUP(D6,キャラマスタ[],2,FALSE)</f>
        <v>Mr.5</v>
      </c>
      <c r="F6">
        <v>13</v>
      </c>
      <c r="G6">
        <v>110</v>
      </c>
      <c r="H6">
        <v>0</v>
      </c>
    </row>
    <row r="7" spans="1:9">
      <c r="A7" t="s">
        <v>2141</v>
      </c>
      <c r="B7" s="6" t="str">
        <f>VLOOKUP(A7,悪魔の実マスタ[],2,FALSE)</f>
        <v>キロキロの実</v>
      </c>
      <c r="C7" s="6" t="str">
        <f>VLOOKUP(A7,悪魔の実マスタ[],3,FALSE)</f>
        <v>超人系</v>
      </c>
      <c r="D7" t="s">
        <v>2073</v>
      </c>
      <c r="E7" s="6" t="str">
        <f>VLOOKUP(D7,キャラマスタ[],2,FALSE)</f>
        <v>ミス・バレンタイン</v>
      </c>
      <c r="F7">
        <v>13</v>
      </c>
      <c r="G7">
        <v>110</v>
      </c>
      <c r="H7">
        <v>0</v>
      </c>
    </row>
    <row r="8" spans="1:9">
      <c r="A8" t="s">
        <v>2142</v>
      </c>
      <c r="B8" s="6" t="str">
        <f>VLOOKUP(A8,悪魔の実マスタ[],2,FALSE)</f>
        <v>ハナハナの実</v>
      </c>
      <c r="C8" s="6" t="str">
        <f>VLOOKUP(A8,悪魔の実マスタ[],3,FALSE)</f>
        <v>超人系</v>
      </c>
      <c r="D8" t="s">
        <v>2075</v>
      </c>
      <c r="E8" s="6" t="str">
        <f>VLOOKUP(D8,キャラマスタ[],2,FALSE)</f>
        <v>ミス・オールサンデー</v>
      </c>
      <c r="F8">
        <v>13</v>
      </c>
      <c r="G8">
        <v>114</v>
      </c>
      <c r="H8">
        <v>0</v>
      </c>
    </row>
    <row r="9" spans="1:9">
      <c r="A9" t="s">
        <v>2143</v>
      </c>
      <c r="B9" s="6" t="str">
        <f>VLOOKUP(A9,悪魔の実マスタ[],2,FALSE)</f>
        <v>ドルドルの実</v>
      </c>
      <c r="C9" s="6" t="str">
        <f>VLOOKUP(A9,悪魔の実マスタ[],3,FALSE)</f>
        <v>超人系</v>
      </c>
      <c r="D9" t="s">
        <v>2081</v>
      </c>
      <c r="E9" s="6" t="str">
        <f>VLOOKUP(D9,キャラマスタ[],2,FALSE)</f>
        <v>Mr.3</v>
      </c>
      <c r="F9">
        <v>13</v>
      </c>
      <c r="G9">
        <v>117</v>
      </c>
      <c r="H9">
        <v>0</v>
      </c>
    </row>
  </sheetData>
  <phoneticPr fontId="1"/>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5C24-3F57-4C1B-853B-DC6A4C2B5815}">
  <sheetPr>
    <tabColor theme="4" tint="0.59999389629810485"/>
  </sheetPr>
  <dimension ref="A1:H11"/>
  <sheetViews>
    <sheetView workbookViewId="0"/>
  </sheetViews>
  <sheetFormatPr baseColWidth="10" defaultColWidth="8.83203125" defaultRowHeight="18"/>
  <cols>
    <col min="3" max="3" width="13" bestFit="1" customWidth="1"/>
    <col min="4" max="4" width="13" customWidth="1"/>
    <col min="5" max="5" width="15.1640625" bestFit="1" customWidth="1"/>
  </cols>
  <sheetData>
    <row r="1" spans="1:8">
      <c r="A1" t="s">
        <v>92</v>
      </c>
      <c r="B1" t="s">
        <v>236</v>
      </c>
      <c r="C1" t="s">
        <v>181</v>
      </c>
      <c r="D1" t="s">
        <v>255</v>
      </c>
      <c r="E1" t="s">
        <v>193</v>
      </c>
      <c r="F1" t="s">
        <v>194</v>
      </c>
      <c r="G1" t="s">
        <v>195</v>
      </c>
      <c r="H1" t="s">
        <v>240</v>
      </c>
    </row>
    <row r="2" spans="1:8">
      <c r="A2">
        <v>1</v>
      </c>
      <c r="B2">
        <v>1</v>
      </c>
      <c r="C2" t="s">
        <v>233</v>
      </c>
      <c r="D2" t="s">
        <v>256</v>
      </c>
      <c r="E2" t="s">
        <v>232</v>
      </c>
      <c r="F2">
        <v>-10</v>
      </c>
      <c r="H2" t="s">
        <v>241</v>
      </c>
    </row>
    <row r="3" spans="1:8">
      <c r="A3">
        <v>1</v>
      </c>
      <c r="B3">
        <v>2</v>
      </c>
      <c r="C3" t="s">
        <v>233</v>
      </c>
      <c r="D3" t="s">
        <v>266</v>
      </c>
      <c r="E3" t="s">
        <v>267</v>
      </c>
      <c r="F3">
        <v>0</v>
      </c>
      <c r="G3">
        <v>1</v>
      </c>
      <c r="H3" t="s">
        <v>268</v>
      </c>
    </row>
    <row r="4" spans="1:8">
      <c r="A4">
        <v>1</v>
      </c>
      <c r="B4">
        <v>3</v>
      </c>
      <c r="C4" t="s">
        <v>233</v>
      </c>
      <c r="D4" t="s">
        <v>271</v>
      </c>
      <c r="E4" t="s">
        <v>269</v>
      </c>
      <c r="F4">
        <v>0</v>
      </c>
      <c r="G4">
        <v>1</v>
      </c>
      <c r="H4" t="s">
        <v>268</v>
      </c>
    </row>
    <row r="5" spans="1:8">
      <c r="A5">
        <v>1</v>
      </c>
      <c r="B5">
        <v>8</v>
      </c>
      <c r="C5" t="s">
        <v>233</v>
      </c>
      <c r="D5" t="s">
        <v>272</v>
      </c>
      <c r="E5" t="s">
        <v>270</v>
      </c>
      <c r="F5">
        <v>0</v>
      </c>
      <c r="G5">
        <v>1</v>
      </c>
      <c r="H5" t="s">
        <v>268</v>
      </c>
    </row>
    <row r="6" spans="1:8">
      <c r="A6">
        <v>3</v>
      </c>
      <c r="B6">
        <v>23</v>
      </c>
      <c r="C6" t="s">
        <v>233</v>
      </c>
      <c r="D6" t="s">
        <v>754</v>
      </c>
      <c r="E6" t="s">
        <v>755</v>
      </c>
      <c r="F6">
        <v>0</v>
      </c>
      <c r="G6">
        <v>2</v>
      </c>
      <c r="H6" t="s">
        <v>268</v>
      </c>
    </row>
    <row r="7" spans="1:8">
      <c r="A7">
        <v>5</v>
      </c>
      <c r="B7">
        <v>43</v>
      </c>
      <c r="C7" t="s">
        <v>233</v>
      </c>
      <c r="D7" t="s">
        <v>1078</v>
      </c>
      <c r="E7" t="s">
        <v>917</v>
      </c>
      <c r="F7">
        <v>0</v>
      </c>
      <c r="G7">
        <v>5</v>
      </c>
      <c r="H7" t="s">
        <v>268</v>
      </c>
    </row>
    <row r="8" spans="1:8">
      <c r="A8">
        <v>8</v>
      </c>
      <c r="B8">
        <v>69</v>
      </c>
      <c r="C8" t="s">
        <v>233</v>
      </c>
      <c r="D8" t="s">
        <v>1400</v>
      </c>
      <c r="E8" t="s">
        <v>1401</v>
      </c>
      <c r="F8">
        <v>0</v>
      </c>
      <c r="G8">
        <v>7.7</v>
      </c>
      <c r="H8" t="s">
        <v>268</v>
      </c>
    </row>
    <row r="9" spans="1:8">
      <c r="A9">
        <v>11</v>
      </c>
      <c r="B9">
        <v>96</v>
      </c>
      <c r="C9" t="s">
        <v>233</v>
      </c>
      <c r="D9" t="s">
        <v>1905</v>
      </c>
      <c r="E9" t="s">
        <v>1906</v>
      </c>
      <c r="F9">
        <v>0</v>
      </c>
      <c r="G9">
        <v>11</v>
      </c>
      <c r="H9" t="s">
        <v>268</v>
      </c>
    </row>
    <row r="10" spans="1:8">
      <c r="A10">
        <v>12</v>
      </c>
      <c r="B10">
        <v>101</v>
      </c>
      <c r="C10" t="s">
        <v>2036</v>
      </c>
      <c r="D10" t="s">
        <v>2037</v>
      </c>
      <c r="E10" t="s">
        <v>2038</v>
      </c>
      <c r="F10">
        <v>0</v>
      </c>
      <c r="G10">
        <v>11.5</v>
      </c>
      <c r="H10" t="s">
        <v>268</v>
      </c>
    </row>
    <row r="11" spans="1:8">
      <c r="A11">
        <v>12</v>
      </c>
      <c r="B11">
        <v>106</v>
      </c>
      <c r="C11" t="s">
        <v>2036</v>
      </c>
      <c r="D11" t="s">
        <v>2070</v>
      </c>
      <c r="E11" t="s">
        <v>2070</v>
      </c>
      <c r="F11">
        <v>0</v>
      </c>
      <c r="G11">
        <v>11.7</v>
      </c>
      <c r="H11" t="s">
        <v>268</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9D6F-A89A-4F51-860A-BE91BC9D4BA3}">
  <sheetPr>
    <tabColor theme="4" tint="0.59999389629810485"/>
  </sheetPr>
  <dimension ref="A1:E127"/>
  <sheetViews>
    <sheetView topLeftCell="A110" workbookViewId="0">
      <selection activeCell="A127" sqref="A127"/>
    </sheetView>
  </sheetViews>
  <sheetFormatPr baseColWidth="10" defaultColWidth="8.83203125" defaultRowHeight="18"/>
  <cols>
    <col min="3" max="3" width="32.1640625" bestFit="1" customWidth="1"/>
    <col min="4" max="4" width="22.5" bestFit="1" customWidth="1"/>
    <col min="5" max="5" width="19.1640625" bestFit="1" customWidth="1"/>
  </cols>
  <sheetData>
    <row r="1" spans="1:5">
      <c r="A1" t="s">
        <v>92</v>
      </c>
      <c r="B1" t="s">
        <v>105</v>
      </c>
      <c r="C1" t="s">
        <v>145</v>
      </c>
      <c r="D1" t="s">
        <v>104</v>
      </c>
      <c r="E1" t="s">
        <v>196</v>
      </c>
    </row>
    <row r="2" spans="1:5">
      <c r="A2">
        <v>1</v>
      </c>
      <c r="B2">
        <v>1</v>
      </c>
      <c r="C2" t="s">
        <v>106</v>
      </c>
    </row>
    <row r="3" spans="1:5">
      <c r="A3">
        <v>1</v>
      </c>
      <c r="B3">
        <v>2</v>
      </c>
      <c r="C3" t="s">
        <v>107</v>
      </c>
    </row>
    <row r="4" spans="1:5">
      <c r="A4">
        <v>1</v>
      </c>
      <c r="B4">
        <v>3</v>
      </c>
      <c r="C4" t="s">
        <v>108</v>
      </c>
    </row>
    <row r="5" spans="1:5">
      <c r="A5">
        <v>1</v>
      </c>
      <c r="B5">
        <v>4</v>
      </c>
      <c r="C5" t="s">
        <v>109</v>
      </c>
    </row>
    <row r="6" spans="1:5">
      <c r="A6">
        <v>1</v>
      </c>
      <c r="B6">
        <v>5</v>
      </c>
      <c r="C6" t="s">
        <v>110</v>
      </c>
    </row>
    <row r="7" spans="1:5">
      <c r="A7">
        <v>1</v>
      </c>
      <c r="B7">
        <v>6</v>
      </c>
      <c r="C7" t="s">
        <v>111</v>
      </c>
    </row>
    <row r="8" spans="1:5">
      <c r="A8">
        <v>1</v>
      </c>
      <c r="B8">
        <v>7</v>
      </c>
      <c r="C8" t="s">
        <v>112</v>
      </c>
    </row>
    <row r="9" spans="1:5">
      <c r="A9">
        <v>1</v>
      </c>
      <c r="B9">
        <v>8</v>
      </c>
      <c r="C9" t="s">
        <v>113</v>
      </c>
    </row>
    <row r="10" spans="1:5">
      <c r="A10">
        <v>2</v>
      </c>
      <c r="B10">
        <v>9</v>
      </c>
      <c r="C10" t="s">
        <v>600</v>
      </c>
    </row>
    <row r="11" spans="1:5">
      <c r="A11">
        <v>2</v>
      </c>
      <c r="B11">
        <v>10</v>
      </c>
      <c r="C11" t="s">
        <v>601</v>
      </c>
    </row>
    <row r="12" spans="1:5">
      <c r="A12">
        <v>2</v>
      </c>
      <c r="B12">
        <v>11</v>
      </c>
      <c r="C12" t="s">
        <v>602</v>
      </c>
    </row>
    <row r="13" spans="1:5">
      <c r="A13">
        <v>2</v>
      </c>
      <c r="B13">
        <v>12</v>
      </c>
      <c r="C13" t="s">
        <v>603</v>
      </c>
    </row>
    <row r="14" spans="1:5">
      <c r="A14">
        <v>2</v>
      </c>
      <c r="B14">
        <v>13</v>
      </c>
      <c r="C14" t="s">
        <v>604</v>
      </c>
    </row>
    <row r="15" spans="1:5">
      <c r="A15">
        <v>2</v>
      </c>
      <c r="B15">
        <v>14</v>
      </c>
      <c r="C15" t="s">
        <v>605</v>
      </c>
    </row>
    <row r="16" spans="1:5">
      <c r="A16">
        <v>2</v>
      </c>
      <c r="B16">
        <v>15</v>
      </c>
      <c r="C16" t="s">
        <v>606</v>
      </c>
    </row>
    <row r="17" spans="1:3">
      <c r="A17">
        <v>2</v>
      </c>
      <c r="B17">
        <v>16</v>
      </c>
      <c r="C17" t="s">
        <v>607</v>
      </c>
    </row>
    <row r="18" spans="1:3">
      <c r="A18">
        <v>2</v>
      </c>
      <c r="B18">
        <v>17</v>
      </c>
      <c r="C18" t="s">
        <v>608</v>
      </c>
    </row>
    <row r="19" spans="1:3">
      <c r="A19">
        <v>3</v>
      </c>
      <c r="B19">
        <v>18</v>
      </c>
      <c r="C19" t="s">
        <v>745</v>
      </c>
    </row>
    <row r="20" spans="1:3">
      <c r="A20">
        <v>3</v>
      </c>
      <c r="B20">
        <v>19</v>
      </c>
      <c r="C20" t="s">
        <v>746</v>
      </c>
    </row>
    <row r="21" spans="1:3">
      <c r="A21">
        <v>3</v>
      </c>
      <c r="B21">
        <v>20</v>
      </c>
      <c r="C21" t="s">
        <v>747</v>
      </c>
    </row>
    <row r="22" spans="1:3">
      <c r="A22">
        <v>3</v>
      </c>
      <c r="B22">
        <v>21</v>
      </c>
      <c r="C22" t="s">
        <v>748</v>
      </c>
    </row>
    <row r="23" spans="1:3">
      <c r="A23">
        <v>3</v>
      </c>
      <c r="B23">
        <v>22</v>
      </c>
      <c r="C23" t="s">
        <v>749</v>
      </c>
    </row>
    <row r="24" spans="1:3">
      <c r="A24">
        <v>3</v>
      </c>
      <c r="B24">
        <v>23</v>
      </c>
      <c r="C24" t="s">
        <v>750</v>
      </c>
    </row>
    <row r="25" spans="1:3">
      <c r="A25">
        <v>3</v>
      </c>
      <c r="B25">
        <v>24</v>
      </c>
      <c r="C25" t="s">
        <v>751</v>
      </c>
    </row>
    <row r="26" spans="1:3">
      <c r="A26">
        <v>3</v>
      </c>
      <c r="B26">
        <v>25</v>
      </c>
      <c r="C26" t="s">
        <v>752</v>
      </c>
    </row>
    <row r="27" spans="1:3">
      <c r="A27">
        <v>3</v>
      </c>
      <c r="B27">
        <v>26</v>
      </c>
      <c r="C27" t="s">
        <v>753</v>
      </c>
    </row>
    <row r="28" spans="1:3">
      <c r="A28">
        <v>4</v>
      </c>
      <c r="B28">
        <v>27</v>
      </c>
      <c r="C28" t="s">
        <v>832</v>
      </c>
    </row>
    <row r="29" spans="1:3">
      <c r="A29">
        <v>4</v>
      </c>
      <c r="B29">
        <v>28</v>
      </c>
      <c r="C29" t="s">
        <v>833</v>
      </c>
    </row>
    <row r="30" spans="1:3">
      <c r="A30">
        <v>4</v>
      </c>
      <c r="B30">
        <v>29</v>
      </c>
      <c r="C30" t="s">
        <v>834</v>
      </c>
    </row>
    <row r="31" spans="1:3">
      <c r="A31">
        <v>4</v>
      </c>
      <c r="B31">
        <v>30</v>
      </c>
      <c r="C31" t="s">
        <v>835</v>
      </c>
    </row>
    <row r="32" spans="1:3">
      <c r="A32">
        <v>4</v>
      </c>
      <c r="B32">
        <v>31</v>
      </c>
      <c r="C32" t="s">
        <v>836</v>
      </c>
    </row>
    <row r="33" spans="1:5">
      <c r="A33">
        <v>4</v>
      </c>
      <c r="B33">
        <v>32</v>
      </c>
      <c r="C33" t="s">
        <v>837</v>
      </c>
    </row>
    <row r="34" spans="1:5">
      <c r="A34">
        <v>4</v>
      </c>
      <c r="B34">
        <v>33</v>
      </c>
      <c r="C34" t="s">
        <v>838</v>
      </c>
    </row>
    <row r="35" spans="1:5">
      <c r="A35">
        <v>4</v>
      </c>
      <c r="B35">
        <v>34</v>
      </c>
      <c r="C35" t="s">
        <v>839</v>
      </c>
    </row>
    <row r="36" spans="1:5">
      <c r="A36">
        <v>4</v>
      </c>
      <c r="B36">
        <v>35</v>
      </c>
      <c r="C36" t="s">
        <v>840</v>
      </c>
      <c r="D36" t="s">
        <v>884</v>
      </c>
      <c r="E36" t="s">
        <v>885</v>
      </c>
    </row>
    <row r="37" spans="1:5">
      <c r="A37">
        <v>5</v>
      </c>
      <c r="B37">
        <v>36</v>
      </c>
      <c r="C37" t="s">
        <v>1019</v>
      </c>
      <c r="D37" t="s">
        <v>1020</v>
      </c>
      <c r="E37" t="s">
        <v>1021</v>
      </c>
    </row>
    <row r="38" spans="1:5">
      <c r="A38">
        <v>5</v>
      </c>
      <c r="B38">
        <v>37</v>
      </c>
      <c r="C38" t="s">
        <v>1022</v>
      </c>
      <c r="D38" t="s">
        <v>1023</v>
      </c>
      <c r="E38" t="s">
        <v>1024</v>
      </c>
    </row>
    <row r="39" spans="1:5">
      <c r="A39">
        <v>5</v>
      </c>
      <c r="B39">
        <v>38</v>
      </c>
      <c r="C39" t="s">
        <v>1025</v>
      </c>
    </row>
    <row r="40" spans="1:5">
      <c r="A40">
        <v>5</v>
      </c>
      <c r="B40">
        <v>39</v>
      </c>
      <c r="C40" t="s">
        <v>1026</v>
      </c>
      <c r="D40" t="s">
        <v>1027</v>
      </c>
      <c r="E40" t="s">
        <v>1028</v>
      </c>
    </row>
    <row r="41" spans="1:5">
      <c r="A41">
        <v>5</v>
      </c>
      <c r="B41">
        <v>40</v>
      </c>
      <c r="C41" t="s">
        <v>1029</v>
      </c>
      <c r="D41" t="s">
        <v>1030</v>
      </c>
      <c r="E41" t="s">
        <v>1031</v>
      </c>
    </row>
    <row r="42" spans="1:5">
      <c r="A42">
        <v>5</v>
      </c>
      <c r="B42">
        <v>41</v>
      </c>
      <c r="C42" t="s">
        <v>1032</v>
      </c>
    </row>
    <row r="43" spans="1:5">
      <c r="A43">
        <v>5</v>
      </c>
      <c r="B43">
        <v>42</v>
      </c>
      <c r="C43" t="s">
        <v>1033</v>
      </c>
      <c r="D43" t="s">
        <v>1034</v>
      </c>
      <c r="E43" t="s">
        <v>1035</v>
      </c>
    </row>
    <row r="44" spans="1:5">
      <c r="A44">
        <v>5</v>
      </c>
      <c r="B44">
        <v>43</v>
      </c>
      <c r="C44" t="s">
        <v>1036</v>
      </c>
      <c r="D44" t="s">
        <v>1037</v>
      </c>
      <c r="E44" t="s">
        <v>1038</v>
      </c>
    </row>
    <row r="45" spans="1:5">
      <c r="A45">
        <v>5</v>
      </c>
      <c r="B45">
        <v>44</v>
      </c>
      <c r="C45" t="s">
        <v>1039</v>
      </c>
    </row>
    <row r="46" spans="1:5">
      <c r="A46">
        <v>6</v>
      </c>
      <c r="B46">
        <v>45</v>
      </c>
      <c r="C46" t="s">
        <v>1118</v>
      </c>
    </row>
    <row r="47" spans="1:5">
      <c r="A47">
        <v>6</v>
      </c>
      <c r="B47">
        <v>46</v>
      </c>
      <c r="C47" t="s">
        <v>1119</v>
      </c>
      <c r="D47" t="s">
        <v>1120</v>
      </c>
      <c r="E47" t="s">
        <v>1121</v>
      </c>
    </row>
    <row r="48" spans="1:5">
      <c r="A48">
        <v>6</v>
      </c>
      <c r="B48">
        <v>47</v>
      </c>
      <c r="C48" t="s">
        <v>1122</v>
      </c>
      <c r="D48" t="s">
        <v>1123</v>
      </c>
      <c r="E48" t="s">
        <v>1124</v>
      </c>
    </row>
    <row r="49" spans="1:5">
      <c r="A49">
        <v>6</v>
      </c>
      <c r="B49">
        <v>48</v>
      </c>
      <c r="C49" t="s">
        <v>1125</v>
      </c>
      <c r="D49" t="s">
        <v>1126</v>
      </c>
      <c r="E49" t="s">
        <v>1127</v>
      </c>
    </row>
    <row r="50" spans="1:5">
      <c r="A50">
        <v>6</v>
      </c>
      <c r="B50">
        <v>49</v>
      </c>
      <c r="C50" t="s">
        <v>1128</v>
      </c>
    </row>
    <row r="51" spans="1:5">
      <c r="A51">
        <v>6</v>
      </c>
      <c r="B51">
        <v>50</v>
      </c>
      <c r="C51" t="s">
        <v>1129</v>
      </c>
      <c r="D51" t="s">
        <v>1130</v>
      </c>
      <c r="E51" t="s">
        <v>1131</v>
      </c>
    </row>
    <row r="52" spans="1:5">
      <c r="A52">
        <v>6</v>
      </c>
      <c r="B52">
        <v>51</v>
      </c>
      <c r="C52" t="s">
        <v>1132</v>
      </c>
      <c r="D52" t="s">
        <v>1133</v>
      </c>
      <c r="E52" t="s">
        <v>1134</v>
      </c>
    </row>
    <row r="53" spans="1:5">
      <c r="A53">
        <v>6</v>
      </c>
      <c r="B53">
        <v>52</v>
      </c>
      <c r="C53" t="s">
        <v>1135</v>
      </c>
    </row>
    <row r="54" spans="1:5">
      <c r="A54">
        <v>6</v>
      </c>
      <c r="B54">
        <v>53</v>
      </c>
      <c r="C54" t="s">
        <v>1136</v>
      </c>
      <c r="D54" t="s">
        <v>1137</v>
      </c>
      <c r="E54" t="s">
        <v>1138</v>
      </c>
    </row>
    <row r="55" spans="1:5">
      <c r="A55">
        <v>7</v>
      </c>
      <c r="B55">
        <v>54</v>
      </c>
      <c r="C55" t="s">
        <v>1213</v>
      </c>
      <c r="D55" t="s">
        <v>1214</v>
      </c>
      <c r="E55" t="s">
        <v>1229</v>
      </c>
    </row>
    <row r="56" spans="1:5">
      <c r="A56">
        <v>7</v>
      </c>
      <c r="B56">
        <v>55</v>
      </c>
      <c r="C56" t="s">
        <v>1215</v>
      </c>
      <c r="D56" t="s">
        <v>1216</v>
      </c>
      <c r="E56" t="s">
        <v>1230</v>
      </c>
    </row>
    <row r="57" spans="1:5">
      <c r="A57">
        <v>7</v>
      </c>
      <c r="B57">
        <v>56</v>
      </c>
      <c r="C57" t="s">
        <v>1217</v>
      </c>
    </row>
    <row r="58" spans="1:5">
      <c r="A58">
        <v>7</v>
      </c>
      <c r="B58">
        <v>57</v>
      </c>
      <c r="C58" t="s">
        <v>1218</v>
      </c>
      <c r="D58" t="s">
        <v>1219</v>
      </c>
      <c r="E58" t="s">
        <v>1231</v>
      </c>
    </row>
    <row r="59" spans="1:5">
      <c r="A59">
        <v>7</v>
      </c>
      <c r="B59">
        <v>58</v>
      </c>
      <c r="C59" t="s">
        <v>1220</v>
      </c>
      <c r="D59" t="s">
        <v>1221</v>
      </c>
      <c r="E59" t="s">
        <v>1232</v>
      </c>
    </row>
    <row r="60" spans="1:5">
      <c r="A60">
        <v>7</v>
      </c>
      <c r="B60">
        <v>59</v>
      </c>
      <c r="C60" t="s">
        <v>1222</v>
      </c>
      <c r="D60" t="s">
        <v>1223</v>
      </c>
      <c r="E60" t="s">
        <v>1233</v>
      </c>
    </row>
    <row r="61" spans="1:5">
      <c r="A61">
        <v>7</v>
      </c>
      <c r="B61">
        <v>60</v>
      </c>
      <c r="C61" t="s">
        <v>1224</v>
      </c>
      <c r="D61" t="s">
        <v>1225</v>
      </c>
      <c r="E61" t="s">
        <v>1234</v>
      </c>
    </row>
    <row r="62" spans="1:5">
      <c r="A62">
        <v>7</v>
      </c>
      <c r="B62">
        <v>61</v>
      </c>
      <c r="C62" t="s">
        <v>1226</v>
      </c>
    </row>
    <row r="63" spans="1:5">
      <c r="A63">
        <v>7</v>
      </c>
      <c r="B63">
        <v>62</v>
      </c>
      <c r="C63" t="s">
        <v>1227</v>
      </c>
      <c r="D63" t="s">
        <v>1228</v>
      </c>
      <c r="E63" t="s">
        <v>1235</v>
      </c>
    </row>
    <row r="64" spans="1:5">
      <c r="A64">
        <v>8</v>
      </c>
      <c r="B64">
        <v>63</v>
      </c>
      <c r="C64" t="s">
        <v>1361</v>
      </c>
      <c r="D64" t="s">
        <v>1362</v>
      </c>
      <c r="E64" t="s">
        <v>1363</v>
      </c>
    </row>
    <row r="65" spans="1:5">
      <c r="A65">
        <v>8</v>
      </c>
      <c r="B65">
        <v>64</v>
      </c>
      <c r="C65" t="s">
        <v>1364</v>
      </c>
    </row>
    <row r="66" spans="1:5">
      <c r="A66">
        <v>8</v>
      </c>
      <c r="B66">
        <v>65</v>
      </c>
      <c r="C66" t="s">
        <v>1365</v>
      </c>
      <c r="D66" t="s">
        <v>1366</v>
      </c>
      <c r="E66" t="s">
        <v>1367</v>
      </c>
    </row>
    <row r="67" spans="1:5">
      <c r="A67">
        <v>8</v>
      </c>
      <c r="B67">
        <v>66</v>
      </c>
      <c r="C67" t="s">
        <v>1368</v>
      </c>
      <c r="D67" t="s">
        <v>1369</v>
      </c>
      <c r="E67" t="s">
        <v>1370</v>
      </c>
    </row>
    <row r="68" spans="1:5">
      <c r="A68">
        <v>8</v>
      </c>
      <c r="B68">
        <v>67</v>
      </c>
      <c r="C68" t="s">
        <v>1371</v>
      </c>
      <c r="D68" t="s">
        <v>1372</v>
      </c>
      <c r="E68" t="s">
        <v>1373</v>
      </c>
    </row>
    <row r="69" spans="1:5">
      <c r="A69">
        <v>8</v>
      </c>
      <c r="B69">
        <v>68</v>
      </c>
      <c r="C69" t="s">
        <v>1374</v>
      </c>
      <c r="D69" t="s">
        <v>1375</v>
      </c>
      <c r="E69" t="s">
        <v>1376</v>
      </c>
    </row>
    <row r="70" spans="1:5">
      <c r="A70">
        <v>8</v>
      </c>
      <c r="B70">
        <v>69</v>
      </c>
      <c r="C70" t="s">
        <v>1377</v>
      </c>
    </row>
    <row r="71" spans="1:5">
      <c r="A71">
        <v>8</v>
      </c>
      <c r="B71">
        <v>70</v>
      </c>
      <c r="C71" t="s">
        <v>1378</v>
      </c>
    </row>
    <row r="72" spans="1:5">
      <c r="A72">
        <v>8</v>
      </c>
      <c r="B72">
        <v>71</v>
      </c>
      <c r="C72" t="s">
        <v>1379</v>
      </c>
      <c r="D72" t="s">
        <v>1380</v>
      </c>
      <c r="E72" t="s">
        <v>1381</v>
      </c>
    </row>
    <row r="73" spans="1:5">
      <c r="A73">
        <v>9</v>
      </c>
      <c r="B73">
        <v>72</v>
      </c>
      <c r="C73" t="s">
        <v>1382</v>
      </c>
      <c r="D73" t="s">
        <v>1383</v>
      </c>
      <c r="E73" t="s">
        <v>1384</v>
      </c>
    </row>
    <row r="74" spans="1:5">
      <c r="A74">
        <v>9</v>
      </c>
      <c r="B74">
        <v>73</v>
      </c>
      <c r="C74" t="s">
        <v>1385</v>
      </c>
      <c r="D74" t="s">
        <v>1386</v>
      </c>
      <c r="E74" t="s">
        <v>1387</v>
      </c>
    </row>
    <row r="75" spans="1:5">
      <c r="A75">
        <v>9</v>
      </c>
      <c r="B75">
        <v>74</v>
      </c>
      <c r="C75" t="s">
        <v>1388</v>
      </c>
      <c r="D75" t="s">
        <v>1389</v>
      </c>
      <c r="E75" t="s">
        <v>1390</v>
      </c>
    </row>
    <row r="76" spans="1:5">
      <c r="A76">
        <v>9</v>
      </c>
      <c r="B76">
        <v>75</v>
      </c>
      <c r="C76" t="s">
        <v>1391</v>
      </c>
      <c r="D76" t="s">
        <v>1392</v>
      </c>
      <c r="E76" t="s">
        <v>1393</v>
      </c>
    </row>
    <row r="77" spans="1:5">
      <c r="A77">
        <v>9</v>
      </c>
      <c r="B77">
        <v>76</v>
      </c>
      <c r="C77" t="s">
        <v>1394</v>
      </c>
    </row>
    <row r="78" spans="1:5">
      <c r="A78">
        <v>9</v>
      </c>
      <c r="B78">
        <v>77</v>
      </c>
      <c r="C78" t="s">
        <v>1395</v>
      </c>
    </row>
    <row r="79" spans="1:5">
      <c r="A79">
        <v>9</v>
      </c>
      <c r="B79">
        <v>78</v>
      </c>
      <c r="C79" t="s">
        <v>1396</v>
      </c>
    </row>
    <row r="80" spans="1:5">
      <c r="A80">
        <v>9</v>
      </c>
      <c r="B80">
        <v>79</v>
      </c>
      <c r="C80" t="s">
        <v>1397</v>
      </c>
    </row>
    <row r="81" spans="1:5">
      <c r="A81">
        <v>9</v>
      </c>
      <c r="B81">
        <v>80</v>
      </c>
      <c r="C81" t="s">
        <v>1398</v>
      </c>
    </row>
    <row r="82" spans="1:5">
      <c r="A82">
        <v>9</v>
      </c>
      <c r="B82">
        <v>81</v>
      </c>
      <c r="C82" t="s">
        <v>1399</v>
      </c>
    </row>
    <row r="83" spans="1:5">
      <c r="A83">
        <v>10</v>
      </c>
      <c r="B83">
        <v>82</v>
      </c>
      <c r="C83" t="s">
        <v>1552</v>
      </c>
    </row>
    <row r="84" spans="1:5">
      <c r="A84">
        <v>10</v>
      </c>
      <c r="B84">
        <v>83</v>
      </c>
      <c r="C84" t="s">
        <v>1553</v>
      </c>
      <c r="D84" t="s">
        <v>1554</v>
      </c>
      <c r="E84" t="s">
        <v>1555</v>
      </c>
    </row>
    <row r="85" spans="1:5">
      <c r="A85">
        <v>10</v>
      </c>
      <c r="B85">
        <v>84</v>
      </c>
      <c r="C85" t="s">
        <v>1556</v>
      </c>
      <c r="D85" t="s">
        <v>1557</v>
      </c>
      <c r="E85" t="s">
        <v>1558</v>
      </c>
    </row>
    <row r="86" spans="1:5">
      <c r="A86">
        <v>10</v>
      </c>
      <c r="B86">
        <v>85</v>
      </c>
      <c r="C86" t="s">
        <v>1559</v>
      </c>
      <c r="D86" t="s">
        <v>1560</v>
      </c>
      <c r="E86" t="s">
        <v>1561</v>
      </c>
    </row>
    <row r="87" spans="1:5">
      <c r="A87">
        <v>10</v>
      </c>
      <c r="B87">
        <v>86</v>
      </c>
      <c r="C87" t="s">
        <v>1562</v>
      </c>
    </row>
    <row r="88" spans="1:5">
      <c r="A88">
        <v>10</v>
      </c>
      <c r="B88">
        <v>87</v>
      </c>
      <c r="C88" t="s">
        <v>1563</v>
      </c>
      <c r="D88" t="s">
        <v>1564</v>
      </c>
      <c r="E88" t="s">
        <v>1565</v>
      </c>
    </row>
    <row r="89" spans="1:5">
      <c r="A89">
        <v>10</v>
      </c>
      <c r="B89">
        <v>88</v>
      </c>
      <c r="C89" t="s">
        <v>1566</v>
      </c>
      <c r="D89" t="s">
        <v>1567</v>
      </c>
      <c r="E89" t="s">
        <v>1568</v>
      </c>
    </row>
    <row r="90" spans="1:5">
      <c r="A90">
        <v>10</v>
      </c>
      <c r="B90">
        <v>89</v>
      </c>
      <c r="C90" t="s">
        <v>1569</v>
      </c>
      <c r="D90" t="s">
        <v>1570</v>
      </c>
      <c r="E90" t="s">
        <v>1571</v>
      </c>
    </row>
    <row r="91" spans="1:5">
      <c r="A91">
        <v>10</v>
      </c>
      <c r="B91">
        <v>90</v>
      </c>
      <c r="C91" t="s">
        <v>1572</v>
      </c>
      <c r="D91" t="s">
        <v>1573</v>
      </c>
      <c r="E91" t="s">
        <v>1574</v>
      </c>
    </row>
    <row r="92" spans="1:5">
      <c r="A92">
        <v>11</v>
      </c>
      <c r="B92">
        <v>91</v>
      </c>
      <c r="C92" t="s">
        <v>1575</v>
      </c>
      <c r="D92" t="s">
        <v>1576</v>
      </c>
      <c r="E92" t="s">
        <v>1577</v>
      </c>
    </row>
    <row r="93" spans="1:5">
      <c r="A93">
        <v>11</v>
      </c>
      <c r="B93">
        <v>92</v>
      </c>
      <c r="C93" t="s">
        <v>1578</v>
      </c>
      <c r="D93" t="s">
        <v>1579</v>
      </c>
      <c r="E93" t="s">
        <v>1580</v>
      </c>
    </row>
    <row r="94" spans="1:5">
      <c r="A94">
        <v>11</v>
      </c>
      <c r="B94">
        <v>93</v>
      </c>
      <c r="C94" t="s">
        <v>1581</v>
      </c>
      <c r="D94" t="s">
        <v>1582</v>
      </c>
      <c r="E94" t="s">
        <v>1583</v>
      </c>
    </row>
    <row r="95" spans="1:5">
      <c r="A95">
        <v>11</v>
      </c>
      <c r="B95">
        <v>94</v>
      </c>
      <c r="C95" t="s">
        <v>1584</v>
      </c>
    </row>
    <row r="96" spans="1:5">
      <c r="A96">
        <v>11</v>
      </c>
      <c r="B96">
        <v>95</v>
      </c>
      <c r="C96" t="s">
        <v>1585</v>
      </c>
      <c r="D96" t="s">
        <v>1586</v>
      </c>
      <c r="E96" t="s">
        <v>1587</v>
      </c>
    </row>
    <row r="97" spans="1:5">
      <c r="A97">
        <v>11</v>
      </c>
      <c r="B97">
        <v>96</v>
      </c>
      <c r="C97" t="s">
        <v>1588</v>
      </c>
      <c r="D97" t="s">
        <v>1589</v>
      </c>
      <c r="E97" t="s">
        <v>1590</v>
      </c>
    </row>
    <row r="98" spans="1:5">
      <c r="A98">
        <v>11</v>
      </c>
      <c r="B98">
        <v>97</v>
      </c>
      <c r="C98" t="s">
        <v>1591</v>
      </c>
      <c r="D98" t="s">
        <v>1592</v>
      </c>
      <c r="E98" t="s">
        <v>1593</v>
      </c>
    </row>
    <row r="99" spans="1:5">
      <c r="A99">
        <v>11</v>
      </c>
      <c r="B99">
        <v>98</v>
      </c>
      <c r="C99" t="s">
        <v>1594</v>
      </c>
      <c r="D99" t="s">
        <v>1595</v>
      </c>
      <c r="E99" t="s">
        <v>1596</v>
      </c>
    </row>
    <row r="100" spans="1:5">
      <c r="A100">
        <v>11</v>
      </c>
      <c r="B100">
        <v>99</v>
      </c>
      <c r="C100" t="s">
        <v>1597</v>
      </c>
      <c r="D100" t="s">
        <v>1598</v>
      </c>
      <c r="E100" t="s">
        <v>1599</v>
      </c>
    </row>
    <row r="101" spans="1:5">
      <c r="A101">
        <v>12</v>
      </c>
      <c r="B101">
        <v>100</v>
      </c>
      <c r="C101" t="s">
        <v>1600</v>
      </c>
    </row>
    <row r="102" spans="1:5">
      <c r="A102">
        <v>12</v>
      </c>
      <c r="B102">
        <v>101</v>
      </c>
      <c r="C102" t="s">
        <v>1601</v>
      </c>
      <c r="D102" t="s">
        <v>1602</v>
      </c>
      <c r="E102" t="s">
        <v>1603</v>
      </c>
    </row>
    <row r="103" spans="1:5">
      <c r="A103">
        <v>12</v>
      </c>
      <c r="B103">
        <v>102</v>
      </c>
      <c r="C103" t="s">
        <v>1604</v>
      </c>
      <c r="D103" t="s">
        <v>1605</v>
      </c>
      <c r="E103" t="s">
        <v>1606</v>
      </c>
    </row>
    <row r="104" spans="1:5">
      <c r="A104">
        <v>12</v>
      </c>
      <c r="B104">
        <v>103</v>
      </c>
      <c r="C104" t="s">
        <v>1607</v>
      </c>
    </row>
    <row r="105" spans="1:5">
      <c r="A105">
        <v>12</v>
      </c>
      <c r="B105">
        <v>104</v>
      </c>
      <c r="C105" t="s">
        <v>1608</v>
      </c>
      <c r="D105" t="s">
        <v>1609</v>
      </c>
      <c r="E105" t="s">
        <v>1610</v>
      </c>
    </row>
    <row r="106" spans="1:5">
      <c r="A106">
        <v>12</v>
      </c>
      <c r="B106">
        <v>105</v>
      </c>
      <c r="C106" t="s">
        <v>1611</v>
      </c>
      <c r="D106" t="s">
        <v>1612</v>
      </c>
      <c r="E106" t="s">
        <v>1613</v>
      </c>
    </row>
    <row r="107" spans="1:5">
      <c r="A107">
        <v>12</v>
      </c>
      <c r="B107">
        <v>106</v>
      </c>
      <c r="C107" t="s">
        <v>1614</v>
      </c>
      <c r="D107" t="s">
        <v>1615</v>
      </c>
      <c r="E107" t="s">
        <v>1616</v>
      </c>
    </row>
    <row r="108" spans="1:5">
      <c r="A108">
        <v>12</v>
      </c>
      <c r="B108">
        <v>107</v>
      </c>
      <c r="C108" t="s">
        <v>1617</v>
      </c>
    </row>
    <row r="109" spans="1:5">
      <c r="A109">
        <v>12</v>
      </c>
      <c r="B109">
        <v>108</v>
      </c>
      <c r="C109" t="s">
        <v>1618</v>
      </c>
      <c r="D109" t="s">
        <v>1619</v>
      </c>
      <c r="E109" t="s">
        <v>1620</v>
      </c>
    </row>
    <row r="110" spans="1:5">
      <c r="A110">
        <v>13</v>
      </c>
      <c r="B110">
        <v>109</v>
      </c>
      <c r="C110" t="s">
        <v>1621</v>
      </c>
      <c r="D110" t="s">
        <v>1622</v>
      </c>
      <c r="E110" t="s">
        <v>1623</v>
      </c>
    </row>
    <row r="111" spans="1:5">
      <c r="A111">
        <v>13</v>
      </c>
      <c r="B111">
        <v>110</v>
      </c>
      <c r="C111" t="s">
        <v>1624</v>
      </c>
      <c r="D111" t="s">
        <v>1625</v>
      </c>
      <c r="E111" t="s">
        <v>1626</v>
      </c>
    </row>
    <row r="112" spans="1:5">
      <c r="A112">
        <v>13</v>
      </c>
      <c r="B112">
        <v>111</v>
      </c>
      <c r="C112" t="s">
        <v>1627</v>
      </c>
    </row>
    <row r="113" spans="1:5">
      <c r="A113">
        <v>13</v>
      </c>
      <c r="B113">
        <v>112</v>
      </c>
      <c r="C113" t="s">
        <v>1628</v>
      </c>
      <c r="D113" t="s">
        <v>1629</v>
      </c>
      <c r="E113" t="s">
        <v>1630</v>
      </c>
    </row>
    <row r="114" spans="1:5">
      <c r="A114">
        <v>13</v>
      </c>
      <c r="B114">
        <v>113</v>
      </c>
      <c r="C114" t="s">
        <v>1631</v>
      </c>
      <c r="D114" t="s">
        <v>1632</v>
      </c>
      <c r="E114" t="s">
        <v>1633</v>
      </c>
    </row>
    <row r="115" spans="1:5">
      <c r="A115">
        <v>13</v>
      </c>
      <c r="B115">
        <v>114</v>
      </c>
      <c r="C115" t="s">
        <v>1634</v>
      </c>
      <c r="D115" t="s">
        <v>1635</v>
      </c>
      <c r="E115" t="s">
        <v>1636</v>
      </c>
    </row>
    <row r="116" spans="1:5">
      <c r="A116">
        <v>13</v>
      </c>
      <c r="B116">
        <v>115</v>
      </c>
      <c r="C116" t="s">
        <v>1637</v>
      </c>
      <c r="D116" t="s">
        <v>1638</v>
      </c>
      <c r="E116" t="s">
        <v>1639</v>
      </c>
    </row>
    <row r="117" spans="1:5">
      <c r="A117">
        <v>13</v>
      </c>
      <c r="B117">
        <v>116</v>
      </c>
      <c r="C117" t="s">
        <v>1640</v>
      </c>
      <c r="D117" t="s">
        <v>1641</v>
      </c>
      <c r="E117" t="s">
        <v>1642</v>
      </c>
    </row>
    <row r="118" spans="1:5">
      <c r="A118">
        <v>13</v>
      </c>
      <c r="B118">
        <v>117</v>
      </c>
      <c r="C118" t="s">
        <v>1643</v>
      </c>
    </row>
    <row r="119" spans="1:5">
      <c r="A119">
        <v>14</v>
      </c>
      <c r="B119">
        <v>118</v>
      </c>
      <c r="C119" t="s">
        <v>1644</v>
      </c>
      <c r="D119" t="s">
        <v>1645</v>
      </c>
      <c r="E119" t="s">
        <v>1646</v>
      </c>
    </row>
    <row r="120" spans="1:5">
      <c r="A120">
        <v>14</v>
      </c>
      <c r="B120">
        <v>119</v>
      </c>
      <c r="C120" t="s">
        <v>1647</v>
      </c>
      <c r="D120" t="s">
        <v>1648</v>
      </c>
      <c r="E120" t="s">
        <v>1649</v>
      </c>
    </row>
    <row r="121" spans="1:5">
      <c r="A121">
        <v>14</v>
      </c>
      <c r="B121">
        <v>120</v>
      </c>
      <c r="C121" t="s">
        <v>1650</v>
      </c>
    </row>
    <row r="122" spans="1:5">
      <c r="A122">
        <v>14</v>
      </c>
      <c r="B122">
        <v>121</v>
      </c>
      <c r="C122" t="s">
        <v>1651</v>
      </c>
    </row>
    <row r="123" spans="1:5">
      <c r="A123">
        <v>14</v>
      </c>
      <c r="B123">
        <v>122</v>
      </c>
      <c r="C123" t="s">
        <v>1652</v>
      </c>
    </row>
    <row r="124" spans="1:5">
      <c r="A124">
        <v>14</v>
      </c>
      <c r="B124">
        <v>123</v>
      </c>
      <c r="C124" t="s">
        <v>1653</v>
      </c>
    </row>
    <row r="125" spans="1:5">
      <c r="A125">
        <v>14</v>
      </c>
      <c r="B125">
        <v>124</v>
      </c>
      <c r="C125" t="s">
        <v>1654</v>
      </c>
    </row>
    <row r="126" spans="1:5">
      <c r="A126">
        <v>14</v>
      </c>
      <c r="B126">
        <v>125</v>
      </c>
      <c r="C126" t="s">
        <v>1655</v>
      </c>
    </row>
    <row r="127" spans="1:5">
      <c r="A127">
        <v>14</v>
      </c>
      <c r="B127">
        <v>126</v>
      </c>
      <c r="C127" t="s">
        <v>1656</v>
      </c>
      <c r="D127" t="s">
        <v>1657</v>
      </c>
      <c r="E127" t="s">
        <v>1658</v>
      </c>
    </row>
  </sheetData>
  <phoneticPr fontId="1"/>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85056-E410-4E96-890B-80A56A8B400B}">
  <dimension ref="A1:F28"/>
  <sheetViews>
    <sheetView topLeftCell="A13" workbookViewId="0">
      <selection activeCell="E28" sqref="E28"/>
    </sheetView>
  </sheetViews>
  <sheetFormatPr baseColWidth="10" defaultColWidth="8.83203125" defaultRowHeight="18"/>
  <cols>
    <col min="1" max="1" width="23.5" bestFit="1" customWidth="1"/>
    <col min="2" max="3" width="14.83203125" customWidth="1"/>
  </cols>
  <sheetData>
    <row r="1" spans="1:6">
      <c r="A1" t="s">
        <v>479</v>
      </c>
      <c r="B1" s="16" t="s">
        <v>2041</v>
      </c>
      <c r="C1" s="16" t="s">
        <v>2042</v>
      </c>
      <c r="D1" s="16" t="s">
        <v>2043</v>
      </c>
      <c r="E1" s="16" t="s">
        <v>2044</v>
      </c>
      <c r="F1" s="17" t="s">
        <v>235</v>
      </c>
    </row>
    <row r="2" spans="1:6">
      <c r="A2" t="str">
        <f>+場所マスタ[[#This Row],[表示名]]</f>
        <v>フーシャ村</v>
      </c>
      <c r="B2">
        <v>30.57</v>
      </c>
      <c r="C2">
        <v>1.72</v>
      </c>
      <c r="D2">
        <f>IF(B2="","",(B2-16.93)*50)</f>
        <v>682</v>
      </c>
      <c r="E2">
        <f>IF(C2="","",(9.53-C2)*50)</f>
        <v>390.5</v>
      </c>
    </row>
    <row r="3" spans="1:6">
      <c r="A3" t="str">
        <f>+場所マスタ[[#This Row],[表示名]]</f>
        <v>フーシャ村近海</v>
      </c>
      <c r="B3">
        <v>30.52</v>
      </c>
      <c r="C3">
        <v>1.93</v>
      </c>
      <c r="D3">
        <f t="shared" ref="D3:D8" si="0">IF(B3="","",(B3-16.93)*50)</f>
        <v>679.5</v>
      </c>
      <c r="E3">
        <f t="shared" ref="E3:E8" si="1">IF(C3="","",(9.53-C3)*50)</f>
        <v>380</v>
      </c>
    </row>
    <row r="4" spans="1:6">
      <c r="A4" t="str">
        <f>+場所マスタ[[#This Row],[表示名]]</f>
        <v>ゴート島</v>
      </c>
      <c r="B4">
        <v>29.58</v>
      </c>
      <c r="C4">
        <v>1.94</v>
      </c>
      <c r="D4">
        <f t="shared" si="0"/>
        <v>632.49999999999989</v>
      </c>
      <c r="E4">
        <f t="shared" si="1"/>
        <v>379.5</v>
      </c>
    </row>
    <row r="5" spans="1:6">
      <c r="A5" t="str">
        <f>+場所マスタ[[#This Row],[表示名]]</f>
        <v>シェルズタウン</v>
      </c>
      <c r="B5">
        <v>29.88</v>
      </c>
      <c r="C5">
        <v>1.02</v>
      </c>
      <c r="D5">
        <f t="shared" si="0"/>
        <v>647.5</v>
      </c>
      <c r="E5">
        <f t="shared" si="1"/>
        <v>425.5</v>
      </c>
    </row>
    <row r="6" spans="1:6">
      <c r="A6" t="str">
        <f>+場所マスタ[[#This Row],[表示名]]</f>
        <v>シモツキ村</v>
      </c>
      <c r="B6">
        <v>30.82</v>
      </c>
      <c r="C6">
        <v>1.32</v>
      </c>
      <c r="D6">
        <f t="shared" si="0"/>
        <v>694.5</v>
      </c>
      <c r="E6">
        <f t="shared" si="1"/>
        <v>410.49999999999994</v>
      </c>
    </row>
    <row r="7" spans="1:6">
      <c r="A7" t="str">
        <f>+場所マスタ[[#This Row],[表示名]]</f>
        <v>オレンジの町</v>
      </c>
      <c r="B7">
        <v>27.83</v>
      </c>
      <c r="C7">
        <v>2.68</v>
      </c>
      <c r="D7">
        <f t="shared" si="0"/>
        <v>544.99999999999989</v>
      </c>
      <c r="E7">
        <f t="shared" si="1"/>
        <v>342.5</v>
      </c>
    </row>
    <row r="8" spans="1:6">
      <c r="A8" t="str">
        <f>+場所マスタ[[#This Row],[表示名]]</f>
        <v>不明</v>
      </c>
      <c r="B8">
        <v>18.350000000000001</v>
      </c>
      <c r="C8">
        <v>0.97</v>
      </c>
      <c r="D8">
        <f t="shared" si="0"/>
        <v>71.000000000000085</v>
      </c>
      <c r="E8">
        <f t="shared" si="1"/>
        <v>427.99999999999994</v>
      </c>
    </row>
    <row r="9" spans="1:6">
      <c r="A9" t="str">
        <f>+場所マスタ[[#This Row],[表示名]]</f>
        <v>シェルズタウン近海</v>
      </c>
      <c r="B9">
        <v>29.88</v>
      </c>
      <c r="C9">
        <v>1.39</v>
      </c>
      <c r="D9">
        <f t="shared" ref="D9:D28" si="2">IF(B9="","",(B9-16.93)*50)</f>
        <v>647.5</v>
      </c>
      <c r="E9">
        <f t="shared" ref="E9:E28" si="3">IF(C9="","",(9.53-C9)*50)</f>
        <v>406.99999999999994</v>
      </c>
    </row>
    <row r="10" spans="1:6">
      <c r="A10" t="str">
        <f>+場所マスタ[[#This Row],[表示名]]</f>
        <v>珍獣島</v>
      </c>
      <c r="B10">
        <v>26.67</v>
      </c>
      <c r="C10">
        <v>3.14</v>
      </c>
      <c r="D10">
        <f t="shared" si="2"/>
        <v>487.00000000000011</v>
      </c>
      <c r="E10">
        <f t="shared" si="3"/>
        <v>319.49999999999994</v>
      </c>
    </row>
    <row r="11" spans="1:6">
      <c r="A11" t="str">
        <f>+場所マスタ[[#This Row],[表示名]]</f>
        <v>シロップ村</v>
      </c>
      <c r="B11">
        <v>25.43</v>
      </c>
      <c r="C11">
        <v>3.91</v>
      </c>
      <c r="D11">
        <f t="shared" si="2"/>
        <v>425</v>
      </c>
      <c r="E11">
        <f t="shared" si="3"/>
        <v>280.99999999999994</v>
      </c>
    </row>
    <row r="12" spans="1:6">
      <c r="A12" t="str">
        <f>+場所マスタ[[#This Row],[表示名]]</f>
        <v>オレンジの町近海</v>
      </c>
      <c r="B12">
        <v>28.26</v>
      </c>
      <c r="C12">
        <v>2.95</v>
      </c>
      <c r="D12">
        <f t="shared" si="2"/>
        <v>566.50000000000011</v>
      </c>
      <c r="E12">
        <f t="shared" si="3"/>
        <v>328.99999999999994</v>
      </c>
    </row>
    <row r="13" spans="1:6">
      <c r="A13" t="str">
        <f>+場所マスタ[[#This Row],[表示名]]</f>
        <v>シロップ村近海</v>
      </c>
      <c r="B13">
        <v>25.06</v>
      </c>
      <c r="C13">
        <v>4.26</v>
      </c>
      <c r="D13">
        <f t="shared" si="2"/>
        <v>406.49999999999994</v>
      </c>
      <c r="E13">
        <f t="shared" si="3"/>
        <v>263.5</v>
      </c>
    </row>
    <row r="14" spans="1:6">
      <c r="A14" t="str">
        <f>+場所マスタ[[#This Row],[表示名]]</f>
        <v>バラティエ</v>
      </c>
      <c r="B14">
        <v>24.48</v>
      </c>
      <c r="C14">
        <v>5.79</v>
      </c>
      <c r="D14">
        <f t="shared" si="2"/>
        <v>377.50000000000006</v>
      </c>
      <c r="E14">
        <f t="shared" si="3"/>
        <v>186.99999999999997</v>
      </c>
    </row>
    <row r="15" spans="1:6">
      <c r="A15" t="str">
        <f>+場所マスタ[[#This Row],[表示名]]</f>
        <v>珍獣島近海</v>
      </c>
      <c r="B15">
        <v>26.91</v>
      </c>
      <c r="C15">
        <v>3.5</v>
      </c>
      <c r="D15">
        <f t="shared" si="2"/>
        <v>499</v>
      </c>
      <c r="E15">
        <f t="shared" si="3"/>
        <v>301.49999999999994</v>
      </c>
    </row>
    <row r="16" spans="1:6">
      <c r="A16" t="str">
        <f>+場所マスタ[[#This Row],[表示名]]</f>
        <v>バラティエ近海</v>
      </c>
      <c r="B16">
        <v>25.96</v>
      </c>
      <c r="C16">
        <v>6</v>
      </c>
      <c r="D16">
        <f t="shared" si="2"/>
        <v>451.50000000000006</v>
      </c>
      <c r="E16">
        <f t="shared" si="3"/>
        <v>176.49999999999997</v>
      </c>
    </row>
    <row r="17" spans="1:6">
      <c r="A17" t="str">
        <f>+場所マスタ[[#This Row],[表示名]]</f>
        <v>先住民のいる島</v>
      </c>
      <c r="B17">
        <v>28.19</v>
      </c>
      <c r="C17">
        <v>1.86</v>
      </c>
      <c r="D17">
        <f t="shared" si="2"/>
        <v>563.00000000000011</v>
      </c>
      <c r="E17">
        <f t="shared" si="3"/>
        <v>383.49999999999994</v>
      </c>
      <c r="F17" t="s">
        <v>2045</v>
      </c>
    </row>
    <row r="18" spans="1:6">
      <c r="A18" t="str">
        <f>+場所マスタ[[#This Row],[表示名]]</f>
        <v>ココヤシ村</v>
      </c>
      <c r="B18">
        <v>23.63</v>
      </c>
      <c r="C18">
        <v>2.4900000000000002</v>
      </c>
      <c r="D18">
        <f t="shared" si="2"/>
        <v>334.99999999999994</v>
      </c>
      <c r="E18">
        <f t="shared" si="3"/>
        <v>351.99999999999994</v>
      </c>
    </row>
    <row r="19" spans="1:6">
      <c r="A19" t="str">
        <f>+場所マスタ[[#This Row],[表示名]]</f>
        <v>アーロンパーク</v>
      </c>
      <c r="B19">
        <v>23.44</v>
      </c>
      <c r="C19">
        <v>2.42</v>
      </c>
      <c r="D19">
        <f t="shared" si="2"/>
        <v>325.50000000000006</v>
      </c>
      <c r="E19">
        <f t="shared" si="3"/>
        <v>355.5</v>
      </c>
    </row>
    <row r="20" spans="1:6">
      <c r="A20" t="str">
        <f>+場所マスタ[[#This Row],[表示名]]</f>
        <v>ゴサの町</v>
      </c>
      <c r="B20">
        <v>23.82</v>
      </c>
      <c r="C20">
        <v>2.54</v>
      </c>
      <c r="D20">
        <f t="shared" si="2"/>
        <v>344.5</v>
      </c>
      <c r="E20">
        <f t="shared" si="3"/>
        <v>349.49999999999994</v>
      </c>
    </row>
    <row r="21" spans="1:6">
      <c r="A21" t="str">
        <f>+場所マスタ[[#This Row],[表示名]]</f>
        <v>アーロンパーク近海</v>
      </c>
      <c r="B21">
        <v>24.03</v>
      </c>
      <c r="C21">
        <v>3.75</v>
      </c>
      <c r="D21">
        <f t="shared" si="2"/>
        <v>355.00000000000006</v>
      </c>
      <c r="E21">
        <f t="shared" si="3"/>
        <v>288.99999999999994</v>
      </c>
    </row>
    <row r="22" spans="1:6">
      <c r="A22" t="str">
        <f>+場所マスタ[[#This Row],[表示名]]</f>
        <v>ローグタウン</v>
      </c>
      <c r="B22">
        <v>20.13</v>
      </c>
      <c r="C22">
        <v>7.47</v>
      </c>
      <c r="D22">
        <f t="shared" si="2"/>
        <v>159.99999999999997</v>
      </c>
      <c r="E22">
        <f t="shared" si="3"/>
        <v>102.99999999999999</v>
      </c>
    </row>
    <row r="23" spans="1:6">
      <c r="A23" t="str">
        <f>+場所マスタ[[#This Row],[表示名]]</f>
        <v>とある島</v>
      </c>
      <c r="B23">
        <v>26.95</v>
      </c>
      <c r="C23">
        <v>8.85</v>
      </c>
      <c r="D23">
        <f t="shared" si="2"/>
        <v>501</v>
      </c>
      <c r="E23">
        <f t="shared" si="3"/>
        <v>33.999999999999986</v>
      </c>
    </row>
    <row r="24" spans="1:6">
      <c r="A24" t="str">
        <f>+場所マスタ[[#This Row],[表示名]]</f>
        <v>東の海付近凪の帯</v>
      </c>
      <c r="B24">
        <v>19.309999999999999</v>
      </c>
      <c r="C24">
        <v>8.25</v>
      </c>
      <c r="D24">
        <f t="shared" si="2"/>
        <v>118.99999999999994</v>
      </c>
      <c r="E24">
        <f t="shared" si="3"/>
        <v>63.999999999999972</v>
      </c>
    </row>
    <row r="25" spans="1:6">
      <c r="A25" t="str">
        <f>+場所マスタ[[#This Row],[表示名]]</f>
        <v>リヴァース・マウンテン</v>
      </c>
      <c r="B25">
        <v>16.93</v>
      </c>
      <c r="C25">
        <v>9.5299999999999994</v>
      </c>
      <c r="D25">
        <f t="shared" si="2"/>
        <v>0</v>
      </c>
      <c r="E25">
        <f t="shared" si="3"/>
        <v>0</v>
      </c>
    </row>
    <row r="26" spans="1:6">
      <c r="A26" t="str">
        <f>+場所マスタ[[#This Row],[表示名]]</f>
        <v>双子岬</v>
      </c>
      <c r="B26">
        <v>18.62</v>
      </c>
      <c r="C26">
        <v>9.9700000000000006</v>
      </c>
      <c r="D26">
        <f t="shared" si="2"/>
        <v>84.500000000000057</v>
      </c>
      <c r="E26">
        <f t="shared" si="3"/>
        <v>-22.000000000000064</v>
      </c>
    </row>
    <row r="27" spans="1:6">
      <c r="A27" t="str">
        <f>+場所マスタ[[#This Row],[表示名]]</f>
        <v>ウイスキーピーク</v>
      </c>
      <c r="B27">
        <v>19.53</v>
      </c>
      <c r="C27">
        <v>9.6999999999999993</v>
      </c>
      <c r="D27">
        <f t="shared" si="2"/>
        <v>130.00000000000006</v>
      </c>
      <c r="E27">
        <f t="shared" si="3"/>
        <v>-8.4999999999999964</v>
      </c>
    </row>
    <row r="28" spans="1:6">
      <c r="A28" t="str">
        <f>+場所マスタ[[#This Row],[表示名]]</f>
        <v>リトルガーデン</v>
      </c>
      <c r="B28">
        <v>20.56</v>
      </c>
      <c r="C28">
        <v>9.49</v>
      </c>
      <c r="D28">
        <f t="shared" si="2"/>
        <v>181.49999999999994</v>
      </c>
      <c r="E28">
        <f t="shared" si="3"/>
        <v>1.9999999999999574</v>
      </c>
    </row>
  </sheetData>
  <phoneticPr fontId="1"/>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16</vt:i4>
      </vt:variant>
      <vt:variant>
        <vt:lpstr>名前付き一覧</vt:lpstr>
      </vt:variant>
      <vt:variant>
        <vt:i4>1</vt:i4>
      </vt:variant>
    </vt:vector>
  </HeadingPairs>
  <TitlesOfParts>
    <vt:vector size="17" baseType="lpstr">
      <vt:lpstr>キャラクターマスタ</vt:lpstr>
      <vt:lpstr>悪魔の実マスタ</vt:lpstr>
      <vt:lpstr>刀・武器マスタ</vt:lpstr>
      <vt:lpstr>船マスタ</vt:lpstr>
      <vt:lpstr>場所マスタ</vt:lpstr>
      <vt:lpstr>技マスタ</vt:lpstr>
      <vt:lpstr>勢力マスタ</vt:lpstr>
      <vt:lpstr>懸賞金・肩書ログ</vt:lpstr>
      <vt:lpstr>航海日誌</vt:lpstr>
      <vt:lpstr>戦闘ログ</vt:lpstr>
      <vt:lpstr>技ログ</vt:lpstr>
      <vt:lpstr>所属ログ</vt:lpstr>
      <vt:lpstr>悪魔の実ログ</vt:lpstr>
      <vt:lpstr>巻数対応表</vt:lpstr>
      <vt:lpstr>サブタイトルデータ</vt:lpstr>
      <vt:lpstr>座標変換シート</vt:lpstr>
      <vt:lpstr>所属ログ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scashi45gare11@gmail.com</cp:lastModifiedBy>
  <cp:lastPrinted>2026-05-01T07:22:01Z</cp:lastPrinted>
  <dcterms:created xsi:type="dcterms:W3CDTF">2020-10-11T16:35:06Z</dcterms:created>
  <dcterms:modified xsi:type="dcterms:W3CDTF">2026-06-10T07:43:11Z</dcterms:modified>
</cp:coreProperties>
</file>